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mg\Documents\ExoMars\Enfys\Optical Testing\BB2 instrument\BB2_18-22 Aug\"/>
    </mc:Choice>
  </mc:AlternateContent>
  <xr:revisionPtr revIDLastSave="0" documentId="13_ncr:1_{B5025499-E22B-45AE-BDBE-1EE9AC1DBDC8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Dark" sheetId="1" r:id="rId1"/>
    <sheet name="Reference_Data" sheetId="2" r:id="rId2"/>
    <sheet name="Sample_Data" sheetId="3" r:id="rId3"/>
    <sheet name="Analysis" sheetId="9" r:id="rId4"/>
    <sheet name="Chart1" sheetId="10" r:id="rId5"/>
    <sheet name="Kaolinite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1" l="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138" i="11"/>
  <c r="B2420" i="11"/>
  <c r="B2419" i="11"/>
  <c r="B2418" i="11"/>
  <c r="B2417" i="11"/>
  <c r="B2416" i="11"/>
  <c r="B2415" i="11"/>
  <c r="B2414" i="11"/>
  <c r="B2413" i="11"/>
  <c r="B2412" i="11"/>
  <c r="B2411" i="11"/>
  <c r="B2410" i="11"/>
  <c r="B2409" i="11"/>
  <c r="B2408" i="11"/>
  <c r="B2407" i="11"/>
  <c r="B2406" i="11"/>
  <c r="B2405" i="11"/>
  <c r="B2404" i="11"/>
  <c r="B2403" i="11"/>
  <c r="B2402" i="11"/>
  <c r="B2401" i="11"/>
  <c r="B2400" i="11"/>
  <c r="B2399" i="11"/>
  <c r="B2398" i="11"/>
  <c r="B2397" i="11"/>
  <c r="B2396" i="11"/>
  <c r="B2395" i="11"/>
  <c r="B2394" i="11"/>
  <c r="B2393" i="11"/>
  <c r="B2392" i="11"/>
  <c r="B2391" i="11"/>
  <c r="B2390" i="11"/>
  <c r="B2389" i="11"/>
  <c r="B2388" i="11"/>
  <c r="B2387" i="11"/>
  <c r="B2386" i="11"/>
  <c r="B2385" i="11"/>
  <c r="B2384" i="11"/>
  <c r="B2383" i="11"/>
  <c r="B2382" i="11"/>
  <c r="B2381" i="11"/>
  <c r="B2380" i="11"/>
  <c r="B2379" i="11"/>
  <c r="B2378" i="11"/>
  <c r="B2377" i="11"/>
  <c r="B2376" i="11"/>
  <c r="B2375" i="11"/>
  <c r="B2374" i="11"/>
  <c r="B2373" i="11"/>
  <c r="B2372" i="11"/>
  <c r="B2371" i="11"/>
  <c r="B2370" i="11"/>
  <c r="B2369" i="11"/>
  <c r="B2368" i="11"/>
  <c r="B2367" i="11"/>
  <c r="B2366" i="11"/>
  <c r="B2365" i="11"/>
  <c r="B2364" i="11"/>
  <c r="B2363" i="11"/>
  <c r="B2362" i="11"/>
  <c r="B2361" i="11"/>
  <c r="B2360" i="11"/>
  <c r="B2359" i="11"/>
  <c r="B2358" i="11"/>
  <c r="B2357" i="11"/>
  <c r="B2356" i="11"/>
  <c r="B2355" i="11"/>
  <c r="B2354" i="11"/>
  <c r="B2353" i="11"/>
  <c r="B2352" i="11"/>
  <c r="B2351" i="11"/>
  <c r="B2350" i="11"/>
  <c r="B2349" i="11"/>
  <c r="B2348" i="11"/>
  <c r="B2347" i="11"/>
  <c r="B2346" i="11"/>
  <c r="B2345" i="11"/>
  <c r="B2344" i="11"/>
  <c r="B2343" i="11"/>
  <c r="B2342" i="11"/>
  <c r="B2341" i="11"/>
  <c r="B2340" i="11"/>
  <c r="B2339" i="11"/>
  <c r="B2338" i="11"/>
  <c r="B2337" i="11"/>
  <c r="B2336" i="11"/>
  <c r="B2335" i="11"/>
  <c r="B2334" i="11"/>
  <c r="B2333" i="11"/>
  <c r="B2332" i="11"/>
  <c r="B2331" i="11"/>
  <c r="B2330" i="11"/>
  <c r="B2329" i="11"/>
  <c r="B2328" i="11"/>
  <c r="B2327" i="11"/>
  <c r="B2326" i="11"/>
  <c r="B2325" i="11"/>
  <c r="B2324" i="11"/>
  <c r="B2323" i="11"/>
  <c r="B2322" i="11"/>
  <c r="B2321" i="11"/>
  <c r="B2320" i="11"/>
  <c r="B2319" i="11"/>
  <c r="B2318" i="11"/>
  <c r="B2317" i="11"/>
  <c r="B2316" i="11"/>
  <c r="B2315" i="11"/>
  <c r="B2314" i="11"/>
  <c r="B2313" i="11"/>
  <c r="B2312" i="11"/>
  <c r="B2311" i="11"/>
  <c r="B2310" i="11"/>
  <c r="B2309" i="11"/>
  <c r="B2308" i="11"/>
  <c r="B2307" i="11"/>
  <c r="B2306" i="11"/>
  <c r="B2305" i="11"/>
  <c r="B2304" i="11"/>
  <c r="B2303" i="11"/>
  <c r="B2302" i="11"/>
  <c r="B2301" i="11"/>
  <c r="B2300" i="11"/>
  <c r="B2299" i="11"/>
  <c r="B2298" i="11"/>
  <c r="B2297" i="11"/>
  <c r="B2296" i="11"/>
  <c r="B2295" i="11"/>
  <c r="B2294" i="11"/>
  <c r="B2293" i="11"/>
  <c r="B2292" i="11"/>
  <c r="B2291" i="11"/>
  <c r="B2290" i="11"/>
  <c r="B2289" i="11"/>
  <c r="B2288" i="11"/>
  <c r="B2287" i="11"/>
  <c r="B2286" i="11"/>
  <c r="B2285" i="11"/>
  <c r="B2284" i="11"/>
  <c r="B2283" i="11"/>
  <c r="B2282" i="11"/>
  <c r="B2281" i="11"/>
  <c r="B2280" i="11"/>
  <c r="B2279" i="11"/>
  <c r="B2278" i="11"/>
  <c r="B2277" i="11"/>
  <c r="B2276" i="11"/>
  <c r="B2275" i="11"/>
  <c r="B2274" i="11"/>
  <c r="B2273" i="11"/>
  <c r="B2272" i="11"/>
  <c r="B2271" i="11"/>
  <c r="B2270" i="11"/>
  <c r="B2269" i="11"/>
  <c r="B2268" i="11"/>
  <c r="B2267" i="11"/>
  <c r="B2266" i="11"/>
  <c r="B2265" i="11"/>
  <c r="B2264" i="11"/>
  <c r="B2263" i="11"/>
  <c r="B2262" i="11"/>
  <c r="B2261" i="11"/>
  <c r="B2260" i="11"/>
  <c r="B2259" i="11"/>
  <c r="B2258" i="11"/>
  <c r="B2257" i="11"/>
  <c r="B2256" i="11"/>
  <c r="B2255" i="11"/>
  <c r="B2254" i="11"/>
  <c r="B2253" i="11"/>
  <c r="B2252" i="11"/>
  <c r="B2251" i="11"/>
  <c r="B2250" i="11"/>
  <c r="B2249" i="11"/>
  <c r="B2248" i="11"/>
  <c r="B2247" i="11"/>
  <c r="B2246" i="11"/>
  <c r="B2245" i="11"/>
  <c r="B2244" i="11"/>
  <c r="B2243" i="11"/>
  <c r="B2242" i="11"/>
  <c r="B2241" i="11"/>
  <c r="B2240" i="11"/>
  <c r="B2239" i="11"/>
  <c r="B2238" i="11"/>
  <c r="B2237" i="11"/>
  <c r="B2236" i="11"/>
  <c r="B2235" i="11"/>
  <c r="B2234" i="11"/>
  <c r="B2233" i="11"/>
  <c r="B2232" i="11"/>
  <c r="B2231" i="11"/>
  <c r="B2230" i="11"/>
  <c r="B2229" i="11"/>
  <c r="B2228" i="11"/>
  <c r="B2227" i="11"/>
  <c r="B2226" i="11"/>
  <c r="B2225" i="11"/>
  <c r="B2224" i="11"/>
  <c r="B2223" i="11"/>
  <c r="B2222" i="11"/>
  <c r="B2221" i="11"/>
  <c r="B2220" i="11"/>
  <c r="B2219" i="11"/>
  <c r="B2218" i="11"/>
  <c r="B2217" i="11"/>
  <c r="B2216" i="11"/>
  <c r="B2215" i="11"/>
  <c r="B2214" i="11"/>
  <c r="B2213" i="11"/>
  <c r="B2212" i="11"/>
  <c r="B2211" i="11"/>
  <c r="B2210" i="11"/>
  <c r="B2209" i="11"/>
  <c r="B2208" i="11"/>
  <c r="B2207" i="11"/>
  <c r="B2206" i="11"/>
  <c r="B2205" i="11"/>
  <c r="B2204" i="11"/>
  <c r="B2203" i="11"/>
  <c r="B2202" i="11"/>
  <c r="B2201" i="11"/>
  <c r="B2200" i="11"/>
  <c r="B2199" i="11"/>
  <c r="B2198" i="11"/>
  <c r="B2197" i="11"/>
  <c r="B2196" i="11"/>
  <c r="B2195" i="11"/>
  <c r="B2194" i="11"/>
  <c r="B2193" i="11"/>
  <c r="B2192" i="11"/>
  <c r="B2191" i="11"/>
  <c r="B2190" i="11"/>
  <c r="B2189" i="11"/>
  <c r="B2188" i="11"/>
  <c r="B2187" i="11"/>
  <c r="B2186" i="11"/>
  <c r="B2185" i="11"/>
  <c r="B2184" i="11"/>
  <c r="B2183" i="11"/>
  <c r="B2182" i="11"/>
  <c r="B2181" i="11"/>
  <c r="B2180" i="11"/>
  <c r="B2179" i="11"/>
  <c r="B2178" i="11"/>
  <c r="B2177" i="11"/>
  <c r="B2176" i="11"/>
  <c r="B2175" i="11"/>
  <c r="B2174" i="11"/>
  <c r="B2173" i="11"/>
  <c r="B2172" i="11"/>
  <c r="B2171" i="11"/>
  <c r="B2170" i="11"/>
  <c r="B2169" i="11"/>
  <c r="B2168" i="11"/>
  <c r="B2167" i="11"/>
  <c r="B2166" i="11"/>
  <c r="B2165" i="11"/>
  <c r="B2164" i="11"/>
  <c r="B2163" i="11"/>
  <c r="B2162" i="11"/>
  <c r="B2161" i="11"/>
  <c r="B2160" i="11"/>
  <c r="B2159" i="11"/>
  <c r="B2158" i="11"/>
  <c r="B2157" i="11"/>
  <c r="B2156" i="11"/>
  <c r="B2155" i="11"/>
  <c r="B2154" i="11"/>
  <c r="B2153" i="11"/>
  <c r="B2152" i="11"/>
  <c r="B2151" i="11"/>
  <c r="B2150" i="11"/>
  <c r="B2149" i="11"/>
  <c r="B2148" i="11"/>
  <c r="B2147" i="11"/>
  <c r="B2146" i="11"/>
  <c r="B2145" i="11"/>
  <c r="B2144" i="11"/>
  <c r="B2143" i="11"/>
  <c r="B2142" i="11"/>
  <c r="B2141" i="11"/>
  <c r="B2140" i="11"/>
  <c r="B2139" i="11"/>
  <c r="B2138" i="11"/>
  <c r="B2137" i="11"/>
  <c r="B2136" i="11"/>
  <c r="B2135" i="11"/>
  <c r="B2134" i="11"/>
  <c r="B2133" i="11"/>
  <c r="B2132" i="11"/>
  <c r="B2131" i="11"/>
  <c r="B2130" i="11"/>
  <c r="B2129" i="11"/>
  <c r="B2128" i="11"/>
  <c r="B2127" i="11"/>
  <c r="B2126" i="11"/>
  <c r="B2125" i="11"/>
  <c r="B2124" i="11"/>
  <c r="B2123" i="11"/>
  <c r="B2122" i="11"/>
  <c r="B2121" i="11"/>
  <c r="B2120" i="11"/>
  <c r="B2119" i="11"/>
  <c r="B2118" i="11"/>
  <c r="B2117" i="11"/>
  <c r="B2116" i="11"/>
  <c r="B2115" i="11"/>
  <c r="B2114" i="11"/>
  <c r="B2113" i="11"/>
  <c r="B2112" i="11"/>
  <c r="B2111" i="11"/>
  <c r="B2110" i="11"/>
  <c r="B2109" i="11"/>
  <c r="B2108" i="11"/>
  <c r="B2107" i="11"/>
  <c r="B2106" i="11"/>
  <c r="B2105" i="11"/>
  <c r="B2104" i="11"/>
  <c r="B2103" i="11"/>
  <c r="B2102" i="11"/>
  <c r="B2101" i="11"/>
  <c r="B2100" i="11"/>
  <c r="B2099" i="11"/>
  <c r="B2098" i="11"/>
  <c r="B2097" i="11"/>
  <c r="B2096" i="11"/>
  <c r="B2095" i="11"/>
  <c r="B2094" i="11"/>
  <c r="B2093" i="11"/>
  <c r="B2092" i="11"/>
  <c r="B2091" i="11"/>
  <c r="B2090" i="11"/>
  <c r="B2089" i="11"/>
  <c r="B2088" i="11"/>
  <c r="B2087" i="11"/>
  <c r="B2086" i="11"/>
  <c r="B2085" i="11"/>
  <c r="B2084" i="11"/>
  <c r="B2083" i="11"/>
  <c r="B2082" i="11"/>
  <c r="B2081" i="11"/>
  <c r="B2080" i="11"/>
  <c r="B2079" i="11"/>
  <c r="B2078" i="11"/>
  <c r="B2077" i="11"/>
  <c r="B2076" i="11"/>
  <c r="B2075" i="11"/>
  <c r="B2074" i="11"/>
  <c r="B2073" i="11"/>
  <c r="B2072" i="11"/>
  <c r="B2071" i="11"/>
  <c r="B2070" i="11"/>
  <c r="B2069" i="11"/>
  <c r="B2068" i="11"/>
  <c r="B2067" i="11"/>
  <c r="B2066" i="11"/>
  <c r="B2065" i="11"/>
  <c r="B2064" i="11"/>
  <c r="B2063" i="11"/>
  <c r="B2062" i="11"/>
  <c r="B2061" i="11"/>
  <c r="B2060" i="11"/>
  <c r="B2059" i="11"/>
  <c r="B2058" i="11"/>
  <c r="B2057" i="11"/>
  <c r="B2056" i="11"/>
  <c r="B2055" i="11"/>
  <c r="B2054" i="11"/>
  <c r="B2053" i="11"/>
  <c r="B2052" i="11"/>
  <c r="B2051" i="11"/>
  <c r="B2050" i="11"/>
  <c r="B2049" i="11"/>
  <c r="B2048" i="11"/>
  <c r="B2047" i="11"/>
  <c r="B2046" i="11"/>
  <c r="B2045" i="11"/>
  <c r="B2044" i="11"/>
  <c r="B2043" i="11"/>
  <c r="B2042" i="11"/>
  <c r="B2041" i="11"/>
  <c r="B2040" i="11"/>
  <c r="B2039" i="11"/>
  <c r="B2038" i="11"/>
  <c r="B2037" i="11"/>
  <c r="B2036" i="11"/>
  <c r="B2035" i="11"/>
  <c r="B2034" i="11"/>
  <c r="B2033" i="11"/>
  <c r="B2032" i="11"/>
  <c r="B2031" i="11"/>
  <c r="B2030" i="11"/>
  <c r="B2029" i="11"/>
  <c r="B2028" i="11"/>
  <c r="B2027" i="11"/>
  <c r="B2026" i="11"/>
  <c r="B2025" i="11"/>
  <c r="B2024" i="11"/>
  <c r="B2023" i="11"/>
  <c r="B2022" i="11"/>
  <c r="B2021" i="11"/>
  <c r="B2020" i="11"/>
  <c r="B2019" i="11"/>
  <c r="B2018" i="11"/>
  <c r="B2017" i="11"/>
  <c r="B2016" i="11"/>
  <c r="B2015" i="11"/>
  <c r="B2014" i="11"/>
  <c r="B2013" i="11"/>
  <c r="B2012" i="11"/>
  <c r="B2011" i="11"/>
  <c r="B2010" i="11"/>
  <c r="B2009" i="11"/>
  <c r="B2008" i="11"/>
  <c r="B2007" i="11"/>
  <c r="B2006" i="11"/>
  <c r="B2005" i="11"/>
  <c r="B2004" i="11"/>
  <c r="B2003" i="11"/>
  <c r="B2002" i="11"/>
  <c r="B2001" i="11"/>
  <c r="B2000" i="11"/>
  <c r="B1999" i="11"/>
  <c r="B1998" i="11"/>
  <c r="B1997" i="11"/>
  <c r="B1996" i="11"/>
  <c r="B1995" i="11"/>
  <c r="B1994" i="11"/>
  <c r="B1993" i="11"/>
  <c r="B1992" i="11"/>
  <c r="B1991" i="11"/>
  <c r="B1990" i="11"/>
  <c r="B1989" i="11"/>
  <c r="B1988" i="11"/>
  <c r="B1987" i="11"/>
  <c r="B1986" i="11"/>
  <c r="B1985" i="11"/>
  <c r="B1984" i="11"/>
  <c r="B1983" i="11"/>
  <c r="B1982" i="11"/>
  <c r="B1981" i="11"/>
  <c r="B1980" i="11"/>
  <c r="B1979" i="11"/>
  <c r="B1978" i="11"/>
  <c r="B1977" i="11"/>
  <c r="B1976" i="11"/>
  <c r="B1975" i="11"/>
  <c r="B1974" i="11"/>
  <c r="B1973" i="11"/>
  <c r="B1972" i="11"/>
  <c r="B1971" i="11"/>
  <c r="B1970" i="11"/>
  <c r="B1969" i="11"/>
  <c r="B1968" i="11"/>
  <c r="B1967" i="11"/>
  <c r="B1966" i="11"/>
  <c r="B1965" i="11"/>
  <c r="B1964" i="11"/>
  <c r="B1963" i="11"/>
  <c r="B1962" i="11"/>
  <c r="B1961" i="11"/>
  <c r="B1960" i="11"/>
  <c r="B1959" i="11"/>
  <c r="B1958" i="11"/>
  <c r="B1957" i="11"/>
  <c r="B1956" i="11"/>
  <c r="B1955" i="11"/>
  <c r="B1954" i="11"/>
  <c r="B1953" i="11"/>
  <c r="B1952" i="11"/>
  <c r="B1951" i="11"/>
  <c r="B1950" i="11"/>
  <c r="B1949" i="11"/>
  <c r="B1948" i="11"/>
  <c r="B1947" i="11"/>
  <c r="B1946" i="11"/>
  <c r="B1945" i="11"/>
  <c r="B1944" i="11"/>
  <c r="B1943" i="11"/>
  <c r="B1942" i="11"/>
  <c r="B1941" i="11"/>
  <c r="B1940" i="11"/>
  <c r="B1939" i="11"/>
  <c r="B1938" i="11"/>
  <c r="B1937" i="11"/>
  <c r="B1936" i="11"/>
  <c r="B1935" i="11"/>
  <c r="B1934" i="11"/>
  <c r="B1933" i="11"/>
  <c r="B1932" i="11"/>
  <c r="B1931" i="11"/>
  <c r="B1930" i="11"/>
  <c r="B1929" i="11"/>
  <c r="B1928" i="11"/>
  <c r="B1927" i="11"/>
  <c r="B1926" i="11"/>
  <c r="B1925" i="11"/>
  <c r="B1924" i="11"/>
  <c r="B1923" i="11"/>
  <c r="B1922" i="11"/>
  <c r="B1921" i="11"/>
  <c r="B1920" i="11"/>
  <c r="B1919" i="11"/>
  <c r="B1918" i="11"/>
  <c r="B1917" i="11"/>
  <c r="B1916" i="11"/>
  <c r="B1915" i="11"/>
  <c r="B1914" i="11"/>
  <c r="B1913" i="11"/>
  <c r="B1912" i="11"/>
  <c r="B1911" i="11"/>
  <c r="B1910" i="11"/>
  <c r="B1909" i="11"/>
  <c r="B1908" i="11"/>
  <c r="B1907" i="11"/>
  <c r="B1906" i="11"/>
  <c r="B1905" i="11"/>
  <c r="B1904" i="11"/>
  <c r="B1903" i="11"/>
  <c r="B1902" i="11"/>
  <c r="B1901" i="11"/>
  <c r="B1900" i="11"/>
  <c r="B1899" i="11"/>
  <c r="B1898" i="11"/>
  <c r="B1897" i="11"/>
  <c r="B1896" i="11"/>
  <c r="B1895" i="11"/>
  <c r="B1894" i="11"/>
  <c r="B1893" i="11"/>
  <c r="B1892" i="11"/>
  <c r="B1891" i="11"/>
  <c r="B1890" i="11"/>
  <c r="B1889" i="11"/>
  <c r="B1888" i="11"/>
  <c r="B1887" i="11"/>
  <c r="B1886" i="11"/>
  <c r="B1885" i="11"/>
  <c r="B1884" i="11"/>
  <c r="B1883" i="11"/>
  <c r="B1882" i="11"/>
  <c r="B1881" i="11"/>
  <c r="B1880" i="11"/>
  <c r="B1879" i="11"/>
  <c r="B1878" i="11"/>
  <c r="B1877" i="11"/>
  <c r="B1876" i="11"/>
  <c r="B1875" i="11"/>
  <c r="B1874" i="11"/>
  <c r="B1873" i="11"/>
  <c r="B1872" i="11"/>
  <c r="B1871" i="11"/>
  <c r="B1870" i="11"/>
  <c r="B1869" i="11"/>
  <c r="B1868" i="11"/>
  <c r="B1867" i="11"/>
  <c r="B1866" i="11"/>
  <c r="B1865" i="11"/>
  <c r="B1864" i="11"/>
  <c r="B1863" i="11"/>
  <c r="B1862" i="11"/>
  <c r="B1861" i="11"/>
  <c r="B1860" i="11"/>
  <c r="B1859" i="11"/>
  <c r="B1858" i="11"/>
  <c r="B1857" i="11"/>
  <c r="B1856" i="11"/>
  <c r="B1855" i="11"/>
  <c r="B1854" i="11"/>
  <c r="B1853" i="11"/>
  <c r="B1852" i="11"/>
  <c r="B1851" i="11"/>
  <c r="B1850" i="11"/>
  <c r="B1849" i="11"/>
  <c r="B1848" i="11"/>
  <c r="B1847" i="11"/>
  <c r="B1846" i="11"/>
  <c r="B1845" i="11"/>
  <c r="B1844" i="11"/>
  <c r="B1843" i="11"/>
  <c r="B1842" i="11"/>
  <c r="B1841" i="11"/>
  <c r="B1840" i="11"/>
  <c r="B1839" i="11"/>
  <c r="B1838" i="11"/>
  <c r="B1837" i="11"/>
  <c r="B1836" i="11"/>
  <c r="B1835" i="11"/>
  <c r="B1834" i="11"/>
  <c r="B1833" i="11"/>
  <c r="B1832" i="11"/>
  <c r="B1831" i="11"/>
  <c r="B1830" i="11"/>
  <c r="B1829" i="11"/>
  <c r="B1828" i="11"/>
  <c r="B1827" i="11"/>
  <c r="B1826" i="11"/>
  <c r="B1825" i="11"/>
  <c r="B1824" i="11"/>
  <c r="B1823" i="11"/>
  <c r="B1822" i="11"/>
  <c r="B1821" i="11"/>
  <c r="B1820" i="11"/>
  <c r="B1819" i="11"/>
  <c r="B1818" i="11"/>
  <c r="B1817" i="11"/>
  <c r="B1816" i="11"/>
  <c r="B1815" i="11"/>
  <c r="B1814" i="11"/>
  <c r="B1813" i="11"/>
  <c r="B1812" i="11"/>
  <c r="B1811" i="11"/>
  <c r="B1810" i="11"/>
  <c r="B1809" i="11"/>
  <c r="B1808" i="11"/>
  <c r="B1807" i="11"/>
  <c r="B1806" i="11"/>
  <c r="B1805" i="11"/>
  <c r="B1804" i="11"/>
  <c r="B1803" i="11"/>
  <c r="B1802" i="11"/>
  <c r="B1801" i="11"/>
  <c r="B1800" i="11"/>
  <c r="B1799" i="11"/>
  <c r="B1798" i="11"/>
  <c r="B1797" i="11"/>
  <c r="B1796" i="11"/>
  <c r="B1795" i="11"/>
  <c r="B1794" i="11"/>
  <c r="B1793" i="11"/>
  <c r="B1792" i="11"/>
  <c r="B1791" i="11"/>
  <c r="B1790" i="11"/>
  <c r="B1789" i="11"/>
  <c r="B1788" i="11"/>
  <c r="B1787" i="11"/>
  <c r="B1786" i="11"/>
  <c r="B1785" i="11"/>
  <c r="B1784" i="11"/>
  <c r="B1783" i="11"/>
  <c r="B1782" i="11"/>
  <c r="B1781" i="11"/>
  <c r="B1780" i="11"/>
  <c r="B1779" i="11"/>
  <c r="B1778" i="11"/>
  <c r="B1777" i="11"/>
  <c r="B1776" i="11"/>
  <c r="B1775" i="11"/>
  <c r="B1774" i="11"/>
  <c r="B1773" i="11"/>
  <c r="B1772" i="11"/>
  <c r="B1771" i="11"/>
  <c r="B1770" i="11"/>
  <c r="B1769" i="11"/>
  <c r="B1768" i="11"/>
  <c r="B1767" i="11"/>
  <c r="B1766" i="11"/>
  <c r="B1765" i="11"/>
  <c r="B1764" i="11"/>
  <c r="B1763" i="11"/>
  <c r="B1762" i="11"/>
  <c r="B1761" i="11"/>
  <c r="B1760" i="11"/>
  <c r="B1759" i="11"/>
  <c r="B1758" i="11"/>
  <c r="B1757" i="11"/>
  <c r="B1756" i="11"/>
  <c r="B1755" i="11"/>
  <c r="B1754" i="11"/>
  <c r="B1753" i="11"/>
  <c r="B1752" i="11"/>
  <c r="B1751" i="11"/>
  <c r="B1750" i="11"/>
  <c r="B1749" i="11"/>
  <c r="B1748" i="11"/>
  <c r="B1747" i="11"/>
  <c r="B1746" i="11"/>
  <c r="B1745" i="11"/>
  <c r="B1744" i="11"/>
  <c r="B1743" i="11"/>
  <c r="B1742" i="11"/>
  <c r="B1741" i="11"/>
  <c r="B1740" i="11"/>
  <c r="B1739" i="11"/>
  <c r="B1738" i="11"/>
  <c r="B1737" i="11"/>
  <c r="B1736" i="11"/>
  <c r="B1735" i="11"/>
  <c r="B1734" i="11"/>
  <c r="B1733" i="11"/>
  <c r="B1732" i="11"/>
  <c r="B1731" i="11"/>
  <c r="B1730" i="11"/>
  <c r="B1729" i="11"/>
  <c r="B1728" i="11"/>
  <c r="B1727" i="11"/>
  <c r="B1726" i="11"/>
  <c r="B1725" i="11"/>
  <c r="B1724" i="11"/>
  <c r="B1723" i="11"/>
  <c r="B1722" i="11"/>
  <c r="B1721" i="11"/>
  <c r="B1720" i="11"/>
  <c r="B1719" i="11"/>
  <c r="B1718" i="11"/>
  <c r="B1717" i="11"/>
  <c r="B1716" i="11"/>
  <c r="B1715" i="11"/>
  <c r="B1714" i="11"/>
  <c r="B1713" i="11"/>
  <c r="B1712" i="11"/>
  <c r="B1711" i="11"/>
  <c r="B1710" i="11"/>
  <c r="B1709" i="11"/>
  <c r="B1708" i="11"/>
  <c r="B1707" i="11"/>
  <c r="B1706" i="11"/>
  <c r="B1705" i="11"/>
  <c r="B1704" i="11"/>
  <c r="B1703" i="11"/>
  <c r="B1702" i="11"/>
  <c r="B1701" i="11"/>
  <c r="B1700" i="11"/>
  <c r="B1699" i="11"/>
  <c r="B1698" i="11"/>
  <c r="B1697" i="11"/>
  <c r="B1696" i="11"/>
  <c r="B1695" i="11"/>
  <c r="B1694" i="11"/>
  <c r="B1693" i="11"/>
  <c r="B1692" i="11"/>
  <c r="B1691" i="11"/>
  <c r="B1690" i="11"/>
  <c r="B1689" i="11"/>
  <c r="B1688" i="11"/>
  <c r="B1687" i="11"/>
  <c r="B1686" i="11"/>
  <c r="B1685" i="11"/>
  <c r="B1684" i="11"/>
  <c r="B1683" i="11"/>
  <c r="B1682" i="11"/>
  <c r="B1681" i="11"/>
  <c r="B1680" i="11"/>
  <c r="B1679" i="11"/>
  <c r="B1678" i="11"/>
  <c r="B1677" i="11"/>
  <c r="B1676" i="11"/>
  <c r="B1675" i="11"/>
  <c r="B1674" i="11"/>
  <c r="B1673" i="11"/>
  <c r="B1672" i="11"/>
  <c r="B1671" i="11"/>
  <c r="B1670" i="11"/>
  <c r="B1669" i="11"/>
  <c r="B1668" i="11"/>
  <c r="B1667" i="11"/>
  <c r="B1666" i="11"/>
  <c r="B1665" i="11"/>
  <c r="B1664" i="11"/>
  <c r="B1663" i="11"/>
  <c r="B1662" i="11"/>
  <c r="B1661" i="11"/>
  <c r="B1660" i="11"/>
  <c r="B1659" i="11"/>
  <c r="B1658" i="11"/>
  <c r="B1657" i="11"/>
  <c r="B1656" i="11"/>
  <c r="B1655" i="11"/>
  <c r="B1654" i="11"/>
  <c r="B1653" i="11"/>
  <c r="B1652" i="11"/>
  <c r="B1651" i="11"/>
  <c r="B1650" i="11"/>
  <c r="B1649" i="11"/>
  <c r="B1648" i="11"/>
  <c r="B1647" i="11"/>
  <c r="B1646" i="11"/>
  <c r="B1645" i="11"/>
  <c r="B1644" i="11"/>
  <c r="B1643" i="11"/>
  <c r="B1642" i="11"/>
  <c r="B1641" i="11"/>
  <c r="B1640" i="11"/>
  <c r="B1639" i="11"/>
  <c r="B1638" i="11"/>
  <c r="B1637" i="11"/>
  <c r="B1636" i="11"/>
  <c r="B1635" i="11"/>
  <c r="B1634" i="11"/>
  <c r="B1633" i="11"/>
  <c r="B1632" i="11"/>
  <c r="B1631" i="11"/>
  <c r="B1630" i="11"/>
  <c r="B1629" i="11"/>
  <c r="B1628" i="11"/>
  <c r="B1627" i="11"/>
  <c r="B1626" i="11"/>
  <c r="B1625" i="11"/>
  <c r="B1624" i="11"/>
  <c r="B1623" i="11"/>
  <c r="B1622" i="11"/>
  <c r="B1621" i="11"/>
  <c r="B1620" i="11"/>
  <c r="B1619" i="11"/>
  <c r="B1618" i="11"/>
  <c r="B1617" i="11"/>
  <c r="B1616" i="11"/>
  <c r="B1615" i="11"/>
  <c r="B1614" i="11"/>
  <c r="B1613" i="11"/>
  <c r="B1612" i="11"/>
  <c r="B1611" i="11"/>
  <c r="B1610" i="11"/>
  <c r="B1609" i="11"/>
  <c r="B1608" i="11"/>
  <c r="B1607" i="11"/>
  <c r="B1606" i="11"/>
  <c r="B1605" i="11"/>
  <c r="B1604" i="11"/>
  <c r="B1603" i="11"/>
  <c r="B1602" i="11"/>
  <c r="B1601" i="11"/>
  <c r="B1600" i="11"/>
  <c r="B1599" i="11"/>
  <c r="B1598" i="11"/>
  <c r="B1597" i="11"/>
  <c r="B1596" i="11"/>
  <c r="B1595" i="11"/>
  <c r="B1594" i="11"/>
  <c r="B1593" i="11"/>
  <c r="B1592" i="11"/>
  <c r="B1591" i="11"/>
  <c r="B1590" i="11"/>
  <c r="B1589" i="11"/>
  <c r="B1588" i="11"/>
  <c r="B1587" i="11"/>
  <c r="B1586" i="11"/>
  <c r="B1585" i="11"/>
  <c r="B1584" i="11"/>
  <c r="B1583" i="11"/>
  <c r="B1582" i="11"/>
  <c r="B1581" i="11"/>
  <c r="B1580" i="11"/>
  <c r="B1579" i="11"/>
  <c r="B1578" i="11"/>
  <c r="B1577" i="11"/>
  <c r="B1576" i="11"/>
  <c r="B1575" i="11"/>
  <c r="B1574" i="11"/>
  <c r="B1573" i="11"/>
  <c r="B1572" i="11"/>
  <c r="B1571" i="11"/>
  <c r="B1570" i="11"/>
  <c r="B1569" i="11"/>
  <c r="B1568" i="11"/>
  <c r="B1567" i="11"/>
  <c r="B1566" i="11"/>
  <c r="B1565" i="11"/>
  <c r="B1564" i="11"/>
  <c r="B1563" i="11"/>
  <c r="B1562" i="11"/>
  <c r="B1561" i="11"/>
  <c r="B1560" i="11"/>
  <c r="B1559" i="11"/>
  <c r="B1558" i="11"/>
  <c r="B1557" i="11"/>
  <c r="B1556" i="11"/>
  <c r="B1555" i="11"/>
  <c r="B1554" i="11"/>
  <c r="B1553" i="11"/>
  <c r="B1552" i="11"/>
  <c r="B1551" i="11"/>
  <c r="B1550" i="11"/>
  <c r="B1549" i="11"/>
  <c r="B1548" i="11"/>
  <c r="B1547" i="11"/>
  <c r="B1546" i="11"/>
  <c r="B1545" i="11"/>
  <c r="B1544" i="11"/>
  <c r="B1543" i="11"/>
  <c r="B1542" i="11"/>
  <c r="B1541" i="11"/>
  <c r="B1540" i="11"/>
  <c r="B1539" i="11"/>
  <c r="B1538" i="11"/>
  <c r="B1537" i="11"/>
  <c r="B1536" i="11"/>
  <c r="B1535" i="11"/>
  <c r="B1534" i="11"/>
  <c r="B1533" i="11"/>
  <c r="B1532" i="11"/>
  <c r="B1531" i="11"/>
  <c r="B1530" i="11"/>
  <c r="B1529" i="11"/>
  <c r="B1528" i="11"/>
  <c r="B1527" i="11"/>
  <c r="B1526" i="11"/>
  <c r="B1525" i="11"/>
  <c r="B1524" i="11"/>
  <c r="B1523" i="11"/>
  <c r="B1522" i="11"/>
  <c r="B1521" i="11"/>
  <c r="B1520" i="11"/>
  <c r="B1519" i="11"/>
  <c r="B1518" i="11"/>
  <c r="B1517" i="11"/>
  <c r="B1516" i="11"/>
  <c r="B1515" i="11"/>
  <c r="B1514" i="11"/>
  <c r="B1513" i="11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1" i="11"/>
  <c r="B1500" i="11"/>
  <c r="B1499" i="11"/>
  <c r="B1498" i="11"/>
  <c r="B1497" i="11"/>
  <c r="B1496" i="11"/>
  <c r="B1495" i="11"/>
  <c r="B1494" i="11"/>
  <c r="B1493" i="11"/>
  <c r="B1492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8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B1435" i="11"/>
  <c r="B1434" i="11"/>
  <c r="B1433" i="11"/>
  <c r="B1432" i="11"/>
  <c r="B1431" i="11"/>
  <c r="B1430" i="11"/>
  <c r="B1429" i="11"/>
  <c r="B1428" i="11"/>
  <c r="B1427" i="11"/>
  <c r="B1426" i="11"/>
  <c r="B1425" i="11"/>
  <c r="B1424" i="11"/>
  <c r="B1423" i="11"/>
  <c r="B1422" i="11"/>
  <c r="B1421" i="11"/>
  <c r="B1420" i="11"/>
  <c r="B1419" i="11"/>
  <c r="B1418" i="11"/>
  <c r="B1417" i="11"/>
  <c r="B1416" i="11"/>
  <c r="B1415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9" i="11"/>
  <c r="B1388" i="11"/>
  <c r="B1387" i="11"/>
  <c r="B1386" i="11"/>
  <c r="B1385" i="11"/>
  <c r="B1384" i="11"/>
  <c r="B1383" i="11"/>
  <c r="B1382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2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30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B1312" i="11"/>
  <c r="B1311" i="11"/>
  <c r="B1310" i="11"/>
  <c r="B1309" i="11"/>
  <c r="B1308" i="11"/>
  <c r="B1307" i="11"/>
  <c r="B1306" i="11"/>
  <c r="B1305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7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4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B1252" i="11"/>
  <c r="B1251" i="11"/>
  <c r="B1250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20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3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6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O7" i="9"/>
  <c r="P7" i="9"/>
  <c r="Q7" i="9"/>
  <c r="R7" i="9"/>
  <c r="S7" i="9"/>
  <c r="T7" i="9"/>
  <c r="X7" i="9" s="1"/>
  <c r="O8" i="9"/>
  <c r="P8" i="9"/>
  <c r="Q8" i="9"/>
  <c r="R8" i="9"/>
  <c r="S8" i="9"/>
  <c r="T8" i="9"/>
  <c r="O9" i="9"/>
  <c r="P9" i="9"/>
  <c r="Q9" i="9"/>
  <c r="R9" i="9"/>
  <c r="S9" i="9"/>
  <c r="T9" i="9"/>
  <c r="X9" i="9" s="1"/>
  <c r="O10" i="9"/>
  <c r="P10" i="9"/>
  <c r="Q10" i="9"/>
  <c r="R10" i="9"/>
  <c r="S10" i="9"/>
  <c r="T10" i="9"/>
  <c r="O11" i="9"/>
  <c r="P11" i="9"/>
  <c r="Q11" i="9"/>
  <c r="R11" i="9"/>
  <c r="S11" i="9"/>
  <c r="T11" i="9"/>
  <c r="O12" i="9"/>
  <c r="P12" i="9"/>
  <c r="Q12" i="9"/>
  <c r="X12" i="9" s="1"/>
  <c r="R12" i="9"/>
  <c r="S12" i="9"/>
  <c r="T12" i="9"/>
  <c r="O13" i="9"/>
  <c r="P13" i="9"/>
  <c r="Q13" i="9"/>
  <c r="R13" i="9"/>
  <c r="S13" i="9"/>
  <c r="T13" i="9"/>
  <c r="O14" i="9"/>
  <c r="P14" i="9"/>
  <c r="Q14" i="9"/>
  <c r="R14" i="9"/>
  <c r="S14" i="9"/>
  <c r="T14" i="9"/>
  <c r="O15" i="9"/>
  <c r="P15" i="9"/>
  <c r="Q15" i="9"/>
  <c r="R15" i="9"/>
  <c r="S15" i="9"/>
  <c r="T15" i="9"/>
  <c r="O16" i="9"/>
  <c r="P16" i="9"/>
  <c r="Q16" i="9"/>
  <c r="R16" i="9"/>
  <c r="S16" i="9"/>
  <c r="T16" i="9"/>
  <c r="O17" i="9"/>
  <c r="P17" i="9"/>
  <c r="Q17" i="9"/>
  <c r="R17" i="9"/>
  <c r="S17" i="9"/>
  <c r="T17" i="9"/>
  <c r="X17" i="9" s="1"/>
  <c r="O18" i="9"/>
  <c r="P18" i="9"/>
  <c r="Q18" i="9"/>
  <c r="R18" i="9"/>
  <c r="S18" i="9"/>
  <c r="T18" i="9"/>
  <c r="O19" i="9"/>
  <c r="P19" i="9"/>
  <c r="Q19" i="9"/>
  <c r="R19" i="9"/>
  <c r="S19" i="9"/>
  <c r="T19" i="9"/>
  <c r="O20" i="9"/>
  <c r="P20" i="9"/>
  <c r="Q20" i="9"/>
  <c r="R20" i="9"/>
  <c r="S20" i="9"/>
  <c r="T20" i="9"/>
  <c r="O21" i="9"/>
  <c r="P21" i="9"/>
  <c r="Q21" i="9"/>
  <c r="R21" i="9"/>
  <c r="S21" i="9"/>
  <c r="T21" i="9"/>
  <c r="O22" i="9"/>
  <c r="P22" i="9"/>
  <c r="Q22" i="9"/>
  <c r="R22" i="9"/>
  <c r="S22" i="9"/>
  <c r="T22" i="9"/>
  <c r="O23" i="9"/>
  <c r="P23" i="9"/>
  <c r="Q23" i="9"/>
  <c r="R23" i="9"/>
  <c r="S23" i="9"/>
  <c r="T23" i="9"/>
  <c r="O24" i="9"/>
  <c r="P24" i="9"/>
  <c r="Q24" i="9"/>
  <c r="R24" i="9"/>
  <c r="S24" i="9"/>
  <c r="T24" i="9"/>
  <c r="O25" i="9"/>
  <c r="P25" i="9"/>
  <c r="Q25" i="9"/>
  <c r="R25" i="9"/>
  <c r="S25" i="9"/>
  <c r="T25" i="9"/>
  <c r="X25" i="9" s="1"/>
  <c r="O26" i="9"/>
  <c r="P26" i="9"/>
  <c r="Q26" i="9"/>
  <c r="R26" i="9"/>
  <c r="S26" i="9"/>
  <c r="T26" i="9"/>
  <c r="O27" i="9"/>
  <c r="P27" i="9"/>
  <c r="Q27" i="9"/>
  <c r="R27" i="9"/>
  <c r="S27" i="9"/>
  <c r="T27" i="9"/>
  <c r="O28" i="9"/>
  <c r="P28" i="9"/>
  <c r="Q28" i="9"/>
  <c r="R28" i="9"/>
  <c r="S28" i="9"/>
  <c r="T28" i="9"/>
  <c r="O29" i="9"/>
  <c r="P29" i="9"/>
  <c r="Q29" i="9"/>
  <c r="R29" i="9"/>
  <c r="S29" i="9"/>
  <c r="W29" i="9" s="1"/>
  <c r="T29" i="9"/>
  <c r="O30" i="9"/>
  <c r="P30" i="9"/>
  <c r="Q30" i="9"/>
  <c r="R30" i="9"/>
  <c r="S30" i="9"/>
  <c r="T30" i="9"/>
  <c r="O31" i="9"/>
  <c r="P31" i="9"/>
  <c r="Q31" i="9"/>
  <c r="R31" i="9"/>
  <c r="S31" i="9"/>
  <c r="T31" i="9"/>
  <c r="O32" i="9"/>
  <c r="P32" i="9"/>
  <c r="Q32" i="9"/>
  <c r="R32" i="9"/>
  <c r="S32" i="9"/>
  <c r="T32" i="9"/>
  <c r="O33" i="9"/>
  <c r="P33" i="9"/>
  <c r="Q33" i="9"/>
  <c r="R33" i="9"/>
  <c r="S33" i="9"/>
  <c r="T33" i="9"/>
  <c r="X33" i="9" s="1"/>
  <c r="O34" i="9"/>
  <c r="P34" i="9"/>
  <c r="Q34" i="9"/>
  <c r="R34" i="9"/>
  <c r="S34" i="9"/>
  <c r="T34" i="9"/>
  <c r="O35" i="9"/>
  <c r="P35" i="9"/>
  <c r="Q35" i="9"/>
  <c r="R35" i="9"/>
  <c r="S35" i="9"/>
  <c r="T35" i="9"/>
  <c r="O36" i="9"/>
  <c r="P36" i="9"/>
  <c r="Q36" i="9"/>
  <c r="R36" i="9"/>
  <c r="S36" i="9"/>
  <c r="T36" i="9"/>
  <c r="O37" i="9"/>
  <c r="P37" i="9"/>
  <c r="Q37" i="9"/>
  <c r="R37" i="9"/>
  <c r="S37" i="9"/>
  <c r="T37" i="9"/>
  <c r="O38" i="9"/>
  <c r="P38" i="9"/>
  <c r="Q38" i="9"/>
  <c r="R38" i="9"/>
  <c r="S38" i="9"/>
  <c r="T38" i="9"/>
  <c r="O39" i="9"/>
  <c r="P39" i="9"/>
  <c r="Q39" i="9"/>
  <c r="R39" i="9"/>
  <c r="S39" i="9"/>
  <c r="T39" i="9"/>
  <c r="O40" i="9"/>
  <c r="P40" i="9"/>
  <c r="Q40" i="9"/>
  <c r="R40" i="9"/>
  <c r="S40" i="9"/>
  <c r="T40" i="9"/>
  <c r="O41" i="9"/>
  <c r="P41" i="9"/>
  <c r="Q41" i="9"/>
  <c r="R41" i="9"/>
  <c r="S41" i="9"/>
  <c r="T41" i="9"/>
  <c r="X41" i="9" s="1"/>
  <c r="O42" i="9"/>
  <c r="P42" i="9"/>
  <c r="Q42" i="9"/>
  <c r="R42" i="9"/>
  <c r="S42" i="9"/>
  <c r="T42" i="9"/>
  <c r="O43" i="9"/>
  <c r="P43" i="9"/>
  <c r="Q43" i="9"/>
  <c r="R43" i="9"/>
  <c r="S43" i="9"/>
  <c r="T43" i="9"/>
  <c r="O44" i="9"/>
  <c r="P44" i="9"/>
  <c r="Q44" i="9"/>
  <c r="R44" i="9"/>
  <c r="V44" i="9" s="1"/>
  <c r="S44" i="9"/>
  <c r="T44" i="9"/>
  <c r="O45" i="9"/>
  <c r="P45" i="9"/>
  <c r="Q45" i="9"/>
  <c r="R45" i="9"/>
  <c r="S45" i="9"/>
  <c r="T45" i="9"/>
  <c r="O46" i="9"/>
  <c r="P46" i="9"/>
  <c r="Q46" i="9"/>
  <c r="R46" i="9"/>
  <c r="S46" i="9"/>
  <c r="T46" i="9"/>
  <c r="O47" i="9"/>
  <c r="P47" i="9"/>
  <c r="Q47" i="9"/>
  <c r="R47" i="9"/>
  <c r="S47" i="9"/>
  <c r="T47" i="9"/>
  <c r="O48" i="9"/>
  <c r="P48" i="9"/>
  <c r="Q48" i="9"/>
  <c r="R48" i="9"/>
  <c r="S48" i="9"/>
  <c r="T48" i="9"/>
  <c r="O49" i="9"/>
  <c r="P49" i="9"/>
  <c r="Q49" i="9"/>
  <c r="R49" i="9"/>
  <c r="S49" i="9"/>
  <c r="T49" i="9"/>
  <c r="X49" i="9" s="1"/>
  <c r="O50" i="9"/>
  <c r="P50" i="9"/>
  <c r="Q50" i="9"/>
  <c r="R50" i="9"/>
  <c r="S50" i="9"/>
  <c r="T50" i="9"/>
  <c r="O51" i="9"/>
  <c r="P51" i="9"/>
  <c r="Q51" i="9"/>
  <c r="R51" i="9"/>
  <c r="S51" i="9"/>
  <c r="T51" i="9"/>
  <c r="O52" i="9"/>
  <c r="P52" i="9"/>
  <c r="Q52" i="9"/>
  <c r="R52" i="9"/>
  <c r="S52" i="9"/>
  <c r="T52" i="9"/>
  <c r="O53" i="9"/>
  <c r="P53" i="9"/>
  <c r="Q53" i="9"/>
  <c r="R53" i="9"/>
  <c r="S53" i="9"/>
  <c r="T53" i="9"/>
  <c r="O54" i="9"/>
  <c r="P54" i="9"/>
  <c r="Q54" i="9"/>
  <c r="R54" i="9"/>
  <c r="S54" i="9"/>
  <c r="T54" i="9"/>
  <c r="O55" i="9"/>
  <c r="P55" i="9"/>
  <c r="Q55" i="9"/>
  <c r="R55" i="9"/>
  <c r="S55" i="9"/>
  <c r="T55" i="9"/>
  <c r="O56" i="9"/>
  <c r="P56" i="9"/>
  <c r="Q56" i="9"/>
  <c r="R56" i="9"/>
  <c r="S56" i="9"/>
  <c r="T56" i="9"/>
  <c r="O57" i="9"/>
  <c r="P57" i="9"/>
  <c r="Q57" i="9"/>
  <c r="R57" i="9"/>
  <c r="S57" i="9"/>
  <c r="T57" i="9"/>
  <c r="X57" i="9" s="1"/>
  <c r="O58" i="9"/>
  <c r="P58" i="9"/>
  <c r="Q58" i="9"/>
  <c r="R58" i="9"/>
  <c r="S58" i="9"/>
  <c r="T58" i="9"/>
  <c r="O59" i="9"/>
  <c r="P59" i="9"/>
  <c r="Q59" i="9"/>
  <c r="R59" i="9"/>
  <c r="S59" i="9"/>
  <c r="T59" i="9"/>
  <c r="O60" i="9"/>
  <c r="P60" i="9"/>
  <c r="Q60" i="9"/>
  <c r="R60" i="9"/>
  <c r="V60" i="9" s="1"/>
  <c r="S60" i="9"/>
  <c r="T60" i="9"/>
  <c r="O61" i="9"/>
  <c r="P61" i="9"/>
  <c r="Q61" i="9"/>
  <c r="R61" i="9"/>
  <c r="S61" i="9"/>
  <c r="W61" i="9" s="1"/>
  <c r="T61" i="9"/>
  <c r="O62" i="9"/>
  <c r="P62" i="9"/>
  <c r="Q62" i="9"/>
  <c r="R62" i="9"/>
  <c r="S62" i="9"/>
  <c r="T62" i="9"/>
  <c r="O63" i="9"/>
  <c r="P63" i="9"/>
  <c r="Q63" i="9"/>
  <c r="R63" i="9"/>
  <c r="S63" i="9"/>
  <c r="T63" i="9"/>
  <c r="O64" i="9"/>
  <c r="P64" i="9"/>
  <c r="Q64" i="9"/>
  <c r="R64" i="9"/>
  <c r="S64" i="9"/>
  <c r="T64" i="9"/>
  <c r="O65" i="9"/>
  <c r="P65" i="9"/>
  <c r="Q65" i="9"/>
  <c r="R65" i="9"/>
  <c r="S65" i="9"/>
  <c r="T65" i="9"/>
  <c r="X65" i="9" s="1"/>
  <c r="O66" i="9"/>
  <c r="P66" i="9"/>
  <c r="Q66" i="9"/>
  <c r="R66" i="9"/>
  <c r="S66" i="9"/>
  <c r="T66" i="9"/>
  <c r="O67" i="9"/>
  <c r="P67" i="9"/>
  <c r="Q67" i="9"/>
  <c r="R67" i="9"/>
  <c r="S67" i="9"/>
  <c r="T67" i="9"/>
  <c r="O68" i="9"/>
  <c r="P68" i="9"/>
  <c r="Q68" i="9"/>
  <c r="R68" i="9"/>
  <c r="S68" i="9"/>
  <c r="T68" i="9"/>
  <c r="O69" i="9"/>
  <c r="P69" i="9"/>
  <c r="Q69" i="9"/>
  <c r="R69" i="9"/>
  <c r="S69" i="9"/>
  <c r="T69" i="9"/>
  <c r="O70" i="9"/>
  <c r="P70" i="9"/>
  <c r="Q70" i="9"/>
  <c r="R70" i="9"/>
  <c r="S70" i="9"/>
  <c r="T70" i="9"/>
  <c r="O71" i="9"/>
  <c r="P71" i="9"/>
  <c r="Q71" i="9"/>
  <c r="R71" i="9"/>
  <c r="S71" i="9"/>
  <c r="T71" i="9"/>
  <c r="O72" i="9"/>
  <c r="P72" i="9"/>
  <c r="Q72" i="9"/>
  <c r="R72" i="9"/>
  <c r="S72" i="9"/>
  <c r="T72" i="9"/>
  <c r="O73" i="9"/>
  <c r="P73" i="9"/>
  <c r="Q73" i="9"/>
  <c r="R73" i="9"/>
  <c r="S73" i="9"/>
  <c r="T73" i="9"/>
  <c r="X73" i="9" s="1"/>
  <c r="O74" i="9"/>
  <c r="P74" i="9"/>
  <c r="Q74" i="9"/>
  <c r="R74" i="9"/>
  <c r="S74" i="9"/>
  <c r="T74" i="9"/>
  <c r="O75" i="9"/>
  <c r="P75" i="9"/>
  <c r="Q75" i="9"/>
  <c r="R75" i="9"/>
  <c r="S75" i="9"/>
  <c r="T75" i="9"/>
  <c r="O76" i="9"/>
  <c r="P76" i="9"/>
  <c r="Q76" i="9"/>
  <c r="X76" i="9" s="1"/>
  <c r="R76" i="9"/>
  <c r="S76" i="9"/>
  <c r="T76" i="9"/>
  <c r="O77" i="9"/>
  <c r="P77" i="9"/>
  <c r="Q77" i="9"/>
  <c r="R77" i="9"/>
  <c r="S77" i="9"/>
  <c r="W77" i="9" s="1"/>
  <c r="T77" i="9"/>
  <c r="O78" i="9"/>
  <c r="P78" i="9"/>
  <c r="Q78" i="9"/>
  <c r="R78" i="9"/>
  <c r="S78" i="9"/>
  <c r="T78" i="9"/>
  <c r="O79" i="9"/>
  <c r="P79" i="9"/>
  <c r="Q79" i="9"/>
  <c r="R79" i="9"/>
  <c r="S79" i="9"/>
  <c r="T79" i="9"/>
  <c r="O80" i="9"/>
  <c r="P80" i="9"/>
  <c r="Q80" i="9"/>
  <c r="R80" i="9"/>
  <c r="S80" i="9"/>
  <c r="T80" i="9"/>
  <c r="O81" i="9"/>
  <c r="P81" i="9"/>
  <c r="Q81" i="9"/>
  <c r="R81" i="9"/>
  <c r="S81" i="9"/>
  <c r="T81" i="9"/>
  <c r="X81" i="9" s="1"/>
  <c r="O82" i="9"/>
  <c r="P82" i="9"/>
  <c r="Q82" i="9"/>
  <c r="R82" i="9"/>
  <c r="S82" i="9"/>
  <c r="T82" i="9"/>
  <c r="O83" i="9"/>
  <c r="P83" i="9"/>
  <c r="Q83" i="9"/>
  <c r="R83" i="9"/>
  <c r="S83" i="9"/>
  <c r="T83" i="9"/>
  <c r="O84" i="9"/>
  <c r="P84" i="9"/>
  <c r="Q84" i="9"/>
  <c r="R84" i="9"/>
  <c r="S84" i="9"/>
  <c r="T84" i="9"/>
  <c r="O85" i="9"/>
  <c r="P85" i="9"/>
  <c r="Q85" i="9"/>
  <c r="R85" i="9"/>
  <c r="S85" i="9"/>
  <c r="T85" i="9"/>
  <c r="O86" i="9"/>
  <c r="P86" i="9"/>
  <c r="Q86" i="9"/>
  <c r="R86" i="9"/>
  <c r="S86" i="9"/>
  <c r="T86" i="9"/>
  <c r="O87" i="9"/>
  <c r="P87" i="9"/>
  <c r="Q87" i="9"/>
  <c r="R87" i="9"/>
  <c r="S87" i="9"/>
  <c r="T87" i="9"/>
  <c r="O88" i="9"/>
  <c r="P88" i="9"/>
  <c r="Q88" i="9"/>
  <c r="R88" i="9"/>
  <c r="S88" i="9"/>
  <c r="T88" i="9"/>
  <c r="O89" i="9"/>
  <c r="P89" i="9"/>
  <c r="Q89" i="9"/>
  <c r="R89" i="9"/>
  <c r="S89" i="9"/>
  <c r="T89" i="9"/>
  <c r="X89" i="9" s="1"/>
  <c r="O90" i="9"/>
  <c r="P90" i="9"/>
  <c r="Q90" i="9"/>
  <c r="R90" i="9"/>
  <c r="S90" i="9"/>
  <c r="T90" i="9"/>
  <c r="O91" i="9"/>
  <c r="P91" i="9"/>
  <c r="Q91" i="9"/>
  <c r="R91" i="9"/>
  <c r="S91" i="9"/>
  <c r="T91" i="9"/>
  <c r="O92" i="9"/>
  <c r="P92" i="9"/>
  <c r="Q92" i="9"/>
  <c r="R92" i="9"/>
  <c r="S92" i="9"/>
  <c r="T92" i="9"/>
  <c r="O93" i="9"/>
  <c r="P93" i="9"/>
  <c r="Q93" i="9"/>
  <c r="R93" i="9"/>
  <c r="S93" i="9"/>
  <c r="W93" i="9" s="1"/>
  <c r="T93" i="9"/>
  <c r="O94" i="9"/>
  <c r="P94" i="9"/>
  <c r="Q94" i="9"/>
  <c r="R94" i="9"/>
  <c r="S94" i="9"/>
  <c r="T94" i="9"/>
  <c r="O95" i="9"/>
  <c r="P95" i="9"/>
  <c r="Q95" i="9"/>
  <c r="R95" i="9"/>
  <c r="S95" i="9"/>
  <c r="T95" i="9"/>
  <c r="O96" i="9"/>
  <c r="P96" i="9"/>
  <c r="Q96" i="9"/>
  <c r="R96" i="9"/>
  <c r="S96" i="9"/>
  <c r="T96" i="9"/>
  <c r="O97" i="9"/>
  <c r="P97" i="9"/>
  <c r="Q97" i="9"/>
  <c r="R97" i="9"/>
  <c r="S97" i="9"/>
  <c r="T97" i="9"/>
  <c r="X97" i="9" s="1"/>
  <c r="O98" i="9"/>
  <c r="P98" i="9"/>
  <c r="Q98" i="9"/>
  <c r="R98" i="9"/>
  <c r="S98" i="9"/>
  <c r="T98" i="9"/>
  <c r="O99" i="9"/>
  <c r="P99" i="9"/>
  <c r="Q99" i="9"/>
  <c r="R99" i="9"/>
  <c r="S99" i="9"/>
  <c r="T99" i="9"/>
  <c r="O100" i="9"/>
  <c r="P100" i="9"/>
  <c r="Q100" i="9"/>
  <c r="R100" i="9"/>
  <c r="S100" i="9"/>
  <c r="T100" i="9"/>
  <c r="O101" i="9"/>
  <c r="P101" i="9"/>
  <c r="Q101" i="9"/>
  <c r="R101" i="9"/>
  <c r="S101" i="9"/>
  <c r="T101" i="9"/>
  <c r="O102" i="9"/>
  <c r="P102" i="9"/>
  <c r="Q102" i="9"/>
  <c r="R102" i="9"/>
  <c r="S102" i="9"/>
  <c r="T102" i="9"/>
  <c r="O103" i="9"/>
  <c r="P103" i="9"/>
  <c r="Q103" i="9"/>
  <c r="R103" i="9"/>
  <c r="S103" i="9"/>
  <c r="T103" i="9"/>
  <c r="O104" i="9"/>
  <c r="P104" i="9"/>
  <c r="Q104" i="9"/>
  <c r="R104" i="9"/>
  <c r="S104" i="9"/>
  <c r="T104" i="9"/>
  <c r="O105" i="9"/>
  <c r="P105" i="9"/>
  <c r="Q105" i="9"/>
  <c r="R105" i="9"/>
  <c r="S105" i="9"/>
  <c r="T105" i="9"/>
  <c r="O106" i="9"/>
  <c r="P106" i="9"/>
  <c r="Q106" i="9"/>
  <c r="R106" i="9"/>
  <c r="S106" i="9"/>
  <c r="T106" i="9"/>
  <c r="O107" i="9"/>
  <c r="P107" i="9"/>
  <c r="Q107" i="9"/>
  <c r="R107" i="9"/>
  <c r="S107" i="9"/>
  <c r="T107" i="9"/>
  <c r="O108" i="9"/>
  <c r="P108" i="9"/>
  <c r="Q108" i="9"/>
  <c r="X108" i="9" s="1"/>
  <c r="R108" i="9"/>
  <c r="S108" i="9"/>
  <c r="T108" i="9"/>
  <c r="O109" i="9"/>
  <c r="P109" i="9"/>
  <c r="Q109" i="9"/>
  <c r="R109" i="9"/>
  <c r="S109" i="9"/>
  <c r="W109" i="9" s="1"/>
  <c r="T109" i="9"/>
  <c r="O110" i="9"/>
  <c r="P110" i="9"/>
  <c r="Q110" i="9"/>
  <c r="R110" i="9"/>
  <c r="S110" i="9"/>
  <c r="T110" i="9"/>
  <c r="O111" i="9"/>
  <c r="P111" i="9"/>
  <c r="Q111" i="9"/>
  <c r="R111" i="9"/>
  <c r="S111" i="9"/>
  <c r="T111" i="9"/>
  <c r="O112" i="9"/>
  <c r="P112" i="9"/>
  <c r="Q112" i="9"/>
  <c r="R112" i="9"/>
  <c r="S112" i="9"/>
  <c r="T112" i="9"/>
  <c r="O113" i="9"/>
  <c r="P113" i="9"/>
  <c r="Q113" i="9"/>
  <c r="R113" i="9"/>
  <c r="S113" i="9"/>
  <c r="T113" i="9"/>
  <c r="O114" i="9"/>
  <c r="P114" i="9"/>
  <c r="Q114" i="9"/>
  <c r="R114" i="9"/>
  <c r="S114" i="9"/>
  <c r="T114" i="9"/>
  <c r="O115" i="9"/>
  <c r="P115" i="9"/>
  <c r="Q115" i="9"/>
  <c r="R115" i="9"/>
  <c r="S115" i="9"/>
  <c r="W115" i="9" s="1"/>
  <c r="T115" i="9"/>
  <c r="O116" i="9"/>
  <c r="P116" i="9"/>
  <c r="Q116" i="9"/>
  <c r="R116" i="9"/>
  <c r="S116" i="9"/>
  <c r="T116" i="9"/>
  <c r="O117" i="9"/>
  <c r="P117" i="9"/>
  <c r="Q117" i="9"/>
  <c r="R117" i="9"/>
  <c r="S117" i="9"/>
  <c r="T117" i="9"/>
  <c r="O118" i="9"/>
  <c r="P118" i="9"/>
  <c r="Q118" i="9"/>
  <c r="R118" i="9"/>
  <c r="S118" i="9"/>
  <c r="T118" i="9"/>
  <c r="O119" i="9"/>
  <c r="P119" i="9"/>
  <c r="Q119" i="9"/>
  <c r="R119" i="9"/>
  <c r="S119" i="9"/>
  <c r="T119" i="9"/>
  <c r="O120" i="9"/>
  <c r="P120" i="9"/>
  <c r="Q120" i="9"/>
  <c r="R120" i="9"/>
  <c r="S120" i="9"/>
  <c r="T120" i="9"/>
  <c r="O121" i="9"/>
  <c r="P121" i="9"/>
  <c r="Q121" i="9"/>
  <c r="R121" i="9"/>
  <c r="S121" i="9"/>
  <c r="T121" i="9"/>
  <c r="O122" i="9"/>
  <c r="P122" i="9"/>
  <c r="Q122" i="9"/>
  <c r="R122" i="9"/>
  <c r="S122" i="9"/>
  <c r="T122" i="9"/>
  <c r="O123" i="9"/>
  <c r="P123" i="9"/>
  <c r="Q123" i="9"/>
  <c r="R123" i="9"/>
  <c r="S123" i="9"/>
  <c r="T123" i="9"/>
  <c r="O124" i="9"/>
  <c r="P124" i="9"/>
  <c r="Q124" i="9"/>
  <c r="R124" i="9"/>
  <c r="S124" i="9"/>
  <c r="T124" i="9"/>
  <c r="O125" i="9"/>
  <c r="P125" i="9"/>
  <c r="Q125" i="9"/>
  <c r="R125" i="9"/>
  <c r="S125" i="9"/>
  <c r="W125" i="9" s="1"/>
  <c r="T125" i="9"/>
  <c r="O126" i="9"/>
  <c r="P126" i="9"/>
  <c r="Q126" i="9"/>
  <c r="R126" i="9"/>
  <c r="S126" i="9"/>
  <c r="T126" i="9"/>
  <c r="O127" i="9"/>
  <c r="P127" i="9"/>
  <c r="Q127" i="9"/>
  <c r="R127" i="9"/>
  <c r="S127" i="9"/>
  <c r="T127" i="9"/>
  <c r="O128" i="9"/>
  <c r="P128" i="9"/>
  <c r="Q128" i="9"/>
  <c r="R128" i="9"/>
  <c r="S128" i="9"/>
  <c r="T128" i="9"/>
  <c r="O129" i="9"/>
  <c r="P129" i="9"/>
  <c r="Q129" i="9"/>
  <c r="R129" i="9"/>
  <c r="S129" i="9"/>
  <c r="T129" i="9"/>
  <c r="O130" i="9"/>
  <c r="P130" i="9"/>
  <c r="Q130" i="9"/>
  <c r="R130" i="9"/>
  <c r="S130" i="9"/>
  <c r="T130" i="9"/>
  <c r="O131" i="9"/>
  <c r="P131" i="9"/>
  <c r="Q131" i="9"/>
  <c r="R131" i="9"/>
  <c r="S131" i="9"/>
  <c r="T131" i="9"/>
  <c r="O132" i="9"/>
  <c r="P132" i="9"/>
  <c r="Q132" i="9"/>
  <c r="R132" i="9"/>
  <c r="S132" i="9"/>
  <c r="T132" i="9"/>
  <c r="O133" i="9"/>
  <c r="P133" i="9"/>
  <c r="Q133" i="9"/>
  <c r="R133" i="9"/>
  <c r="S133" i="9"/>
  <c r="T133" i="9"/>
  <c r="O134" i="9"/>
  <c r="P134" i="9"/>
  <c r="Q134" i="9"/>
  <c r="R134" i="9"/>
  <c r="S134" i="9"/>
  <c r="T134" i="9"/>
  <c r="O135" i="9"/>
  <c r="P135" i="9"/>
  <c r="Q135" i="9"/>
  <c r="R135" i="9"/>
  <c r="S135" i="9"/>
  <c r="T135" i="9"/>
  <c r="X135" i="9" s="1"/>
  <c r="O136" i="9"/>
  <c r="P136" i="9"/>
  <c r="Q136" i="9"/>
  <c r="R136" i="9"/>
  <c r="S136" i="9"/>
  <c r="T136" i="9"/>
  <c r="O137" i="9"/>
  <c r="P137" i="9"/>
  <c r="Q137" i="9"/>
  <c r="R137" i="9"/>
  <c r="S137" i="9"/>
  <c r="T137" i="9"/>
  <c r="O138" i="9"/>
  <c r="P138" i="9"/>
  <c r="Q138" i="9"/>
  <c r="R138" i="9"/>
  <c r="S138" i="9"/>
  <c r="T138" i="9"/>
  <c r="O139" i="9"/>
  <c r="P139" i="9"/>
  <c r="Q139" i="9"/>
  <c r="R139" i="9"/>
  <c r="S139" i="9"/>
  <c r="T139" i="9"/>
  <c r="O140" i="9"/>
  <c r="P140" i="9"/>
  <c r="Q140" i="9"/>
  <c r="X140" i="9" s="1"/>
  <c r="R140" i="9"/>
  <c r="S140" i="9"/>
  <c r="T140" i="9"/>
  <c r="O141" i="9"/>
  <c r="P141" i="9"/>
  <c r="Q141" i="9"/>
  <c r="R141" i="9"/>
  <c r="S141" i="9"/>
  <c r="T141" i="9"/>
  <c r="O142" i="9"/>
  <c r="P142" i="9"/>
  <c r="Q142" i="9"/>
  <c r="R142" i="9"/>
  <c r="S142" i="9"/>
  <c r="T142" i="9"/>
  <c r="O143" i="9"/>
  <c r="P143" i="9"/>
  <c r="Q143" i="9"/>
  <c r="R143" i="9"/>
  <c r="S143" i="9"/>
  <c r="T143" i="9"/>
  <c r="O144" i="9"/>
  <c r="P144" i="9"/>
  <c r="Q144" i="9"/>
  <c r="R144" i="9"/>
  <c r="S144" i="9"/>
  <c r="T144" i="9"/>
  <c r="O145" i="9"/>
  <c r="P145" i="9"/>
  <c r="Q145" i="9"/>
  <c r="R145" i="9"/>
  <c r="S145" i="9"/>
  <c r="T145" i="9"/>
  <c r="O146" i="9"/>
  <c r="P146" i="9"/>
  <c r="Q146" i="9"/>
  <c r="R146" i="9"/>
  <c r="S146" i="9"/>
  <c r="T146" i="9"/>
  <c r="O147" i="9"/>
  <c r="P147" i="9"/>
  <c r="Q147" i="9"/>
  <c r="R147" i="9"/>
  <c r="S147" i="9"/>
  <c r="T147" i="9"/>
  <c r="O148" i="9"/>
  <c r="P148" i="9"/>
  <c r="Q148" i="9"/>
  <c r="R148" i="9"/>
  <c r="S148" i="9"/>
  <c r="T148" i="9"/>
  <c r="O149" i="9"/>
  <c r="P149" i="9"/>
  <c r="Q149" i="9"/>
  <c r="R149" i="9"/>
  <c r="S149" i="9"/>
  <c r="T149" i="9"/>
  <c r="O150" i="9"/>
  <c r="P150" i="9"/>
  <c r="Q150" i="9"/>
  <c r="R150" i="9"/>
  <c r="S150" i="9"/>
  <c r="T150" i="9"/>
  <c r="O151" i="9"/>
  <c r="P151" i="9"/>
  <c r="Q151" i="9"/>
  <c r="R151" i="9"/>
  <c r="S151" i="9"/>
  <c r="T151" i="9"/>
  <c r="O152" i="9"/>
  <c r="P152" i="9"/>
  <c r="Q152" i="9"/>
  <c r="R152" i="9"/>
  <c r="V152" i="9" s="1"/>
  <c r="S152" i="9"/>
  <c r="T152" i="9"/>
  <c r="O153" i="9"/>
  <c r="P153" i="9"/>
  <c r="Q153" i="9"/>
  <c r="R153" i="9"/>
  <c r="S153" i="9"/>
  <c r="T153" i="9"/>
  <c r="O154" i="9"/>
  <c r="P154" i="9"/>
  <c r="Q154" i="9"/>
  <c r="R154" i="9"/>
  <c r="S154" i="9"/>
  <c r="T154" i="9"/>
  <c r="O155" i="9"/>
  <c r="P155" i="9"/>
  <c r="Q155" i="9"/>
  <c r="R155" i="9"/>
  <c r="S155" i="9"/>
  <c r="T155" i="9"/>
  <c r="O156" i="9"/>
  <c r="P156" i="9"/>
  <c r="Q156" i="9"/>
  <c r="R156" i="9"/>
  <c r="S156" i="9"/>
  <c r="T156" i="9"/>
  <c r="O157" i="9"/>
  <c r="P157" i="9"/>
  <c r="Q157" i="9"/>
  <c r="R157" i="9"/>
  <c r="S157" i="9"/>
  <c r="W157" i="9" s="1"/>
  <c r="T157" i="9"/>
  <c r="O158" i="9"/>
  <c r="P158" i="9"/>
  <c r="Q158" i="9"/>
  <c r="R158" i="9"/>
  <c r="S158" i="9"/>
  <c r="T158" i="9"/>
  <c r="O159" i="9"/>
  <c r="P159" i="9"/>
  <c r="Q159" i="9"/>
  <c r="R159" i="9"/>
  <c r="S159" i="9"/>
  <c r="T159" i="9"/>
  <c r="O160" i="9"/>
  <c r="P160" i="9"/>
  <c r="Q160" i="9"/>
  <c r="R160" i="9"/>
  <c r="S160" i="9"/>
  <c r="T160" i="9"/>
  <c r="O161" i="9"/>
  <c r="P161" i="9"/>
  <c r="Q161" i="9"/>
  <c r="R161" i="9"/>
  <c r="S161" i="9"/>
  <c r="T161" i="9"/>
  <c r="O162" i="9"/>
  <c r="P162" i="9"/>
  <c r="Q162" i="9"/>
  <c r="R162" i="9"/>
  <c r="S162" i="9"/>
  <c r="T162" i="9"/>
  <c r="O163" i="9"/>
  <c r="P163" i="9"/>
  <c r="Q163" i="9"/>
  <c r="R163" i="9"/>
  <c r="S163" i="9"/>
  <c r="W163" i="9" s="1"/>
  <c r="T163" i="9"/>
  <c r="O164" i="9"/>
  <c r="P164" i="9"/>
  <c r="Q164" i="9"/>
  <c r="R164" i="9"/>
  <c r="S164" i="9"/>
  <c r="T164" i="9"/>
  <c r="O165" i="9"/>
  <c r="P165" i="9"/>
  <c r="Q165" i="9"/>
  <c r="R165" i="9"/>
  <c r="S165" i="9"/>
  <c r="T165" i="9"/>
  <c r="O166" i="9"/>
  <c r="P166" i="9"/>
  <c r="Q166" i="9"/>
  <c r="R166" i="9"/>
  <c r="S166" i="9"/>
  <c r="T166" i="9"/>
  <c r="O167" i="9"/>
  <c r="P167" i="9"/>
  <c r="Q167" i="9"/>
  <c r="R167" i="9"/>
  <c r="S167" i="9"/>
  <c r="T167" i="9"/>
  <c r="O168" i="9"/>
  <c r="P168" i="9"/>
  <c r="Q168" i="9"/>
  <c r="R168" i="9"/>
  <c r="S168" i="9"/>
  <c r="T168" i="9"/>
  <c r="X168" i="9" s="1"/>
  <c r="O169" i="9"/>
  <c r="P169" i="9"/>
  <c r="Q169" i="9"/>
  <c r="R169" i="9"/>
  <c r="S169" i="9"/>
  <c r="T169" i="9"/>
  <c r="O170" i="9"/>
  <c r="P170" i="9"/>
  <c r="Q170" i="9"/>
  <c r="R170" i="9"/>
  <c r="S170" i="9"/>
  <c r="T170" i="9"/>
  <c r="O171" i="9"/>
  <c r="P171" i="9"/>
  <c r="Q171" i="9"/>
  <c r="R171" i="9"/>
  <c r="S171" i="9"/>
  <c r="T171" i="9"/>
  <c r="O172" i="9"/>
  <c r="P172" i="9"/>
  <c r="Q172" i="9"/>
  <c r="R172" i="9"/>
  <c r="S172" i="9"/>
  <c r="T172" i="9"/>
  <c r="O173" i="9"/>
  <c r="P173" i="9"/>
  <c r="Q173" i="9"/>
  <c r="R173" i="9"/>
  <c r="S173" i="9"/>
  <c r="W173" i="9" s="1"/>
  <c r="T173" i="9"/>
  <c r="X173" i="9" s="1"/>
  <c r="O174" i="9"/>
  <c r="P174" i="9"/>
  <c r="Q174" i="9"/>
  <c r="R174" i="9"/>
  <c r="S174" i="9"/>
  <c r="T174" i="9"/>
  <c r="O175" i="9"/>
  <c r="P175" i="9"/>
  <c r="Q175" i="9"/>
  <c r="R175" i="9"/>
  <c r="S175" i="9"/>
  <c r="T175" i="9"/>
  <c r="O176" i="9"/>
  <c r="P176" i="9"/>
  <c r="Q176" i="9"/>
  <c r="R176" i="9"/>
  <c r="S176" i="9"/>
  <c r="T176" i="9"/>
  <c r="O177" i="9"/>
  <c r="P177" i="9"/>
  <c r="Q177" i="9"/>
  <c r="R177" i="9"/>
  <c r="S177" i="9"/>
  <c r="T177" i="9"/>
  <c r="O178" i="9"/>
  <c r="P178" i="9"/>
  <c r="Q178" i="9"/>
  <c r="R178" i="9"/>
  <c r="S178" i="9"/>
  <c r="T178" i="9"/>
  <c r="O179" i="9"/>
  <c r="P179" i="9"/>
  <c r="Q179" i="9"/>
  <c r="R179" i="9"/>
  <c r="S179" i="9"/>
  <c r="T179" i="9"/>
  <c r="O180" i="9"/>
  <c r="P180" i="9"/>
  <c r="Q180" i="9"/>
  <c r="R180" i="9"/>
  <c r="S180" i="9"/>
  <c r="T180" i="9"/>
  <c r="O181" i="9"/>
  <c r="P181" i="9"/>
  <c r="Q181" i="9"/>
  <c r="R181" i="9"/>
  <c r="S181" i="9"/>
  <c r="T181" i="9"/>
  <c r="O182" i="9"/>
  <c r="P182" i="9"/>
  <c r="Q182" i="9"/>
  <c r="R182" i="9"/>
  <c r="S182" i="9"/>
  <c r="T182" i="9"/>
  <c r="O183" i="9"/>
  <c r="P183" i="9"/>
  <c r="Q183" i="9"/>
  <c r="R183" i="9"/>
  <c r="S183" i="9"/>
  <c r="T183" i="9"/>
  <c r="O184" i="9"/>
  <c r="P184" i="9"/>
  <c r="Q184" i="9"/>
  <c r="R184" i="9"/>
  <c r="S184" i="9"/>
  <c r="T184" i="9"/>
  <c r="O185" i="9"/>
  <c r="P185" i="9"/>
  <c r="Q185" i="9"/>
  <c r="R185" i="9"/>
  <c r="S185" i="9"/>
  <c r="T185" i="9"/>
  <c r="O186" i="9"/>
  <c r="P186" i="9"/>
  <c r="Q186" i="9"/>
  <c r="R186" i="9"/>
  <c r="S186" i="9"/>
  <c r="T186" i="9"/>
  <c r="O187" i="9"/>
  <c r="P187" i="9"/>
  <c r="Q187" i="9"/>
  <c r="R187" i="9"/>
  <c r="S187" i="9"/>
  <c r="T187" i="9"/>
  <c r="O188" i="9"/>
  <c r="P188" i="9"/>
  <c r="Q188" i="9"/>
  <c r="X188" i="9" s="1"/>
  <c r="R188" i="9"/>
  <c r="S188" i="9"/>
  <c r="T188" i="9"/>
  <c r="O189" i="9"/>
  <c r="P189" i="9"/>
  <c r="Q189" i="9"/>
  <c r="R189" i="9"/>
  <c r="S189" i="9"/>
  <c r="T189" i="9"/>
  <c r="O190" i="9"/>
  <c r="P190" i="9"/>
  <c r="Q190" i="9"/>
  <c r="R190" i="9"/>
  <c r="S190" i="9"/>
  <c r="T190" i="9"/>
  <c r="O191" i="9"/>
  <c r="P191" i="9"/>
  <c r="Q191" i="9"/>
  <c r="R191" i="9"/>
  <c r="S191" i="9"/>
  <c r="T191" i="9"/>
  <c r="O192" i="9"/>
  <c r="P192" i="9"/>
  <c r="Q192" i="9"/>
  <c r="R192" i="9"/>
  <c r="S192" i="9"/>
  <c r="T192" i="9"/>
  <c r="O193" i="9"/>
  <c r="P193" i="9"/>
  <c r="Q193" i="9"/>
  <c r="R193" i="9"/>
  <c r="S193" i="9"/>
  <c r="T193" i="9"/>
  <c r="O194" i="9"/>
  <c r="P194" i="9"/>
  <c r="Q194" i="9"/>
  <c r="R194" i="9"/>
  <c r="S194" i="9"/>
  <c r="T194" i="9"/>
  <c r="O195" i="9"/>
  <c r="P195" i="9"/>
  <c r="Q195" i="9"/>
  <c r="R195" i="9"/>
  <c r="S195" i="9"/>
  <c r="T195" i="9"/>
  <c r="O196" i="9"/>
  <c r="P196" i="9"/>
  <c r="Q196" i="9"/>
  <c r="R196" i="9"/>
  <c r="S196" i="9"/>
  <c r="T196" i="9"/>
  <c r="O197" i="9"/>
  <c r="P197" i="9"/>
  <c r="Q197" i="9"/>
  <c r="R197" i="9"/>
  <c r="S197" i="9"/>
  <c r="T197" i="9"/>
  <c r="O198" i="9"/>
  <c r="P198" i="9"/>
  <c r="Q198" i="9"/>
  <c r="R198" i="9"/>
  <c r="S198" i="9"/>
  <c r="T198" i="9"/>
  <c r="O199" i="9"/>
  <c r="P199" i="9"/>
  <c r="Q199" i="9"/>
  <c r="R199" i="9"/>
  <c r="S199" i="9"/>
  <c r="T199" i="9"/>
  <c r="O200" i="9"/>
  <c r="P200" i="9"/>
  <c r="Q200" i="9"/>
  <c r="R200" i="9"/>
  <c r="S200" i="9"/>
  <c r="T200" i="9"/>
  <c r="O201" i="9"/>
  <c r="P201" i="9"/>
  <c r="Q201" i="9"/>
  <c r="R201" i="9"/>
  <c r="S201" i="9"/>
  <c r="T201" i="9"/>
  <c r="O202" i="9"/>
  <c r="P202" i="9"/>
  <c r="Q202" i="9"/>
  <c r="R202" i="9"/>
  <c r="S202" i="9"/>
  <c r="T202" i="9"/>
  <c r="O203" i="9"/>
  <c r="P203" i="9"/>
  <c r="Q203" i="9"/>
  <c r="R203" i="9"/>
  <c r="S203" i="9"/>
  <c r="T203" i="9"/>
  <c r="O204" i="9"/>
  <c r="P204" i="9"/>
  <c r="Q204" i="9"/>
  <c r="R204" i="9"/>
  <c r="S204" i="9"/>
  <c r="T204" i="9"/>
  <c r="O205" i="9"/>
  <c r="P205" i="9"/>
  <c r="Q205" i="9"/>
  <c r="R205" i="9"/>
  <c r="S205" i="9"/>
  <c r="T205" i="9"/>
  <c r="O206" i="9"/>
  <c r="P206" i="9"/>
  <c r="Q206" i="9"/>
  <c r="R206" i="9"/>
  <c r="S206" i="9"/>
  <c r="T206" i="9"/>
  <c r="O207" i="9"/>
  <c r="P207" i="9"/>
  <c r="Q207" i="9"/>
  <c r="R207" i="9"/>
  <c r="S207" i="9"/>
  <c r="T207" i="9"/>
  <c r="O208" i="9"/>
  <c r="P208" i="9"/>
  <c r="Q208" i="9"/>
  <c r="R208" i="9"/>
  <c r="S208" i="9"/>
  <c r="T208" i="9"/>
  <c r="O209" i="9"/>
  <c r="P209" i="9"/>
  <c r="Q209" i="9"/>
  <c r="R209" i="9"/>
  <c r="S209" i="9"/>
  <c r="T209" i="9"/>
  <c r="O210" i="9"/>
  <c r="P210" i="9"/>
  <c r="Q210" i="9"/>
  <c r="R210" i="9"/>
  <c r="S210" i="9"/>
  <c r="T210" i="9"/>
  <c r="O211" i="9"/>
  <c r="P211" i="9"/>
  <c r="Q211" i="9"/>
  <c r="R211" i="9"/>
  <c r="S211" i="9"/>
  <c r="T211" i="9"/>
  <c r="O212" i="9"/>
  <c r="P212" i="9"/>
  <c r="Q212" i="9"/>
  <c r="R212" i="9"/>
  <c r="S212" i="9"/>
  <c r="T212" i="9"/>
  <c r="O213" i="9"/>
  <c r="P213" i="9"/>
  <c r="Q213" i="9"/>
  <c r="R213" i="9"/>
  <c r="S213" i="9"/>
  <c r="T213" i="9"/>
  <c r="O214" i="9"/>
  <c r="P214" i="9"/>
  <c r="Q214" i="9"/>
  <c r="R214" i="9"/>
  <c r="S214" i="9"/>
  <c r="T214" i="9"/>
  <c r="O215" i="9"/>
  <c r="P215" i="9"/>
  <c r="Q215" i="9"/>
  <c r="R215" i="9"/>
  <c r="S215" i="9"/>
  <c r="T215" i="9"/>
  <c r="O216" i="9"/>
  <c r="P216" i="9"/>
  <c r="Q216" i="9"/>
  <c r="R216" i="9"/>
  <c r="S216" i="9"/>
  <c r="T216" i="9"/>
  <c r="O217" i="9"/>
  <c r="P217" i="9"/>
  <c r="Q217" i="9"/>
  <c r="R217" i="9"/>
  <c r="S217" i="9"/>
  <c r="T217" i="9"/>
  <c r="O218" i="9"/>
  <c r="P218" i="9"/>
  <c r="Q218" i="9"/>
  <c r="R218" i="9"/>
  <c r="S218" i="9"/>
  <c r="T218" i="9"/>
  <c r="O219" i="9"/>
  <c r="P219" i="9"/>
  <c r="Q219" i="9"/>
  <c r="R219" i="9"/>
  <c r="S219" i="9"/>
  <c r="T219" i="9"/>
  <c r="O220" i="9"/>
  <c r="P220" i="9"/>
  <c r="Q220" i="9"/>
  <c r="R220" i="9"/>
  <c r="S220" i="9"/>
  <c r="T220" i="9"/>
  <c r="O221" i="9"/>
  <c r="P221" i="9"/>
  <c r="Q221" i="9"/>
  <c r="R221" i="9"/>
  <c r="S221" i="9"/>
  <c r="T221" i="9"/>
  <c r="O222" i="9"/>
  <c r="P222" i="9"/>
  <c r="Q222" i="9"/>
  <c r="R222" i="9"/>
  <c r="S222" i="9"/>
  <c r="T222" i="9"/>
  <c r="O223" i="9"/>
  <c r="P223" i="9"/>
  <c r="Q223" i="9"/>
  <c r="R223" i="9"/>
  <c r="S223" i="9"/>
  <c r="T223" i="9"/>
  <c r="O224" i="9"/>
  <c r="P224" i="9"/>
  <c r="Q224" i="9"/>
  <c r="R224" i="9"/>
  <c r="S224" i="9"/>
  <c r="T224" i="9"/>
  <c r="O225" i="9"/>
  <c r="P225" i="9"/>
  <c r="Q225" i="9"/>
  <c r="R225" i="9"/>
  <c r="S225" i="9"/>
  <c r="T225" i="9"/>
  <c r="O226" i="9"/>
  <c r="P226" i="9"/>
  <c r="Q226" i="9"/>
  <c r="R226" i="9"/>
  <c r="S226" i="9"/>
  <c r="T226" i="9"/>
  <c r="O227" i="9"/>
  <c r="P227" i="9"/>
  <c r="Q227" i="9"/>
  <c r="R227" i="9"/>
  <c r="S227" i="9"/>
  <c r="T227" i="9"/>
  <c r="O228" i="9"/>
  <c r="P228" i="9"/>
  <c r="Q228" i="9"/>
  <c r="R228" i="9"/>
  <c r="S228" i="9"/>
  <c r="T228" i="9"/>
  <c r="O229" i="9"/>
  <c r="P229" i="9"/>
  <c r="Q229" i="9"/>
  <c r="R229" i="9"/>
  <c r="S229" i="9"/>
  <c r="T229" i="9"/>
  <c r="O230" i="9"/>
  <c r="P230" i="9"/>
  <c r="Q230" i="9"/>
  <c r="R230" i="9"/>
  <c r="S230" i="9"/>
  <c r="T230" i="9"/>
  <c r="O231" i="9"/>
  <c r="P231" i="9"/>
  <c r="Q231" i="9"/>
  <c r="R231" i="9"/>
  <c r="S231" i="9"/>
  <c r="T231" i="9"/>
  <c r="X231" i="9" s="1"/>
  <c r="O232" i="9"/>
  <c r="P232" i="9"/>
  <c r="Q232" i="9"/>
  <c r="R232" i="9"/>
  <c r="S232" i="9"/>
  <c r="T232" i="9"/>
  <c r="X232" i="9" s="1"/>
  <c r="O233" i="9"/>
  <c r="P233" i="9"/>
  <c r="Q233" i="9"/>
  <c r="R233" i="9"/>
  <c r="S233" i="9"/>
  <c r="T233" i="9"/>
  <c r="O234" i="9"/>
  <c r="P234" i="9"/>
  <c r="Q234" i="9"/>
  <c r="R234" i="9"/>
  <c r="S234" i="9"/>
  <c r="T234" i="9"/>
  <c r="O235" i="9"/>
  <c r="P235" i="9"/>
  <c r="Q235" i="9"/>
  <c r="R235" i="9"/>
  <c r="S235" i="9"/>
  <c r="T235" i="9"/>
  <c r="O236" i="9"/>
  <c r="P236" i="9"/>
  <c r="Q236" i="9"/>
  <c r="R236" i="9"/>
  <c r="S236" i="9"/>
  <c r="T236" i="9"/>
  <c r="O237" i="9"/>
  <c r="P237" i="9"/>
  <c r="Q237" i="9"/>
  <c r="R237" i="9"/>
  <c r="S237" i="9"/>
  <c r="T237" i="9"/>
  <c r="O238" i="9"/>
  <c r="P238" i="9"/>
  <c r="Q238" i="9"/>
  <c r="R238" i="9"/>
  <c r="S238" i="9"/>
  <c r="T238" i="9"/>
  <c r="O239" i="9"/>
  <c r="P239" i="9"/>
  <c r="Q239" i="9"/>
  <c r="R239" i="9"/>
  <c r="S239" i="9"/>
  <c r="T239" i="9"/>
  <c r="O240" i="9"/>
  <c r="P240" i="9"/>
  <c r="Q240" i="9"/>
  <c r="R240" i="9"/>
  <c r="S240" i="9"/>
  <c r="T240" i="9"/>
  <c r="O241" i="9"/>
  <c r="P241" i="9"/>
  <c r="Q241" i="9"/>
  <c r="R241" i="9"/>
  <c r="S241" i="9"/>
  <c r="T241" i="9"/>
  <c r="O242" i="9"/>
  <c r="P242" i="9"/>
  <c r="Q242" i="9"/>
  <c r="R242" i="9"/>
  <c r="S242" i="9"/>
  <c r="T242" i="9"/>
  <c r="O243" i="9"/>
  <c r="P243" i="9"/>
  <c r="Q243" i="9"/>
  <c r="R243" i="9"/>
  <c r="S243" i="9"/>
  <c r="T243" i="9"/>
  <c r="O244" i="9"/>
  <c r="P244" i="9"/>
  <c r="Q244" i="9"/>
  <c r="R244" i="9"/>
  <c r="S244" i="9"/>
  <c r="T244" i="9"/>
  <c r="O245" i="9"/>
  <c r="P245" i="9"/>
  <c r="Q245" i="9"/>
  <c r="R245" i="9"/>
  <c r="S245" i="9"/>
  <c r="T245" i="9"/>
  <c r="O246" i="9"/>
  <c r="P246" i="9"/>
  <c r="Q246" i="9"/>
  <c r="R246" i="9"/>
  <c r="S246" i="9"/>
  <c r="T246" i="9"/>
  <c r="O247" i="9"/>
  <c r="P247" i="9"/>
  <c r="Q247" i="9"/>
  <c r="R247" i="9"/>
  <c r="S247" i="9"/>
  <c r="T247" i="9"/>
  <c r="O248" i="9"/>
  <c r="P248" i="9"/>
  <c r="Q248" i="9"/>
  <c r="R248" i="9"/>
  <c r="S248" i="9"/>
  <c r="T248" i="9"/>
  <c r="O249" i="9"/>
  <c r="P249" i="9"/>
  <c r="Q249" i="9"/>
  <c r="R249" i="9"/>
  <c r="S249" i="9"/>
  <c r="T249" i="9"/>
  <c r="O250" i="9"/>
  <c r="P250" i="9"/>
  <c r="Q250" i="9"/>
  <c r="R250" i="9"/>
  <c r="S250" i="9"/>
  <c r="T250" i="9"/>
  <c r="O251" i="9"/>
  <c r="P251" i="9"/>
  <c r="Q251" i="9"/>
  <c r="R251" i="9"/>
  <c r="S251" i="9"/>
  <c r="T251" i="9"/>
  <c r="O252" i="9"/>
  <c r="P252" i="9"/>
  <c r="Q252" i="9"/>
  <c r="R252" i="9"/>
  <c r="S252" i="9"/>
  <c r="T252" i="9"/>
  <c r="O253" i="9"/>
  <c r="P253" i="9"/>
  <c r="Q253" i="9"/>
  <c r="R253" i="9"/>
  <c r="S253" i="9"/>
  <c r="T253" i="9"/>
  <c r="O254" i="9"/>
  <c r="P254" i="9"/>
  <c r="Q254" i="9"/>
  <c r="R254" i="9"/>
  <c r="S254" i="9"/>
  <c r="T254" i="9"/>
  <c r="O255" i="9"/>
  <c r="P255" i="9"/>
  <c r="Q255" i="9"/>
  <c r="R255" i="9"/>
  <c r="S255" i="9"/>
  <c r="T255" i="9"/>
  <c r="O256" i="9"/>
  <c r="P256" i="9"/>
  <c r="Q256" i="9"/>
  <c r="R256" i="9"/>
  <c r="S256" i="9"/>
  <c r="T256" i="9"/>
  <c r="O257" i="9"/>
  <c r="P257" i="9"/>
  <c r="Q257" i="9"/>
  <c r="R257" i="9"/>
  <c r="S257" i="9"/>
  <c r="T257" i="9"/>
  <c r="O258" i="9"/>
  <c r="P258" i="9"/>
  <c r="Q258" i="9"/>
  <c r="R258" i="9"/>
  <c r="V258" i="9" s="1"/>
  <c r="S258" i="9"/>
  <c r="W258" i="9" s="1"/>
  <c r="T258" i="9"/>
  <c r="O259" i="9"/>
  <c r="P259" i="9"/>
  <c r="Q259" i="9"/>
  <c r="R259" i="9"/>
  <c r="S259" i="9"/>
  <c r="T259" i="9"/>
  <c r="O260" i="9"/>
  <c r="P260" i="9"/>
  <c r="Q260" i="9"/>
  <c r="R260" i="9"/>
  <c r="S260" i="9"/>
  <c r="T260" i="9"/>
  <c r="O261" i="9"/>
  <c r="P261" i="9"/>
  <c r="Q261" i="9"/>
  <c r="R261" i="9"/>
  <c r="S261" i="9"/>
  <c r="T261" i="9"/>
  <c r="O262" i="9"/>
  <c r="P262" i="9"/>
  <c r="Q262" i="9"/>
  <c r="R262" i="9"/>
  <c r="S262" i="9"/>
  <c r="T262" i="9"/>
  <c r="O263" i="9"/>
  <c r="P263" i="9"/>
  <c r="Q263" i="9"/>
  <c r="R263" i="9"/>
  <c r="S263" i="9"/>
  <c r="T263" i="9"/>
  <c r="O264" i="9"/>
  <c r="P264" i="9"/>
  <c r="Q264" i="9"/>
  <c r="R264" i="9"/>
  <c r="S264" i="9"/>
  <c r="T264" i="9"/>
  <c r="O265" i="9"/>
  <c r="P265" i="9"/>
  <c r="Q265" i="9"/>
  <c r="R265" i="9"/>
  <c r="S265" i="9"/>
  <c r="T265" i="9"/>
  <c r="O266" i="9"/>
  <c r="P266" i="9"/>
  <c r="Q266" i="9"/>
  <c r="R266" i="9"/>
  <c r="S266" i="9"/>
  <c r="W266" i="9" s="1"/>
  <c r="T266" i="9"/>
  <c r="O267" i="9"/>
  <c r="P267" i="9"/>
  <c r="Q267" i="9"/>
  <c r="R267" i="9"/>
  <c r="S267" i="9"/>
  <c r="T267" i="9"/>
  <c r="O268" i="9"/>
  <c r="P268" i="9"/>
  <c r="Q268" i="9"/>
  <c r="R268" i="9"/>
  <c r="S268" i="9"/>
  <c r="T268" i="9"/>
  <c r="O269" i="9"/>
  <c r="P269" i="9"/>
  <c r="Q269" i="9"/>
  <c r="R269" i="9"/>
  <c r="S269" i="9"/>
  <c r="T269" i="9"/>
  <c r="O270" i="9"/>
  <c r="P270" i="9"/>
  <c r="Q270" i="9"/>
  <c r="R270" i="9"/>
  <c r="S270" i="9"/>
  <c r="T270" i="9"/>
  <c r="O271" i="9"/>
  <c r="P271" i="9"/>
  <c r="Q271" i="9"/>
  <c r="R271" i="9"/>
  <c r="S271" i="9"/>
  <c r="T271" i="9"/>
  <c r="O272" i="9"/>
  <c r="P272" i="9"/>
  <c r="Q272" i="9"/>
  <c r="R272" i="9"/>
  <c r="S272" i="9"/>
  <c r="T272" i="9"/>
  <c r="O273" i="9"/>
  <c r="P273" i="9"/>
  <c r="Q273" i="9"/>
  <c r="R273" i="9"/>
  <c r="S273" i="9"/>
  <c r="T273" i="9"/>
  <c r="O274" i="9"/>
  <c r="P274" i="9"/>
  <c r="Q274" i="9"/>
  <c r="R274" i="9"/>
  <c r="S274" i="9"/>
  <c r="W274" i="9" s="1"/>
  <c r="T274" i="9"/>
  <c r="O275" i="9"/>
  <c r="P275" i="9"/>
  <c r="Q275" i="9"/>
  <c r="R275" i="9"/>
  <c r="S275" i="9"/>
  <c r="T275" i="9"/>
  <c r="O276" i="9"/>
  <c r="P276" i="9"/>
  <c r="Q276" i="9"/>
  <c r="R276" i="9"/>
  <c r="S276" i="9"/>
  <c r="T276" i="9"/>
  <c r="O277" i="9"/>
  <c r="P277" i="9"/>
  <c r="Q277" i="9"/>
  <c r="R277" i="9"/>
  <c r="S277" i="9"/>
  <c r="T277" i="9"/>
  <c r="O278" i="9"/>
  <c r="P278" i="9"/>
  <c r="Q278" i="9"/>
  <c r="R278" i="9"/>
  <c r="S278" i="9"/>
  <c r="T278" i="9"/>
  <c r="O279" i="9"/>
  <c r="P279" i="9"/>
  <c r="Q279" i="9"/>
  <c r="R279" i="9"/>
  <c r="S279" i="9"/>
  <c r="T279" i="9"/>
  <c r="X279" i="9" s="1"/>
  <c r="O280" i="9"/>
  <c r="P280" i="9"/>
  <c r="Q280" i="9"/>
  <c r="R280" i="9"/>
  <c r="S280" i="9"/>
  <c r="T280" i="9"/>
  <c r="O281" i="9"/>
  <c r="P281" i="9"/>
  <c r="Q281" i="9"/>
  <c r="R281" i="9"/>
  <c r="S281" i="9"/>
  <c r="T281" i="9"/>
  <c r="O282" i="9"/>
  <c r="P282" i="9"/>
  <c r="Q282" i="9"/>
  <c r="R282" i="9"/>
  <c r="S282" i="9"/>
  <c r="W282" i="9" s="1"/>
  <c r="T282" i="9"/>
  <c r="O283" i="9"/>
  <c r="P283" i="9"/>
  <c r="Q283" i="9"/>
  <c r="R283" i="9"/>
  <c r="S283" i="9"/>
  <c r="T283" i="9"/>
  <c r="O284" i="9"/>
  <c r="P284" i="9"/>
  <c r="Q284" i="9"/>
  <c r="R284" i="9"/>
  <c r="S284" i="9"/>
  <c r="T284" i="9"/>
  <c r="O285" i="9"/>
  <c r="P285" i="9"/>
  <c r="Q285" i="9"/>
  <c r="R285" i="9"/>
  <c r="S285" i="9"/>
  <c r="T285" i="9"/>
  <c r="O286" i="9"/>
  <c r="P286" i="9"/>
  <c r="Q286" i="9"/>
  <c r="R286" i="9"/>
  <c r="S286" i="9"/>
  <c r="T286" i="9"/>
  <c r="O287" i="9"/>
  <c r="P287" i="9"/>
  <c r="Q287" i="9"/>
  <c r="R287" i="9"/>
  <c r="S287" i="9"/>
  <c r="T287" i="9"/>
  <c r="O288" i="9"/>
  <c r="P288" i="9"/>
  <c r="Q288" i="9"/>
  <c r="R288" i="9"/>
  <c r="S288" i="9"/>
  <c r="T288" i="9"/>
  <c r="O289" i="9"/>
  <c r="P289" i="9"/>
  <c r="Q289" i="9"/>
  <c r="R289" i="9"/>
  <c r="S289" i="9"/>
  <c r="T289" i="9"/>
  <c r="O290" i="9"/>
  <c r="P290" i="9"/>
  <c r="Q290" i="9"/>
  <c r="R290" i="9"/>
  <c r="S290" i="9"/>
  <c r="W290" i="9" s="1"/>
  <c r="T290" i="9"/>
  <c r="O291" i="9"/>
  <c r="P291" i="9"/>
  <c r="Q291" i="9"/>
  <c r="R291" i="9"/>
  <c r="S291" i="9"/>
  <c r="T291" i="9"/>
  <c r="O292" i="9"/>
  <c r="P292" i="9"/>
  <c r="Q292" i="9"/>
  <c r="R292" i="9"/>
  <c r="S292" i="9"/>
  <c r="T292" i="9"/>
  <c r="O293" i="9"/>
  <c r="P293" i="9"/>
  <c r="Q293" i="9"/>
  <c r="R293" i="9"/>
  <c r="S293" i="9"/>
  <c r="T293" i="9"/>
  <c r="O294" i="9"/>
  <c r="P294" i="9"/>
  <c r="Q294" i="9"/>
  <c r="R294" i="9"/>
  <c r="S294" i="9"/>
  <c r="T294" i="9"/>
  <c r="O295" i="9"/>
  <c r="P295" i="9"/>
  <c r="Q295" i="9"/>
  <c r="R295" i="9"/>
  <c r="S295" i="9"/>
  <c r="T295" i="9"/>
  <c r="O296" i="9"/>
  <c r="P296" i="9"/>
  <c r="Q296" i="9"/>
  <c r="R296" i="9"/>
  <c r="S296" i="9"/>
  <c r="T296" i="9"/>
  <c r="O297" i="9"/>
  <c r="P297" i="9"/>
  <c r="Q297" i="9"/>
  <c r="R297" i="9"/>
  <c r="S297" i="9"/>
  <c r="T297" i="9"/>
  <c r="O298" i="9"/>
  <c r="P298" i="9"/>
  <c r="Q298" i="9"/>
  <c r="R298" i="9"/>
  <c r="S298" i="9"/>
  <c r="W298" i="9" s="1"/>
  <c r="T298" i="9"/>
  <c r="O299" i="9"/>
  <c r="P299" i="9"/>
  <c r="Q299" i="9"/>
  <c r="R299" i="9"/>
  <c r="S299" i="9"/>
  <c r="T299" i="9"/>
  <c r="O300" i="9"/>
  <c r="P300" i="9"/>
  <c r="Q300" i="9"/>
  <c r="R300" i="9"/>
  <c r="S300" i="9"/>
  <c r="T300" i="9"/>
  <c r="O301" i="9"/>
  <c r="P301" i="9"/>
  <c r="Q301" i="9"/>
  <c r="R301" i="9"/>
  <c r="S301" i="9"/>
  <c r="T301" i="9"/>
  <c r="O302" i="9"/>
  <c r="P302" i="9"/>
  <c r="Q302" i="9"/>
  <c r="R302" i="9"/>
  <c r="S302" i="9"/>
  <c r="T302" i="9"/>
  <c r="O303" i="9"/>
  <c r="P303" i="9"/>
  <c r="Q303" i="9"/>
  <c r="R303" i="9"/>
  <c r="S303" i="9"/>
  <c r="T303" i="9"/>
  <c r="O304" i="9"/>
  <c r="P304" i="9"/>
  <c r="Q304" i="9"/>
  <c r="R304" i="9"/>
  <c r="S304" i="9"/>
  <c r="T304" i="9"/>
  <c r="O305" i="9"/>
  <c r="P305" i="9"/>
  <c r="Q305" i="9"/>
  <c r="R305" i="9"/>
  <c r="S305" i="9"/>
  <c r="T305" i="9"/>
  <c r="O306" i="9"/>
  <c r="P306" i="9"/>
  <c r="Q306" i="9"/>
  <c r="R306" i="9"/>
  <c r="S306" i="9"/>
  <c r="W306" i="9" s="1"/>
  <c r="T306" i="9"/>
  <c r="O307" i="9"/>
  <c r="P307" i="9"/>
  <c r="Q307" i="9"/>
  <c r="R307" i="9"/>
  <c r="S307" i="9"/>
  <c r="T307" i="9"/>
  <c r="O308" i="9"/>
  <c r="P308" i="9"/>
  <c r="Q308" i="9"/>
  <c r="R308" i="9"/>
  <c r="S308" i="9"/>
  <c r="T308" i="9"/>
  <c r="O309" i="9"/>
  <c r="P309" i="9"/>
  <c r="Q309" i="9"/>
  <c r="R309" i="9"/>
  <c r="S309" i="9"/>
  <c r="T309" i="9"/>
  <c r="O310" i="9"/>
  <c r="P310" i="9"/>
  <c r="Q310" i="9"/>
  <c r="R310" i="9"/>
  <c r="S310" i="9"/>
  <c r="T310" i="9"/>
  <c r="O311" i="9"/>
  <c r="P311" i="9"/>
  <c r="Q311" i="9"/>
  <c r="R311" i="9"/>
  <c r="S311" i="9"/>
  <c r="T311" i="9"/>
  <c r="O312" i="9"/>
  <c r="P312" i="9"/>
  <c r="Q312" i="9"/>
  <c r="R312" i="9"/>
  <c r="V312" i="9" s="1"/>
  <c r="S312" i="9"/>
  <c r="T312" i="9"/>
  <c r="O313" i="9"/>
  <c r="P313" i="9"/>
  <c r="Q313" i="9"/>
  <c r="R313" i="9"/>
  <c r="S313" i="9"/>
  <c r="T313" i="9"/>
  <c r="O314" i="9"/>
  <c r="P314" i="9"/>
  <c r="Q314" i="9"/>
  <c r="R314" i="9"/>
  <c r="S314" i="9"/>
  <c r="W314" i="9" s="1"/>
  <c r="T314" i="9"/>
  <c r="O315" i="9"/>
  <c r="P315" i="9"/>
  <c r="Q315" i="9"/>
  <c r="R315" i="9"/>
  <c r="S315" i="9"/>
  <c r="T315" i="9"/>
  <c r="O316" i="9"/>
  <c r="P316" i="9"/>
  <c r="Q316" i="9"/>
  <c r="R316" i="9"/>
  <c r="S316" i="9"/>
  <c r="T316" i="9"/>
  <c r="O317" i="9"/>
  <c r="P317" i="9"/>
  <c r="Q317" i="9"/>
  <c r="R317" i="9"/>
  <c r="S317" i="9"/>
  <c r="T317" i="9"/>
  <c r="X317" i="9" s="1"/>
  <c r="O318" i="9"/>
  <c r="P318" i="9"/>
  <c r="Q318" i="9"/>
  <c r="R318" i="9"/>
  <c r="S318" i="9"/>
  <c r="T318" i="9"/>
  <c r="C7" i="9"/>
  <c r="D7" i="9"/>
  <c r="E7" i="9"/>
  <c r="F7" i="9"/>
  <c r="G7" i="9"/>
  <c r="H7" i="9"/>
  <c r="C8" i="9"/>
  <c r="D8" i="9"/>
  <c r="E8" i="9"/>
  <c r="F8" i="9"/>
  <c r="J8" i="9" s="1"/>
  <c r="G8" i="9"/>
  <c r="H8" i="9"/>
  <c r="C9" i="9"/>
  <c r="D9" i="9"/>
  <c r="E9" i="9"/>
  <c r="F9" i="9"/>
  <c r="G9" i="9"/>
  <c r="H9" i="9"/>
  <c r="C10" i="9"/>
  <c r="D10" i="9"/>
  <c r="E10" i="9"/>
  <c r="F10" i="9"/>
  <c r="G10" i="9"/>
  <c r="K10" i="9" s="1"/>
  <c r="H10" i="9"/>
  <c r="C11" i="9"/>
  <c r="D11" i="9"/>
  <c r="E11" i="9"/>
  <c r="F11" i="9"/>
  <c r="G11" i="9"/>
  <c r="H11" i="9"/>
  <c r="C12" i="9"/>
  <c r="D12" i="9"/>
  <c r="E12" i="9"/>
  <c r="F12" i="9"/>
  <c r="G12" i="9"/>
  <c r="H12" i="9"/>
  <c r="C13" i="9"/>
  <c r="D13" i="9"/>
  <c r="E13" i="9"/>
  <c r="F13" i="9"/>
  <c r="G13" i="9"/>
  <c r="H13" i="9"/>
  <c r="L13" i="9" s="1"/>
  <c r="C14" i="9"/>
  <c r="D14" i="9"/>
  <c r="E14" i="9"/>
  <c r="F14" i="9"/>
  <c r="G14" i="9"/>
  <c r="H14" i="9"/>
  <c r="C15" i="9"/>
  <c r="D15" i="9"/>
  <c r="E15" i="9"/>
  <c r="F15" i="9"/>
  <c r="G15" i="9"/>
  <c r="H15" i="9"/>
  <c r="C16" i="9"/>
  <c r="D16" i="9"/>
  <c r="E16" i="9"/>
  <c r="F16" i="9"/>
  <c r="J16" i="9" s="1"/>
  <c r="G16" i="9"/>
  <c r="H16" i="9"/>
  <c r="C17" i="9"/>
  <c r="D17" i="9"/>
  <c r="E17" i="9"/>
  <c r="F17" i="9"/>
  <c r="G17" i="9"/>
  <c r="H17" i="9"/>
  <c r="C18" i="9"/>
  <c r="D18" i="9"/>
  <c r="E18" i="9"/>
  <c r="F18" i="9"/>
  <c r="G18" i="9"/>
  <c r="K18" i="9" s="1"/>
  <c r="H18" i="9"/>
  <c r="C19" i="9"/>
  <c r="D19" i="9"/>
  <c r="E19" i="9"/>
  <c r="F19" i="9"/>
  <c r="G19" i="9"/>
  <c r="H19" i="9"/>
  <c r="C20" i="9"/>
  <c r="D20" i="9"/>
  <c r="E20" i="9"/>
  <c r="F20" i="9"/>
  <c r="G20" i="9"/>
  <c r="H20" i="9"/>
  <c r="C21" i="9"/>
  <c r="D21" i="9"/>
  <c r="E21" i="9"/>
  <c r="F21" i="9"/>
  <c r="G21" i="9"/>
  <c r="H21" i="9"/>
  <c r="L21" i="9" s="1"/>
  <c r="C22" i="9"/>
  <c r="D22" i="9"/>
  <c r="E22" i="9"/>
  <c r="F22" i="9"/>
  <c r="G22" i="9"/>
  <c r="H22" i="9"/>
  <c r="C23" i="9"/>
  <c r="D23" i="9"/>
  <c r="E23" i="9"/>
  <c r="F23" i="9"/>
  <c r="G23" i="9"/>
  <c r="H23" i="9"/>
  <c r="C24" i="9"/>
  <c r="D24" i="9"/>
  <c r="E24" i="9"/>
  <c r="F24" i="9"/>
  <c r="J24" i="9" s="1"/>
  <c r="G24" i="9"/>
  <c r="H24" i="9"/>
  <c r="C25" i="9"/>
  <c r="D25" i="9"/>
  <c r="E25" i="9"/>
  <c r="F25" i="9"/>
  <c r="G25" i="9"/>
  <c r="H25" i="9"/>
  <c r="C26" i="9"/>
  <c r="D26" i="9"/>
  <c r="E26" i="9"/>
  <c r="F26" i="9"/>
  <c r="G26" i="9"/>
  <c r="K26" i="9" s="1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L29" i="9" s="1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J32" i="9" s="1"/>
  <c r="G32" i="9"/>
  <c r="H32" i="9"/>
  <c r="C33" i="9"/>
  <c r="D33" i="9"/>
  <c r="E33" i="9"/>
  <c r="F33" i="9"/>
  <c r="G33" i="9"/>
  <c r="H33" i="9"/>
  <c r="C34" i="9"/>
  <c r="D34" i="9"/>
  <c r="E34" i="9"/>
  <c r="F34" i="9"/>
  <c r="G34" i="9"/>
  <c r="K34" i="9" s="1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L37" i="9" s="1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J40" i="9" s="1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K42" i="9" s="1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L45" i="9" s="1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J48" i="9" s="1"/>
  <c r="G48" i="9"/>
  <c r="H48" i="9"/>
  <c r="C49" i="9"/>
  <c r="D49" i="9"/>
  <c r="E49" i="9"/>
  <c r="F49" i="9"/>
  <c r="G49" i="9"/>
  <c r="H49" i="9"/>
  <c r="C50" i="9"/>
  <c r="D50" i="9"/>
  <c r="E50" i="9"/>
  <c r="F50" i="9"/>
  <c r="J50" i="9" s="1"/>
  <c r="G50" i="9"/>
  <c r="K50" i="9" s="1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L53" i="9" s="1"/>
  <c r="C54" i="9"/>
  <c r="D54" i="9"/>
  <c r="E54" i="9"/>
  <c r="F54" i="9"/>
  <c r="G54" i="9"/>
  <c r="H54" i="9"/>
  <c r="C55" i="9"/>
  <c r="D55" i="9"/>
  <c r="E55" i="9"/>
  <c r="F55" i="9"/>
  <c r="G55" i="9"/>
  <c r="H55" i="9"/>
  <c r="L55" i="9" s="1"/>
  <c r="C56" i="9"/>
  <c r="D56" i="9"/>
  <c r="E56" i="9"/>
  <c r="F56" i="9"/>
  <c r="J56" i="9" s="1"/>
  <c r="G56" i="9"/>
  <c r="H56" i="9"/>
  <c r="C57" i="9"/>
  <c r="D57" i="9"/>
  <c r="E57" i="9"/>
  <c r="F57" i="9"/>
  <c r="G57" i="9"/>
  <c r="H57" i="9"/>
  <c r="C58" i="9"/>
  <c r="D58" i="9"/>
  <c r="E58" i="9"/>
  <c r="F58" i="9"/>
  <c r="J58" i="9" s="1"/>
  <c r="G58" i="9"/>
  <c r="K58" i="9" s="1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L61" i="9" s="1"/>
  <c r="C62" i="9"/>
  <c r="D62" i="9"/>
  <c r="E62" i="9"/>
  <c r="F62" i="9"/>
  <c r="G62" i="9"/>
  <c r="H62" i="9"/>
  <c r="C63" i="9"/>
  <c r="D63" i="9"/>
  <c r="E63" i="9"/>
  <c r="F63" i="9"/>
  <c r="G63" i="9"/>
  <c r="H63" i="9"/>
  <c r="L63" i="9" s="1"/>
  <c r="C64" i="9"/>
  <c r="D64" i="9"/>
  <c r="E64" i="9"/>
  <c r="F64" i="9"/>
  <c r="J64" i="9" s="1"/>
  <c r="G64" i="9"/>
  <c r="H64" i="9"/>
  <c r="C65" i="9"/>
  <c r="D65" i="9"/>
  <c r="E65" i="9"/>
  <c r="F65" i="9"/>
  <c r="J65" i="9" s="1"/>
  <c r="G65" i="9"/>
  <c r="H65" i="9"/>
  <c r="C66" i="9"/>
  <c r="D66" i="9"/>
  <c r="E66" i="9"/>
  <c r="F66" i="9"/>
  <c r="J66" i="9" s="1"/>
  <c r="G66" i="9"/>
  <c r="K66" i="9" s="1"/>
  <c r="H66" i="9"/>
  <c r="C67" i="9"/>
  <c r="D67" i="9"/>
  <c r="E67" i="9"/>
  <c r="F67" i="9"/>
  <c r="G67" i="9"/>
  <c r="H67" i="9"/>
  <c r="C68" i="9"/>
  <c r="D68" i="9"/>
  <c r="E68" i="9"/>
  <c r="F68" i="9"/>
  <c r="G68" i="9"/>
  <c r="H68" i="9"/>
  <c r="C69" i="9"/>
  <c r="D69" i="9"/>
  <c r="E69" i="9"/>
  <c r="F69" i="9"/>
  <c r="G69" i="9"/>
  <c r="H69" i="9"/>
  <c r="L69" i="9" s="1"/>
  <c r="C70" i="9"/>
  <c r="D70" i="9"/>
  <c r="E70" i="9"/>
  <c r="F70" i="9"/>
  <c r="G70" i="9"/>
  <c r="H70" i="9"/>
  <c r="L70" i="9" s="1"/>
  <c r="C71" i="9"/>
  <c r="D71" i="9"/>
  <c r="E71" i="9"/>
  <c r="F71" i="9"/>
  <c r="G71" i="9"/>
  <c r="H71" i="9"/>
  <c r="L71" i="9" s="1"/>
  <c r="C72" i="9"/>
  <c r="D72" i="9"/>
  <c r="E72" i="9"/>
  <c r="F72" i="9"/>
  <c r="J72" i="9" s="1"/>
  <c r="G72" i="9"/>
  <c r="H72" i="9"/>
  <c r="C73" i="9"/>
  <c r="D73" i="9"/>
  <c r="E73" i="9"/>
  <c r="F73" i="9"/>
  <c r="J73" i="9" s="1"/>
  <c r="G73" i="9"/>
  <c r="H73" i="9"/>
  <c r="C74" i="9"/>
  <c r="D74" i="9"/>
  <c r="E74" i="9"/>
  <c r="F74" i="9"/>
  <c r="J74" i="9" s="1"/>
  <c r="G74" i="9"/>
  <c r="K74" i="9" s="1"/>
  <c r="H74" i="9"/>
  <c r="C75" i="9"/>
  <c r="D75" i="9"/>
  <c r="E75" i="9"/>
  <c r="F75" i="9"/>
  <c r="G75" i="9"/>
  <c r="H75" i="9"/>
  <c r="C76" i="9"/>
  <c r="D76" i="9"/>
  <c r="E76" i="9"/>
  <c r="F76" i="9"/>
  <c r="G76" i="9"/>
  <c r="H76" i="9"/>
  <c r="C77" i="9"/>
  <c r="D77" i="9"/>
  <c r="E77" i="9"/>
  <c r="F77" i="9"/>
  <c r="G77" i="9"/>
  <c r="H77" i="9"/>
  <c r="L77" i="9" s="1"/>
  <c r="C78" i="9"/>
  <c r="D78" i="9"/>
  <c r="E78" i="9"/>
  <c r="F78" i="9"/>
  <c r="G78" i="9"/>
  <c r="H78" i="9"/>
  <c r="L78" i="9" s="1"/>
  <c r="C79" i="9"/>
  <c r="D79" i="9"/>
  <c r="E79" i="9"/>
  <c r="F79" i="9"/>
  <c r="G79" i="9"/>
  <c r="H79" i="9"/>
  <c r="L79" i="9" s="1"/>
  <c r="C80" i="9"/>
  <c r="D80" i="9"/>
  <c r="E80" i="9"/>
  <c r="F80" i="9"/>
  <c r="J80" i="9" s="1"/>
  <c r="G80" i="9"/>
  <c r="H80" i="9"/>
  <c r="C81" i="9"/>
  <c r="D81" i="9"/>
  <c r="E81" i="9"/>
  <c r="F81" i="9"/>
  <c r="J81" i="9" s="1"/>
  <c r="G81" i="9"/>
  <c r="H81" i="9"/>
  <c r="C82" i="9"/>
  <c r="D82" i="9"/>
  <c r="E82" i="9"/>
  <c r="F82" i="9"/>
  <c r="J82" i="9" s="1"/>
  <c r="G82" i="9"/>
  <c r="K82" i="9" s="1"/>
  <c r="H82" i="9"/>
  <c r="C83" i="9"/>
  <c r="D83" i="9"/>
  <c r="E83" i="9"/>
  <c r="F83" i="9"/>
  <c r="G83" i="9"/>
  <c r="H83" i="9"/>
  <c r="C84" i="9"/>
  <c r="D84" i="9"/>
  <c r="E84" i="9"/>
  <c r="F84" i="9"/>
  <c r="G84" i="9"/>
  <c r="H84" i="9"/>
  <c r="C85" i="9"/>
  <c r="D85" i="9"/>
  <c r="E85" i="9"/>
  <c r="F85" i="9"/>
  <c r="G85" i="9"/>
  <c r="H85" i="9"/>
  <c r="L85" i="9" s="1"/>
  <c r="C86" i="9"/>
  <c r="D86" i="9"/>
  <c r="E86" i="9"/>
  <c r="F86" i="9"/>
  <c r="G86" i="9"/>
  <c r="H86" i="9"/>
  <c r="L86" i="9" s="1"/>
  <c r="C87" i="9"/>
  <c r="D87" i="9"/>
  <c r="E87" i="9"/>
  <c r="F87" i="9"/>
  <c r="G87" i="9"/>
  <c r="H87" i="9"/>
  <c r="L87" i="9" s="1"/>
  <c r="C88" i="9"/>
  <c r="D88" i="9"/>
  <c r="E88" i="9"/>
  <c r="F88" i="9"/>
  <c r="J88" i="9" s="1"/>
  <c r="G88" i="9"/>
  <c r="H88" i="9"/>
  <c r="C89" i="9"/>
  <c r="D89" i="9"/>
  <c r="E89" i="9"/>
  <c r="F89" i="9"/>
  <c r="J89" i="9" s="1"/>
  <c r="G89" i="9"/>
  <c r="H89" i="9"/>
  <c r="C90" i="9"/>
  <c r="D90" i="9"/>
  <c r="E90" i="9"/>
  <c r="F90" i="9"/>
  <c r="J90" i="9" s="1"/>
  <c r="G90" i="9"/>
  <c r="K90" i="9" s="1"/>
  <c r="H90" i="9"/>
  <c r="C91" i="9"/>
  <c r="D91" i="9"/>
  <c r="E91" i="9"/>
  <c r="F91" i="9"/>
  <c r="G91" i="9"/>
  <c r="H91" i="9"/>
  <c r="C92" i="9"/>
  <c r="D92" i="9"/>
  <c r="E92" i="9"/>
  <c r="F92" i="9"/>
  <c r="G92" i="9"/>
  <c r="H92" i="9"/>
  <c r="C93" i="9"/>
  <c r="D93" i="9"/>
  <c r="E93" i="9"/>
  <c r="F93" i="9"/>
  <c r="G93" i="9"/>
  <c r="H93" i="9"/>
  <c r="L93" i="9" s="1"/>
  <c r="C94" i="9"/>
  <c r="D94" i="9"/>
  <c r="E94" i="9"/>
  <c r="F94" i="9"/>
  <c r="G94" i="9"/>
  <c r="H94" i="9"/>
  <c r="L94" i="9" s="1"/>
  <c r="C95" i="9"/>
  <c r="D95" i="9"/>
  <c r="E95" i="9"/>
  <c r="F95" i="9"/>
  <c r="G95" i="9"/>
  <c r="H95" i="9"/>
  <c r="L95" i="9" s="1"/>
  <c r="C96" i="9"/>
  <c r="D96" i="9"/>
  <c r="E96" i="9"/>
  <c r="F96" i="9"/>
  <c r="J96" i="9" s="1"/>
  <c r="G96" i="9"/>
  <c r="H96" i="9"/>
  <c r="C97" i="9"/>
  <c r="D97" i="9"/>
  <c r="E97" i="9"/>
  <c r="F97" i="9"/>
  <c r="J97" i="9" s="1"/>
  <c r="G97" i="9"/>
  <c r="H97" i="9"/>
  <c r="C98" i="9"/>
  <c r="D98" i="9"/>
  <c r="E98" i="9"/>
  <c r="F98" i="9"/>
  <c r="J98" i="9" s="1"/>
  <c r="G98" i="9"/>
  <c r="K98" i="9" s="1"/>
  <c r="H98" i="9"/>
  <c r="C99" i="9"/>
  <c r="D99" i="9"/>
  <c r="E99" i="9"/>
  <c r="F99" i="9"/>
  <c r="G99" i="9"/>
  <c r="H99" i="9"/>
  <c r="C100" i="9"/>
  <c r="D100" i="9"/>
  <c r="E100" i="9"/>
  <c r="F100" i="9"/>
  <c r="G100" i="9"/>
  <c r="H100" i="9"/>
  <c r="C101" i="9"/>
  <c r="D101" i="9"/>
  <c r="E101" i="9"/>
  <c r="F101" i="9"/>
  <c r="G101" i="9"/>
  <c r="H101" i="9"/>
  <c r="L101" i="9" s="1"/>
  <c r="C102" i="9"/>
  <c r="D102" i="9"/>
  <c r="E102" i="9"/>
  <c r="F102" i="9"/>
  <c r="G102" i="9"/>
  <c r="H102" i="9"/>
  <c r="L102" i="9" s="1"/>
  <c r="C103" i="9"/>
  <c r="D103" i="9"/>
  <c r="E103" i="9"/>
  <c r="F103" i="9"/>
  <c r="G103" i="9"/>
  <c r="H103" i="9"/>
  <c r="C104" i="9"/>
  <c r="D104" i="9"/>
  <c r="E104" i="9"/>
  <c r="F104" i="9"/>
  <c r="J104" i="9" s="1"/>
  <c r="G104" i="9"/>
  <c r="H104" i="9"/>
  <c r="C105" i="9"/>
  <c r="D105" i="9"/>
  <c r="E105" i="9"/>
  <c r="F105" i="9"/>
  <c r="J105" i="9" s="1"/>
  <c r="G105" i="9"/>
  <c r="H105" i="9"/>
  <c r="C106" i="9"/>
  <c r="D106" i="9"/>
  <c r="E106" i="9"/>
  <c r="F106" i="9"/>
  <c r="G106" i="9"/>
  <c r="K106" i="9" s="1"/>
  <c r="H106" i="9"/>
  <c r="C107" i="9"/>
  <c r="D107" i="9"/>
  <c r="E107" i="9"/>
  <c r="F107" i="9"/>
  <c r="G107" i="9"/>
  <c r="H107" i="9"/>
  <c r="C108" i="9"/>
  <c r="D108" i="9"/>
  <c r="E108" i="9"/>
  <c r="F108" i="9"/>
  <c r="G108" i="9"/>
  <c r="H108" i="9"/>
  <c r="C109" i="9"/>
  <c r="D109" i="9"/>
  <c r="E109" i="9"/>
  <c r="F109" i="9"/>
  <c r="G109" i="9"/>
  <c r="H109" i="9"/>
  <c r="L109" i="9" s="1"/>
  <c r="C110" i="9"/>
  <c r="D110" i="9"/>
  <c r="E110" i="9"/>
  <c r="F110" i="9"/>
  <c r="G110" i="9"/>
  <c r="H110" i="9"/>
  <c r="L110" i="9" s="1"/>
  <c r="C111" i="9"/>
  <c r="D111" i="9"/>
  <c r="E111" i="9"/>
  <c r="F111" i="9"/>
  <c r="G111" i="9"/>
  <c r="H111" i="9"/>
  <c r="C112" i="9"/>
  <c r="D112" i="9"/>
  <c r="E112" i="9"/>
  <c r="F112" i="9"/>
  <c r="J112" i="9" s="1"/>
  <c r="G112" i="9"/>
  <c r="H112" i="9"/>
  <c r="L112" i="9" s="1"/>
  <c r="C113" i="9"/>
  <c r="D113" i="9"/>
  <c r="E113" i="9"/>
  <c r="F113" i="9"/>
  <c r="J113" i="9" s="1"/>
  <c r="G113" i="9"/>
  <c r="H113" i="9"/>
  <c r="C114" i="9"/>
  <c r="D114" i="9"/>
  <c r="E114" i="9"/>
  <c r="F114" i="9"/>
  <c r="G114" i="9"/>
  <c r="K114" i="9" s="1"/>
  <c r="H114" i="9"/>
  <c r="C115" i="9"/>
  <c r="D115" i="9"/>
  <c r="E115" i="9"/>
  <c r="F115" i="9"/>
  <c r="J115" i="9" s="1"/>
  <c r="G115" i="9"/>
  <c r="H115" i="9"/>
  <c r="C116" i="9"/>
  <c r="D116" i="9"/>
  <c r="E116" i="9"/>
  <c r="F116" i="9"/>
  <c r="G116" i="9"/>
  <c r="H116" i="9"/>
  <c r="C117" i="9"/>
  <c r="D117" i="9"/>
  <c r="E117" i="9"/>
  <c r="F117" i="9"/>
  <c r="G117" i="9"/>
  <c r="H117" i="9"/>
  <c r="L117" i="9" s="1"/>
  <c r="C118" i="9"/>
  <c r="D118" i="9"/>
  <c r="E118" i="9"/>
  <c r="F118" i="9"/>
  <c r="G118" i="9"/>
  <c r="H118" i="9"/>
  <c r="L118" i="9" s="1"/>
  <c r="C119" i="9"/>
  <c r="D119" i="9"/>
  <c r="E119" i="9"/>
  <c r="F119" i="9"/>
  <c r="G119" i="9"/>
  <c r="H119" i="9"/>
  <c r="C120" i="9"/>
  <c r="D120" i="9"/>
  <c r="E120" i="9"/>
  <c r="F120" i="9"/>
  <c r="J120" i="9" s="1"/>
  <c r="G120" i="9"/>
  <c r="H120" i="9"/>
  <c r="L120" i="9" s="1"/>
  <c r="C121" i="9"/>
  <c r="D121" i="9"/>
  <c r="E121" i="9"/>
  <c r="F121" i="9"/>
  <c r="J121" i="9" s="1"/>
  <c r="G121" i="9"/>
  <c r="H121" i="9"/>
  <c r="C122" i="9"/>
  <c r="D122" i="9"/>
  <c r="E122" i="9"/>
  <c r="F122" i="9"/>
  <c r="G122" i="9"/>
  <c r="K122" i="9" s="1"/>
  <c r="H122" i="9"/>
  <c r="C123" i="9"/>
  <c r="D123" i="9"/>
  <c r="E123" i="9"/>
  <c r="F123" i="9"/>
  <c r="J123" i="9" s="1"/>
  <c r="G123" i="9"/>
  <c r="H123" i="9"/>
  <c r="C124" i="9"/>
  <c r="D124" i="9"/>
  <c r="E124" i="9"/>
  <c r="F124" i="9"/>
  <c r="G124" i="9"/>
  <c r="H124" i="9"/>
  <c r="C125" i="9"/>
  <c r="D125" i="9"/>
  <c r="E125" i="9"/>
  <c r="F125" i="9"/>
  <c r="G125" i="9"/>
  <c r="H125" i="9"/>
  <c r="L125" i="9" s="1"/>
  <c r="C126" i="9"/>
  <c r="D126" i="9"/>
  <c r="E126" i="9"/>
  <c r="F126" i="9"/>
  <c r="G126" i="9"/>
  <c r="H126" i="9"/>
  <c r="L126" i="9" s="1"/>
  <c r="C127" i="9"/>
  <c r="D127" i="9"/>
  <c r="E127" i="9"/>
  <c r="F127" i="9"/>
  <c r="G127" i="9"/>
  <c r="H127" i="9"/>
  <c r="C128" i="9"/>
  <c r="D128" i="9"/>
  <c r="E128" i="9"/>
  <c r="F128" i="9"/>
  <c r="J128" i="9" s="1"/>
  <c r="G128" i="9"/>
  <c r="H128" i="9"/>
  <c r="C129" i="9"/>
  <c r="D129" i="9"/>
  <c r="E129" i="9"/>
  <c r="F129" i="9"/>
  <c r="J129" i="9" s="1"/>
  <c r="G129" i="9"/>
  <c r="H129" i="9"/>
  <c r="C130" i="9"/>
  <c r="D130" i="9"/>
  <c r="E130" i="9"/>
  <c r="F130" i="9"/>
  <c r="G130" i="9"/>
  <c r="K130" i="9" s="1"/>
  <c r="H130" i="9"/>
  <c r="C131" i="9"/>
  <c r="D131" i="9"/>
  <c r="E131" i="9"/>
  <c r="F131" i="9"/>
  <c r="G131" i="9"/>
  <c r="H131" i="9"/>
  <c r="C132" i="9"/>
  <c r="D132" i="9"/>
  <c r="E132" i="9"/>
  <c r="F132" i="9"/>
  <c r="G132" i="9"/>
  <c r="H132" i="9"/>
  <c r="C133" i="9"/>
  <c r="D133" i="9"/>
  <c r="E133" i="9"/>
  <c r="F133" i="9"/>
  <c r="G133" i="9"/>
  <c r="H133" i="9"/>
  <c r="L133" i="9" s="1"/>
  <c r="C134" i="9"/>
  <c r="D134" i="9"/>
  <c r="E134" i="9"/>
  <c r="F134" i="9"/>
  <c r="G134" i="9"/>
  <c r="H134" i="9"/>
  <c r="L134" i="9" s="1"/>
  <c r="C135" i="9"/>
  <c r="D135" i="9"/>
  <c r="E135" i="9"/>
  <c r="F135" i="9"/>
  <c r="G135" i="9"/>
  <c r="H135" i="9"/>
  <c r="C136" i="9"/>
  <c r="D136" i="9"/>
  <c r="E136" i="9"/>
  <c r="F136" i="9"/>
  <c r="J136" i="9" s="1"/>
  <c r="G136" i="9"/>
  <c r="H136" i="9"/>
  <c r="C137" i="9"/>
  <c r="D137" i="9"/>
  <c r="E137" i="9"/>
  <c r="F137" i="9"/>
  <c r="J137" i="9" s="1"/>
  <c r="G137" i="9"/>
  <c r="H137" i="9"/>
  <c r="C138" i="9"/>
  <c r="D138" i="9"/>
  <c r="E138" i="9"/>
  <c r="F138" i="9"/>
  <c r="G138" i="9"/>
  <c r="K138" i="9" s="1"/>
  <c r="H138" i="9"/>
  <c r="C139" i="9"/>
  <c r="D139" i="9"/>
  <c r="E139" i="9"/>
  <c r="F139" i="9"/>
  <c r="G139" i="9"/>
  <c r="H139" i="9"/>
  <c r="C140" i="9"/>
  <c r="D140" i="9"/>
  <c r="E140" i="9"/>
  <c r="F140" i="9"/>
  <c r="G140" i="9"/>
  <c r="H140" i="9"/>
  <c r="C141" i="9"/>
  <c r="D141" i="9"/>
  <c r="E141" i="9"/>
  <c r="F141" i="9"/>
  <c r="G141" i="9"/>
  <c r="H141" i="9"/>
  <c r="L141" i="9" s="1"/>
  <c r="C142" i="9"/>
  <c r="D142" i="9"/>
  <c r="E142" i="9"/>
  <c r="F142" i="9"/>
  <c r="G142" i="9"/>
  <c r="H142" i="9"/>
  <c r="L142" i="9" s="1"/>
  <c r="C143" i="9"/>
  <c r="D143" i="9"/>
  <c r="E143" i="9"/>
  <c r="F143" i="9"/>
  <c r="G143" i="9"/>
  <c r="H143" i="9"/>
  <c r="C144" i="9"/>
  <c r="D144" i="9"/>
  <c r="E144" i="9"/>
  <c r="F144" i="9"/>
  <c r="J144" i="9" s="1"/>
  <c r="G144" i="9"/>
  <c r="H144" i="9"/>
  <c r="L144" i="9" s="1"/>
  <c r="C145" i="9"/>
  <c r="D145" i="9"/>
  <c r="E145" i="9"/>
  <c r="F145" i="9"/>
  <c r="J145" i="9" s="1"/>
  <c r="G145" i="9"/>
  <c r="H145" i="9"/>
  <c r="C146" i="9"/>
  <c r="D146" i="9"/>
  <c r="E146" i="9"/>
  <c r="F146" i="9"/>
  <c r="G146" i="9"/>
  <c r="K146" i="9" s="1"/>
  <c r="H146" i="9"/>
  <c r="C147" i="9"/>
  <c r="D147" i="9"/>
  <c r="E147" i="9"/>
  <c r="F147" i="9"/>
  <c r="G147" i="9"/>
  <c r="H147" i="9"/>
  <c r="C148" i="9"/>
  <c r="D148" i="9"/>
  <c r="E148" i="9"/>
  <c r="F148" i="9"/>
  <c r="G148" i="9"/>
  <c r="H148" i="9"/>
  <c r="C149" i="9"/>
  <c r="D149" i="9"/>
  <c r="E149" i="9"/>
  <c r="F149" i="9"/>
  <c r="G149" i="9"/>
  <c r="H149" i="9"/>
  <c r="L149" i="9" s="1"/>
  <c r="C150" i="9"/>
  <c r="D150" i="9"/>
  <c r="E150" i="9"/>
  <c r="F150" i="9"/>
  <c r="G150" i="9"/>
  <c r="H150" i="9"/>
  <c r="L150" i="9" s="1"/>
  <c r="C151" i="9"/>
  <c r="D151" i="9"/>
  <c r="E151" i="9"/>
  <c r="F151" i="9"/>
  <c r="G151" i="9"/>
  <c r="H151" i="9"/>
  <c r="C152" i="9"/>
  <c r="D152" i="9"/>
  <c r="E152" i="9"/>
  <c r="F152" i="9"/>
  <c r="J152" i="9" s="1"/>
  <c r="G152" i="9"/>
  <c r="H152" i="9"/>
  <c r="C153" i="9"/>
  <c r="D153" i="9"/>
  <c r="E153" i="9"/>
  <c r="F153" i="9"/>
  <c r="J153" i="9" s="1"/>
  <c r="G153" i="9"/>
  <c r="H153" i="9"/>
  <c r="C154" i="9"/>
  <c r="D154" i="9"/>
  <c r="E154" i="9"/>
  <c r="F154" i="9"/>
  <c r="G154" i="9"/>
  <c r="K154" i="9" s="1"/>
  <c r="H154" i="9"/>
  <c r="C155" i="9"/>
  <c r="D155" i="9"/>
  <c r="E155" i="9"/>
  <c r="F155" i="9"/>
  <c r="G155" i="9"/>
  <c r="H155" i="9"/>
  <c r="C156" i="9"/>
  <c r="D156" i="9"/>
  <c r="E156" i="9"/>
  <c r="F156" i="9"/>
  <c r="G156" i="9"/>
  <c r="H156" i="9"/>
  <c r="C157" i="9"/>
  <c r="D157" i="9"/>
  <c r="E157" i="9"/>
  <c r="F157" i="9"/>
  <c r="G157" i="9"/>
  <c r="H157" i="9"/>
  <c r="L157" i="9" s="1"/>
  <c r="C158" i="9"/>
  <c r="D158" i="9"/>
  <c r="E158" i="9"/>
  <c r="F158" i="9"/>
  <c r="G158" i="9"/>
  <c r="H158" i="9"/>
  <c r="L158" i="9" s="1"/>
  <c r="C159" i="9"/>
  <c r="D159" i="9"/>
  <c r="E159" i="9"/>
  <c r="F159" i="9"/>
  <c r="G159" i="9"/>
  <c r="H159" i="9"/>
  <c r="C160" i="9"/>
  <c r="D160" i="9"/>
  <c r="E160" i="9"/>
  <c r="F160" i="9"/>
  <c r="J160" i="9" s="1"/>
  <c r="G160" i="9"/>
  <c r="H160" i="9"/>
  <c r="L160" i="9" s="1"/>
  <c r="C161" i="9"/>
  <c r="D161" i="9"/>
  <c r="E161" i="9"/>
  <c r="F161" i="9"/>
  <c r="J161" i="9" s="1"/>
  <c r="G161" i="9"/>
  <c r="H161" i="9"/>
  <c r="C162" i="9"/>
  <c r="D162" i="9"/>
  <c r="E162" i="9"/>
  <c r="F162" i="9"/>
  <c r="G162" i="9"/>
  <c r="K162" i="9" s="1"/>
  <c r="H162" i="9"/>
  <c r="C163" i="9"/>
  <c r="D163" i="9"/>
  <c r="E163" i="9"/>
  <c r="F163" i="9"/>
  <c r="G163" i="9"/>
  <c r="H163" i="9"/>
  <c r="C164" i="9"/>
  <c r="D164" i="9"/>
  <c r="E164" i="9"/>
  <c r="F164" i="9"/>
  <c r="G164" i="9"/>
  <c r="H164" i="9"/>
  <c r="C165" i="9"/>
  <c r="D165" i="9"/>
  <c r="E165" i="9"/>
  <c r="F165" i="9"/>
  <c r="G165" i="9"/>
  <c r="H165" i="9"/>
  <c r="L165" i="9" s="1"/>
  <c r="C166" i="9"/>
  <c r="D166" i="9"/>
  <c r="E166" i="9"/>
  <c r="F166" i="9"/>
  <c r="G166" i="9"/>
  <c r="H166" i="9"/>
  <c r="L166" i="9" s="1"/>
  <c r="C167" i="9"/>
  <c r="D167" i="9"/>
  <c r="E167" i="9"/>
  <c r="F167" i="9"/>
  <c r="G167" i="9"/>
  <c r="H167" i="9"/>
  <c r="C168" i="9"/>
  <c r="D168" i="9"/>
  <c r="E168" i="9"/>
  <c r="F168" i="9"/>
  <c r="J168" i="9" s="1"/>
  <c r="G168" i="9"/>
  <c r="H168" i="9"/>
  <c r="C169" i="9"/>
  <c r="D169" i="9"/>
  <c r="E169" i="9"/>
  <c r="F169" i="9"/>
  <c r="J169" i="9" s="1"/>
  <c r="G169" i="9"/>
  <c r="H169" i="9"/>
  <c r="C170" i="9"/>
  <c r="D170" i="9"/>
  <c r="E170" i="9"/>
  <c r="F170" i="9"/>
  <c r="G170" i="9"/>
  <c r="K170" i="9" s="1"/>
  <c r="H170" i="9"/>
  <c r="C171" i="9"/>
  <c r="D171" i="9"/>
  <c r="E171" i="9"/>
  <c r="F171" i="9"/>
  <c r="G171" i="9"/>
  <c r="H171" i="9"/>
  <c r="C172" i="9"/>
  <c r="D172" i="9"/>
  <c r="E172" i="9"/>
  <c r="F172" i="9"/>
  <c r="G172" i="9"/>
  <c r="H172" i="9"/>
  <c r="C173" i="9"/>
  <c r="D173" i="9"/>
  <c r="E173" i="9"/>
  <c r="F173" i="9"/>
  <c r="G173" i="9"/>
  <c r="H173" i="9"/>
  <c r="L173" i="9" s="1"/>
  <c r="C174" i="9"/>
  <c r="D174" i="9"/>
  <c r="E174" i="9"/>
  <c r="F174" i="9"/>
  <c r="G174" i="9"/>
  <c r="H174" i="9"/>
  <c r="L174" i="9" s="1"/>
  <c r="C175" i="9"/>
  <c r="D175" i="9"/>
  <c r="E175" i="9"/>
  <c r="F175" i="9"/>
  <c r="G175" i="9"/>
  <c r="H175" i="9"/>
  <c r="C176" i="9"/>
  <c r="D176" i="9"/>
  <c r="E176" i="9"/>
  <c r="F176" i="9"/>
  <c r="J176" i="9" s="1"/>
  <c r="G176" i="9"/>
  <c r="H176" i="9"/>
  <c r="C177" i="9"/>
  <c r="D177" i="9"/>
  <c r="E177" i="9"/>
  <c r="F177" i="9"/>
  <c r="J177" i="9" s="1"/>
  <c r="G177" i="9"/>
  <c r="H177" i="9"/>
  <c r="C178" i="9"/>
  <c r="D178" i="9"/>
  <c r="E178" i="9"/>
  <c r="F178" i="9"/>
  <c r="G178" i="9"/>
  <c r="K178" i="9" s="1"/>
  <c r="H178" i="9"/>
  <c r="C179" i="9"/>
  <c r="D179" i="9"/>
  <c r="E179" i="9"/>
  <c r="F179" i="9"/>
  <c r="G179" i="9"/>
  <c r="H179" i="9"/>
  <c r="C180" i="9"/>
  <c r="D180" i="9"/>
  <c r="E180" i="9"/>
  <c r="F180" i="9"/>
  <c r="G180" i="9"/>
  <c r="H180" i="9"/>
  <c r="C181" i="9"/>
  <c r="D181" i="9"/>
  <c r="E181" i="9"/>
  <c r="F181" i="9"/>
  <c r="G181" i="9"/>
  <c r="H181" i="9"/>
  <c r="L181" i="9" s="1"/>
  <c r="C182" i="9"/>
  <c r="D182" i="9"/>
  <c r="E182" i="9"/>
  <c r="F182" i="9"/>
  <c r="G182" i="9"/>
  <c r="H182" i="9"/>
  <c r="L182" i="9" s="1"/>
  <c r="C183" i="9"/>
  <c r="D183" i="9"/>
  <c r="E183" i="9"/>
  <c r="F183" i="9"/>
  <c r="G183" i="9"/>
  <c r="H183" i="9"/>
  <c r="C184" i="9"/>
  <c r="D184" i="9"/>
  <c r="E184" i="9"/>
  <c r="F184" i="9"/>
  <c r="J184" i="9" s="1"/>
  <c r="G184" i="9"/>
  <c r="H184" i="9"/>
  <c r="C185" i="9"/>
  <c r="D185" i="9"/>
  <c r="E185" i="9"/>
  <c r="F185" i="9"/>
  <c r="J185" i="9" s="1"/>
  <c r="G185" i="9"/>
  <c r="H185" i="9"/>
  <c r="C186" i="9"/>
  <c r="D186" i="9"/>
  <c r="E186" i="9"/>
  <c r="F186" i="9"/>
  <c r="G186" i="9"/>
  <c r="K186" i="9" s="1"/>
  <c r="H186" i="9"/>
  <c r="C187" i="9"/>
  <c r="D187" i="9"/>
  <c r="E187" i="9"/>
  <c r="F187" i="9"/>
  <c r="G187" i="9"/>
  <c r="H187" i="9"/>
  <c r="C188" i="9"/>
  <c r="D188" i="9"/>
  <c r="E188" i="9"/>
  <c r="F188" i="9"/>
  <c r="G188" i="9"/>
  <c r="H188" i="9"/>
  <c r="C189" i="9"/>
  <c r="D189" i="9"/>
  <c r="E189" i="9"/>
  <c r="F189" i="9"/>
  <c r="G189" i="9"/>
  <c r="H189" i="9"/>
  <c r="L189" i="9" s="1"/>
  <c r="C190" i="9"/>
  <c r="D190" i="9"/>
  <c r="E190" i="9"/>
  <c r="F190" i="9"/>
  <c r="G190" i="9"/>
  <c r="H190" i="9"/>
  <c r="L190" i="9" s="1"/>
  <c r="C191" i="9"/>
  <c r="D191" i="9"/>
  <c r="E191" i="9"/>
  <c r="F191" i="9"/>
  <c r="G191" i="9"/>
  <c r="H191" i="9"/>
  <c r="C192" i="9"/>
  <c r="D192" i="9"/>
  <c r="E192" i="9"/>
  <c r="F192" i="9"/>
  <c r="J192" i="9" s="1"/>
  <c r="G192" i="9"/>
  <c r="H192" i="9"/>
  <c r="C193" i="9"/>
  <c r="D193" i="9"/>
  <c r="E193" i="9"/>
  <c r="F193" i="9"/>
  <c r="J193" i="9" s="1"/>
  <c r="G193" i="9"/>
  <c r="H193" i="9"/>
  <c r="C194" i="9"/>
  <c r="D194" i="9"/>
  <c r="E194" i="9"/>
  <c r="F194" i="9"/>
  <c r="G194" i="9"/>
  <c r="K194" i="9" s="1"/>
  <c r="H194" i="9"/>
  <c r="C195" i="9"/>
  <c r="D195" i="9"/>
  <c r="E195" i="9"/>
  <c r="F195" i="9"/>
  <c r="G195" i="9"/>
  <c r="H195" i="9"/>
  <c r="C196" i="9"/>
  <c r="D196" i="9"/>
  <c r="E196" i="9"/>
  <c r="F196" i="9"/>
  <c r="G196" i="9"/>
  <c r="H196" i="9"/>
  <c r="C197" i="9"/>
  <c r="D197" i="9"/>
  <c r="E197" i="9"/>
  <c r="F197" i="9"/>
  <c r="G197" i="9"/>
  <c r="H197" i="9"/>
  <c r="L197" i="9" s="1"/>
  <c r="C198" i="9"/>
  <c r="D198" i="9"/>
  <c r="E198" i="9"/>
  <c r="F198" i="9"/>
  <c r="G198" i="9"/>
  <c r="H198" i="9"/>
  <c r="L198" i="9" s="1"/>
  <c r="C199" i="9"/>
  <c r="D199" i="9"/>
  <c r="E199" i="9"/>
  <c r="F199" i="9"/>
  <c r="G199" i="9"/>
  <c r="H199" i="9"/>
  <c r="C200" i="9"/>
  <c r="D200" i="9"/>
  <c r="E200" i="9"/>
  <c r="F200" i="9"/>
  <c r="J200" i="9" s="1"/>
  <c r="G200" i="9"/>
  <c r="H200" i="9"/>
  <c r="C201" i="9"/>
  <c r="D201" i="9"/>
  <c r="E201" i="9"/>
  <c r="F201" i="9"/>
  <c r="J201" i="9" s="1"/>
  <c r="G201" i="9"/>
  <c r="H201" i="9"/>
  <c r="C202" i="9"/>
  <c r="D202" i="9"/>
  <c r="E202" i="9"/>
  <c r="F202" i="9"/>
  <c r="G202" i="9"/>
  <c r="K202" i="9" s="1"/>
  <c r="H202" i="9"/>
  <c r="C203" i="9"/>
  <c r="D203" i="9"/>
  <c r="E203" i="9"/>
  <c r="F203" i="9"/>
  <c r="G203" i="9"/>
  <c r="H203" i="9"/>
  <c r="C204" i="9"/>
  <c r="D204" i="9"/>
  <c r="E204" i="9"/>
  <c r="F204" i="9"/>
  <c r="G204" i="9"/>
  <c r="H204" i="9"/>
  <c r="C205" i="9"/>
  <c r="D205" i="9"/>
  <c r="E205" i="9"/>
  <c r="F205" i="9"/>
  <c r="G205" i="9"/>
  <c r="H205" i="9"/>
  <c r="L205" i="9" s="1"/>
  <c r="C206" i="9"/>
  <c r="D206" i="9"/>
  <c r="E206" i="9"/>
  <c r="F206" i="9"/>
  <c r="G206" i="9"/>
  <c r="H206" i="9"/>
  <c r="L206" i="9" s="1"/>
  <c r="C207" i="9"/>
  <c r="D207" i="9"/>
  <c r="E207" i="9"/>
  <c r="F207" i="9"/>
  <c r="G207" i="9"/>
  <c r="H207" i="9"/>
  <c r="C208" i="9"/>
  <c r="D208" i="9"/>
  <c r="E208" i="9"/>
  <c r="F208" i="9"/>
  <c r="G208" i="9"/>
  <c r="H208" i="9"/>
  <c r="C209" i="9"/>
  <c r="D209" i="9"/>
  <c r="E209" i="9"/>
  <c r="F209" i="9"/>
  <c r="J209" i="9" s="1"/>
  <c r="G209" i="9"/>
  <c r="H209" i="9"/>
  <c r="C210" i="9"/>
  <c r="D210" i="9"/>
  <c r="E210" i="9"/>
  <c r="F210" i="9"/>
  <c r="G210" i="9"/>
  <c r="K210" i="9" s="1"/>
  <c r="H210" i="9"/>
  <c r="C211" i="9"/>
  <c r="D211" i="9"/>
  <c r="E211" i="9"/>
  <c r="F211" i="9"/>
  <c r="G211" i="9"/>
  <c r="H211" i="9"/>
  <c r="C212" i="9"/>
  <c r="D212" i="9"/>
  <c r="E212" i="9"/>
  <c r="F212" i="9"/>
  <c r="G212" i="9"/>
  <c r="H212" i="9"/>
  <c r="C213" i="9"/>
  <c r="D213" i="9"/>
  <c r="E213" i="9"/>
  <c r="F213" i="9"/>
  <c r="G213" i="9"/>
  <c r="H213" i="9"/>
  <c r="C214" i="9"/>
  <c r="D214" i="9"/>
  <c r="E214" i="9"/>
  <c r="F214" i="9"/>
  <c r="G214" i="9"/>
  <c r="H214" i="9"/>
  <c r="L214" i="9" s="1"/>
  <c r="C215" i="9"/>
  <c r="D215" i="9"/>
  <c r="E215" i="9"/>
  <c r="F215" i="9"/>
  <c r="G215" i="9"/>
  <c r="H215" i="9"/>
  <c r="C216" i="9"/>
  <c r="D216" i="9"/>
  <c r="E216" i="9"/>
  <c r="F216" i="9"/>
  <c r="G216" i="9"/>
  <c r="H216" i="9"/>
  <c r="C217" i="9"/>
  <c r="D217" i="9"/>
  <c r="E217" i="9"/>
  <c r="F217" i="9"/>
  <c r="J217" i="9" s="1"/>
  <c r="G217" i="9"/>
  <c r="H217" i="9"/>
  <c r="C218" i="9"/>
  <c r="D218" i="9"/>
  <c r="E218" i="9"/>
  <c r="F218" i="9"/>
  <c r="G218" i="9"/>
  <c r="K218" i="9" s="1"/>
  <c r="H218" i="9"/>
  <c r="C219" i="9"/>
  <c r="D219" i="9"/>
  <c r="E219" i="9"/>
  <c r="F219" i="9"/>
  <c r="G219" i="9"/>
  <c r="H219" i="9"/>
  <c r="C220" i="9"/>
  <c r="D220" i="9"/>
  <c r="E220" i="9"/>
  <c r="F220" i="9"/>
  <c r="G220" i="9"/>
  <c r="H220" i="9"/>
  <c r="C221" i="9"/>
  <c r="D221" i="9"/>
  <c r="E221" i="9"/>
  <c r="F221" i="9"/>
  <c r="G221" i="9"/>
  <c r="H221" i="9"/>
  <c r="C222" i="9"/>
  <c r="D222" i="9"/>
  <c r="E222" i="9"/>
  <c r="F222" i="9"/>
  <c r="G222" i="9"/>
  <c r="H222" i="9"/>
  <c r="L222" i="9" s="1"/>
  <c r="C223" i="9"/>
  <c r="D223" i="9"/>
  <c r="E223" i="9"/>
  <c r="F223" i="9"/>
  <c r="G223" i="9"/>
  <c r="H223" i="9"/>
  <c r="C224" i="9"/>
  <c r="D224" i="9"/>
  <c r="E224" i="9"/>
  <c r="F224" i="9"/>
  <c r="G224" i="9"/>
  <c r="H224" i="9"/>
  <c r="L224" i="9" s="1"/>
  <c r="C225" i="9"/>
  <c r="D225" i="9"/>
  <c r="E225" i="9"/>
  <c r="F225" i="9"/>
  <c r="J225" i="9" s="1"/>
  <c r="G225" i="9"/>
  <c r="H225" i="9"/>
  <c r="C226" i="9"/>
  <c r="D226" i="9"/>
  <c r="E226" i="9"/>
  <c r="F226" i="9"/>
  <c r="G226" i="9"/>
  <c r="K226" i="9" s="1"/>
  <c r="H226" i="9"/>
  <c r="C227" i="9"/>
  <c r="D227" i="9"/>
  <c r="E227" i="9"/>
  <c r="F227" i="9"/>
  <c r="G227" i="9"/>
  <c r="H227" i="9"/>
  <c r="C228" i="9"/>
  <c r="D228" i="9"/>
  <c r="E228" i="9"/>
  <c r="F228" i="9"/>
  <c r="G228" i="9"/>
  <c r="H228" i="9"/>
  <c r="C229" i="9"/>
  <c r="D229" i="9"/>
  <c r="E229" i="9"/>
  <c r="F229" i="9"/>
  <c r="G229" i="9"/>
  <c r="H229" i="9"/>
  <c r="C230" i="9"/>
  <c r="D230" i="9"/>
  <c r="E230" i="9"/>
  <c r="F230" i="9"/>
  <c r="G230" i="9"/>
  <c r="H230" i="9"/>
  <c r="L230" i="9" s="1"/>
  <c r="C231" i="9"/>
  <c r="D231" i="9"/>
  <c r="E231" i="9"/>
  <c r="F231" i="9"/>
  <c r="G231" i="9"/>
  <c r="H231" i="9"/>
  <c r="C232" i="9"/>
  <c r="D232" i="9"/>
  <c r="E232" i="9"/>
  <c r="F232" i="9"/>
  <c r="G232" i="9"/>
  <c r="H232" i="9"/>
  <c r="C233" i="9"/>
  <c r="D233" i="9"/>
  <c r="E233" i="9"/>
  <c r="F233" i="9"/>
  <c r="J233" i="9" s="1"/>
  <c r="G233" i="9"/>
  <c r="H233" i="9"/>
  <c r="C234" i="9"/>
  <c r="D234" i="9"/>
  <c r="E234" i="9"/>
  <c r="F234" i="9"/>
  <c r="G234" i="9"/>
  <c r="K234" i="9" s="1"/>
  <c r="H234" i="9"/>
  <c r="C235" i="9"/>
  <c r="D235" i="9"/>
  <c r="E235" i="9"/>
  <c r="F235" i="9"/>
  <c r="G235" i="9"/>
  <c r="H235" i="9"/>
  <c r="C236" i="9"/>
  <c r="D236" i="9"/>
  <c r="E236" i="9"/>
  <c r="F236" i="9"/>
  <c r="G236" i="9"/>
  <c r="H236" i="9"/>
  <c r="C237" i="9"/>
  <c r="D237" i="9"/>
  <c r="E237" i="9"/>
  <c r="F237" i="9"/>
  <c r="G237" i="9"/>
  <c r="H237" i="9"/>
  <c r="C238" i="9"/>
  <c r="D238" i="9"/>
  <c r="E238" i="9"/>
  <c r="F238" i="9"/>
  <c r="G238" i="9"/>
  <c r="H238" i="9"/>
  <c r="L238" i="9" s="1"/>
  <c r="C239" i="9"/>
  <c r="D239" i="9"/>
  <c r="E239" i="9"/>
  <c r="F239" i="9"/>
  <c r="G239" i="9"/>
  <c r="H239" i="9"/>
  <c r="C240" i="9"/>
  <c r="D240" i="9"/>
  <c r="E240" i="9"/>
  <c r="F240" i="9"/>
  <c r="G240" i="9"/>
  <c r="H240" i="9"/>
  <c r="C241" i="9"/>
  <c r="D241" i="9"/>
  <c r="E241" i="9"/>
  <c r="F241" i="9"/>
  <c r="J241" i="9" s="1"/>
  <c r="G241" i="9"/>
  <c r="H241" i="9"/>
  <c r="C242" i="9"/>
  <c r="D242" i="9"/>
  <c r="E242" i="9"/>
  <c r="F242" i="9"/>
  <c r="G242" i="9"/>
  <c r="K242" i="9" s="1"/>
  <c r="H242" i="9"/>
  <c r="C243" i="9"/>
  <c r="D243" i="9"/>
  <c r="E243" i="9"/>
  <c r="F243" i="9"/>
  <c r="G243" i="9"/>
  <c r="H243" i="9"/>
  <c r="C244" i="9"/>
  <c r="D244" i="9"/>
  <c r="E244" i="9"/>
  <c r="F244" i="9"/>
  <c r="G244" i="9"/>
  <c r="H244" i="9"/>
  <c r="C245" i="9"/>
  <c r="D245" i="9"/>
  <c r="E245" i="9"/>
  <c r="F245" i="9"/>
  <c r="G245" i="9"/>
  <c r="H245" i="9"/>
  <c r="C246" i="9"/>
  <c r="D246" i="9"/>
  <c r="E246" i="9"/>
  <c r="F246" i="9"/>
  <c r="G246" i="9"/>
  <c r="H246" i="9"/>
  <c r="L246" i="9" s="1"/>
  <c r="C247" i="9"/>
  <c r="D247" i="9"/>
  <c r="E247" i="9"/>
  <c r="F247" i="9"/>
  <c r="G247" i="9"/>
  <c r="H247" i="9"/>
  <c r="C248" i="9"/>
  <c r="D248" i="9"/>
  <c r="E248" i="9"/>
  <c r="F248" i="9"/>
  <c r="G248" i="9"/>
  <c r="H248" i="9"/>
  <c r="C249" i="9"/>
  <c r="D249" i="9"/>
  <c r="E249" i="9"/>
  <c r="F249" i="9"/>
  <c r="J249" i="9" s="1"/>
  <c r="G249" i="9"/>
  <c r="H249" i="9"/>
  <c r="C250" i="9"/>
  <c r="D250" i="9"/>
  <c r="E250" i="9"/>
  <c r="F250" i="9"/>
  <c r="G250" i="9"/>
  <c r="K250" i="9" s="1"/>
  <c r="H250" i="9"/>
  <c r="C251" i="9"/>
  <c r="D251" i="9"/>
  <c r="E251" i="9"/>
  <c r="F251" i="9"/>
  <c r="G251" i="9"/>
  <c r="H251" i="9"/>
  <c r="C252" i="9"/>
  <c r="D252" i="9"/>
  <c r="E252" i="9"/>
  <c r="F252" i="9"/>
  <c r="G252" i="9"/>
  <c r="H252" i="9"/>
  <c r="C253" i="9"/>
  <c r="D253" i="9"/>
  <c r="E253" i="9"/>
  <c r="F253" i="9"/>
  <c r="G253" i="9"/>
  <c r="H253" i="9"/>
  <c r="C254" i="9"/>
  <c r="D254" i="9"/>
  <c r="E254" i="9"/>
  <c r="F254" i="9"/>
  <c r="G254" i="9"/>
  <c r="H254" i="9"/>
  <c r="L254" i="9" s="1"/>
  <c r="C255" i="9"/>
  <c r="D255" i="9"/>
  <c r="E255" i="9"/>
  <c r="F255" i="9"/>
  <c r="G255" i="9"/>
  <c r="H255" i="9"/>
  <c r="C256" i="9"/>
  <c r="D256" i="9"/>
  <c r="E256" i="9"/>
  <c r="F256" i="9"/>
  <c r="G256" i="9"/>
  <c r="H256" i="9"/>
  <c r="L256" i="9" s="1"/>
  <c r="C257" i="9"/>
  <c r="D257" i="9"/>
  <c r="E257" i="9"/>
  <c r="F257" i="9"/>
  <c r="J257" i="9" s="1"/>
  <c r="G257" i="9"/>
  <c r="H257" i="9"/>
  <c r="C258" i="9"/>
  <c r="D258" i="9"/>
  <c r="E258" i="9"/>
  <c r="F258" i="9"/>
  <c r="G258" i="9"/>
  <c r="K258" i="9" s="1"/>
  <c r="H258" i="9"/>
  <c r="C259" i="9"/>
  <c r="D259" i="9"/>
  <c r="E259" i="9"/>
  <c r="F259" i="9"/>
  <c r="G259" i="9"/>
  <c r="H259" i="9"/>
  <c r="C260" i="9"/>
  <c r="D260" i="9"/>
  <c r="E260" i="9"/>
  <c r="F260" i="9"/>
  <c r="G260" i="9"/>
  <c r="H260" i="9"/>
  <c r="C261" i="9"/>
  <c r="D261" i="9"/>
  <c r="E261" i="9"/>
  <c r="F261" i="9"/>
  <c r="G261" i="9"/>
  <c r="H261" i="9"/>
  <c r="C262" i="9"/>
  <c r="D262" i="9"/>
  <c r="E262" i="9"/>
  <c r="F262" i="9"/>
  <c r="G262" i="9"/>
  <c r="H262" i="9"/>
  <c r="L262" i="9" s="1"/>
  <c r="C263" i="9"/>
  <c r="D263" i="9"/>
  <c r="E263" i="9"/>
  <c r="F263" i="9"/>
  <c r="G263" i="9"/>
  <c r="H263" i="9"/>
  <c r="C264" i="9"/>
  <c r="D264" i="9"/>
  <c r="E264" i="9"/>
  <c r="F264" i="9"/>
  <c r="G264" i="9"/>
  <c r="H264" i="9"/>
  <c r="C265" i="9"/>
  <c r="D265" i="9"/>
  <c r="E265" i="9"/>
  <c r="F265" i="9"/>
  <c r="J265" i="9" s="1"/>
  <c r="G265" i="9"/>
  <c r="H265" i="9"/>
  <c r="L265" i="9" s="1"/>
  <c r="C266" i="9"/>
  <c r="D266" i="9"/>
  <c r="E266" i="9"/>
  <c r="F266" i="9"/>
  <c r="G266" i="9"/>
  <c r="K266" i="9" s="1"/>
  <c r="H266" i="9"/>
  <c r="C267" i="9"/>
  <c r="D267" i="9"/>
  <c r="E267" i="9"/>
  <c r="F267" i="9"/>
  <c r="G267" i="9"/>
  <c r="H267" i="9"/>
  <c r="C268" i="9"/>
  <c r="D268" i="9"/>
  <c r="E268" i="9"/>
  <c r="F268" i="9"/>
  <c r="J268" i="9" s="1"/>
  <c r="G268" i="9"/>
  <c r="H268" i="9"/>
  <c r="C269" i="9"/>
  <c r="D269" i="9"/>
  <c r="E269" i="9"/>
  <c r="F269" i="9"/>
  <c r="G269" i="9"/>
  <c r="H269" i="9"/>
  <c r="C270" i="9"/>
  <c r="D270" i="9"/>
  <c r="E270" i="9"/>
  <c r="F270" i="9"/>
  <c r="G270" i="9"/>
  <c r="H270" i="9"/>
  <c r="L270" i="9" s="1"/>
  <c r="C271" i="9"/>
  <c r="D271" i="9"/>
  <c r="E271" i="9"/>
  <c r="F271" i="9"/>
  <c r="G271" i="9"/>
  <c r="H271" i="9"/>
  <c r="C272" i="9"/>
  <c r="D272" i="9"/>
  <c r="E272" i="9"/>
  <c r="F272" i="9"/>
  <c r="G272" i="9"/>
  <c r="H272" i="9"/>
  <c r="C273" i="9"/>
  <c r="D273" i="9"/>
  <c r="E273" i="9"/>
  <c r="F273" i="9"/>
  <c r="J273" i="9" s="1"/>
  <c r="G273" i="9"/>
  <c r="H273" i="9"/>
  <c r="L273" i="9" s="1"/>
  <c r="C274" i="9"/>
  <c r="D274" i="9"/>
  <c r="E274" i="9"/>
  <c r="F274" i="9"/>
  <c r="G274" i="9"/>
  <c r="K274" i="9" s="1"/>
  <c r="H274" i="9"/>
  <c r="C275" i="9"/>
  <c r="D275" i="9"/>
  <c r="E275" i="9"/>
  <c r="F275" i="9"/>
  <c r="G275" i="9"/>
  <c r="H275" i="9"/>
  <c r="C276" i="9"/>
  <c r="D276" i="9"/>
  <c r="E276" i="9"/>
  <c r="F276" i="9"/>
  <c r="J276" i="9" s="1"/>
  <c r="G276" i="9"/>
  <c r="H276" i="9"/>
  <c r="C277" i="9"/>
  <c r="D277" i="9"/>
  <c r="E277" i="9"/>
  <c r="F277" i="9"/>
  <c r="G277" i="9"/>
  <c r="H277" i="9"/>
  <c r="C278" i="9"/>
  <c r="D278" i="9"/>
  <c r="E278" i="9"/>
  <c r="F278" i="9"/>
  <c r="G278" i="9"/>
  <c r="H278" i="9"/>
  <c r="L278" i="9" s="1"/>
  <c r="C279" i="9"/>
  <c r="D279" i="9"/>
  <c r="E279" i="9"/>
  <c r="F279" i="9"/>
  <c r="G279" i="9"/>
  <c r="H279" i="9"/>
  <c r="C280" i="9"/>
  <c r="D280" i="9"/>
  <c r="E280" i="9"/>
  <c r="F280" i="9"/>
  <c r="G280" i="9"/>
  <c r="H280" i="9"/>
  <c r="C281" i="9"/>
  <c r="D281" i="9"/>
  <c r="E281" i="9"/>
  <c r="F281" i="9"/>
  <c r="J281" i="9" s="1"/>
  <c r="G281" i="9"/>
  <c r="H281" i="9"/>
  <c r="L281" i="9" s="1"/>
  <c r="C282" i="9"/>
  <c r="D282" i="9"/>
  <c r="E282" i="9"/>
  <c r="F282" i="9"/>
  <c r="G282" i="9"/>
  <c r="K282" i="9" s="1"/>
  <c r="H282" i="9"/>
  <c r="C283" i="9"/>
  <c r="D283" i="9"/>
  <c r="E283" i="9"/>
  <c r="F283" i="9"/>
  <c r="G283" i="9"/>
  <c r="H283" i="9"/>
  <c r="C284" i="9"/>
  <c r="D284" i="9"/>
  <c r="E284" i="9"/>
  <c r="F284" i="9"/>
  <c r="J284" i="9" s="1"/>
  <c r="G284" i="9"/>
  <c r="H284" i="9"/>
  <c r="C285" i="9"/>
  <c r="D285" i="9"/>
  <c r="E285" i="9"/>
  <c r="F285" i="9"/>
  <c r="G285" i="9"/>
  <c r="H285" i="9"/>
  <c r="C286" i="9"/>
  <c r="D286" i="9"/>
  <c r="E286" i="9"/>
  <c r="F286" i="9"/>
  <c r="G286" i="9"/>
  <c r="H286" i="9"/>
  <c r="L286" i="9" s="1"/>
  <c r="C287" i="9"/>
  <c r="D287" i="9"/>
  <c r="E287" i="9"/>
  <c r="F287" i="9"/>
  <c r="G287" i="9"/>
  <c r="H287" i="9"/>
  <c r="C288" i="9"/>
  <c r="D288" i="9"/>
  <c r="E288" i="9"/>
  <c r="F288" i="9"/>
  <c r="G288" i="9"/>
  <c r="H288" i="9"/>
  <c r="L288" i="9" s="1"/>
  <c r="C289" i="9"/>
  <c r="D289" i="9"/>
  <c r="E289" i="9"/>
  <c r="F289" i="9"/>
  <c r="J289" i="9" s="1"/>
  <c r="G289" i="9"/>
  <c r="H289" i="9"/>
  <c r="L289" i="9" s="1"/>
  <c r="C290" i="9"/>
  <c r="D290" i="9"/>
  <c r="E290" i="9"/>
  <c r="F290" i="9"/>
  <c r="G290" i="9"/>
  <c r="K290" i="9" s="1"/>
  <c r="H290" i="9"/>
  <c r="C291" i="9"/>
  <c r="D291" i="9"/>
  <c r="E291" i="9"/>
  <c r="F291" i="9"/>
  <c r="G291" i="9"/>
  <c r="H291" i="9"/>
  <c r="C292" i="9"/>
  <c r="D292" i="9"/>
  <c r="E292" i="9"/>
  <c r="F292" i="9"/>
  <c r="J292" i="9" s="1"/>
  <c r="G292" i="9"/>
  <c r="H292" i="9"/>
  <c r="C293" i="9"/>
  <c r="D293" i="9"/>
  <c r="E293" i="9"/>
  <c r="F293" i="9"/>
  <c r="G293" i="9"/>
  <c r="H293" i="9"/>
  <c r="C294" i="9"/>
  <c r="D294" i="9"/>
  <c r="E294" i="9"/>
  <c r="F294" i="9"/>
  <c r="G294" i="9"/>
  <c r="H294" i="9"/>
  <c r="L294" i="9" s="1"/>
  <c r="C295" i="9"/>
  <c r="D295" i="9"/>
  <c r="E295" i="9"/>
  <c r="F295" i="9"/>
  <c r="G295" i="9"/>
  <c r="H295" i="9"/>
  <c r="C296" i="9"/>
  <c r="D296" i="9"/>
  <c r="E296" i="9"/>
  <c r="F296" i="9"/>
  <c r="G296" i="9"/>
  <c r="H296" i="9"/>
  <c r="C297" i="9"/>
  <c r="D297" i="9"/>
  <c r="E297" i="9"/>
  <c r="F297" i="9"/>
  <c r="J297" i="9" s="1"/>
  <c r="G297" i="9"/>
  <c r="H297" i="9"/>
  <c r="L297" i="9" s="1"/>
  <c r="C298" i="9"/>
  <c r="D298" i="9"/>
  <c r="E298" i="9"/>
  <c r="F298" i="9"/>
  <c r="G298" i="9"/>
  <c r="K298" i="9" s="1"/>
  <c r="H298" i="9"/>
  <c r="C299" i="9"/>
  <c r="D299" i="9"/>
  <c r="E299" i="9"/>
  <c r="F299" i="9"/>
  <c r="G299" i="9"/>
  <c r="H299" i="9"/>
  <c r="C300" i="9"/>
  <c r="D300" i="9"/>
  <c r="E300" i="9"/>
  <c r="F300" i="9"/>
  <c r="J300" i="9" s="1"/>
  <c r="G300" i="9"/>
  <c r="H300" i="9"/>
  <c r="C301" i="9"/>
  <c r="D301" i="9"/>
  <c r="E301" i="9"/>
  <c r="F301" i="9"/>
  <c r="G301" i="9"/>
  <c r="H301" i="9"/>
  <c r="C302" i="9"/>
  <c r="D302" i="9"/>
  <c r="E302" i="9"/>
  <c r="F302" i="9"/>
  <c r="G302" i="9"/>
  <c r="H302" i="9"/>
  <c r="L302" i="9" s="1"/>
  <c r="C303" i="9"/>
  <c r="D303" i="9"/>
  <c r="E303" i="9"/>
  <c r="F303" i="9"/>
  <c r="G303" i="9"/>
  <c r="H303" i="9"/>
  <c r="C304" i="9"/>
  <c r="D304" i="9"/>
  <c r="E304" i="9"/>
  <c r="F304" i="9"/>
  <c r="G304" i="9"/>
  <c r="H304" i="9"/>
  <c r="L304" i="9" s="1"/>
  <c r="C305" i="9"/>
  <c r="D305" i="9"/>
  <c r="E305" i="9"/>
  <c r="F305" i="9"/>
  <c r="J305" i="9" s="1"/>
  <c r="G305" i="9"/>
  <c r="H305" i="9"/>
  <c r="L305" i="9" s="1"/>
  <c r="C306" i="9"/>
  <c r="D306" i="9"/>
  <c r="E306" i="9"/>
  <c r="F306" i="9"/>
  <c r="G306" i="9"/>
  <c r="K306" i="9" s="1"/>
  <c r="H306" i="9"/>
  <c r="C307" i="9"/>
  <c r="D307" i="9"/>
  <c r="E307" i="9"/>
  <c r="F307" i="9"/>
  <c r="G307" i="9"/>
  <c r="H307" i="9"/>
  <c r="C308" i="9"/>
  <c r="D308" i="9"/>
  <c r="E308" i="9"/>
  <c r="F308" i="9"/>
  <c r="J308" i="9" s="1"/>
  <c r="G308" i="9"/>
  <c r="H308" i="9"/>
  <c r="C309" i="9"/>
  <c r="D309" i="9"/>
  <c r="E309" i="9"/>
  <c r="F309" i="9"/>
  <c r="G309" i="9"/>
  <c r="H309" i="9"/>
  <c r="C310" i="9"/>
  <c r="D310" i="9"/>
  <c r="E310" i="9"/>
  <c r="F310" i="9"/>
  <c r="G310" i="9"/>
  <c r="H310" i="9"/>
  <c r="L310" i="9" s="1"/>
  <c r="C311" i="9"/>
  <c r="D311" i="9"/>
  <c r="E311" i="9"/>
  <c r="F311" i="9"/>
  <c r="G311" i="9"/>
  <c r="H311" i="9"/>
  <c r="C312" i="9"/>
  <c r="D312" i="9"/>
  <c r="E312" i="9"/>
  <c r="F312" i="9"/>
  <c r="G312" i="9"/>
  <c r="H312" i="9"/>
  <c r="C313" i="9"/>
  <c r="D313" i="9"/>
  <c r="E313" i="9"/>
  <c r="F313" i="9"/>
  <c r="J313" i="9" s="1"/>
  <c r="G313" i="9"/>
  <c r="H313" i="9"/>
  <c r="L313" i="9" s="1"/>
  <c r="C314" i="9"/>
  <c r="D314" i="9"/>
  <c r="E314" i="9"/>
  <c r="F314" i="9"/>
  <c r="G314" i="9"/>
  <c r="K314" i="9" s="1"/>
  <c r="H314" i="9"/>
  <c r="C315" i="9"/>
  <c r="D315" i="9"/>
  <c r="E315" i="9"/>
  <c r="F315" i="9"/>
  <c r="G315" i="9"/>
  <c r="H315" i="9"/>
  <c r="C316" i="9"/>
  <c r="D316" i="9"/>
  <c r="E316" i="9"/>
  <c r="F316" i="9"/>
  <c r="J316" i="9" s="1"/>
  <c r="G316" i="9"/>
  <c r="H316" i="9"/>
  <c r="C317" i="9"/>
  <c r="D317" i="9"/>
  <c r="E317" i="9"/>
  <c r="F317" i="9"/>
  <c r="G317" i="9"/>
  <c r="H317" i="9"/>
  <c r="C318" i="9"/>
  <c r="D318" i="9"/>
  <c r="E318" i="9"/>
  <c r="F318" i="9"/>
  <c r="G318" i="9"/>
  <c r="H318" i="9"/>
  <c r="L318" i="9" s="1"/>
  <c r="O6" i="9"/>
  <c r="P6" i="9"/>
  <c r="C6" i="9"/>
  <c r="D6" i="9"/>
  <c r="E6" i="9"/>
  <c r="F6" i="9"/>
  <c r="S6" i="9"/>
  <c r="T6" i="9"/>
  <c r="R6" i="9"/>
  <c r="G6" i="9"/>
  <c r="K6" i="9" s="1"/>
  <c r="H6" i="9"/>
  <c r="A7" i="9"/>
  <c r="U7" i="9" s="1"/>
  <c r="Q6" i="9"/>
  <c r="U6" i="9"/>
  <c r="I6" i="9"/>
  <c r="K171" i="9" l="1"/>
  <c r="W184" i="9"/>
  <c r="W152" i="9"/>
  <c r="W104" i="9"/>
  <c r="K75" i="9"/>
  <c r="K59" i="9"/>
  <c r="W307" i="9"/>
  <c r="W275" i="9"/>
  <c r="W243" i="9"/>
  <c r="W211" i="9"/>
  <c r="W179" i="9"/>
  <c r="X184" i="9"/>
  <c r="V163" i="9"/>
  <c r="W250" i="9"/>
  <c r="W242" i="9"/>
  <c r="W234" i="9"/>
  <c r="W226" i="9"/>
  <c r="W218" i="9"/>
  <c r="W210" i="9"/>
  <c r="W202" i="9"/>
  <c r="W194" i="9"/>
  <c r="W186" i="9"/>
  <c r="W178" i="9"/>
  <c r="W170" i="9"/>
  <c r="W162" i="9"/>
  <c r="W154" i="9"/>
  <c r="W146" i="9"/>
  <c r="W138" i="9"/>
  <c r="W130" i="9"/>
  <c r="W122" i="9"/>
  <c r="W114" i="9"/>
  <c r="W106" i="9"/>
  <c r="V104" i="9"/>
  <c r="W98" i="9"/>
  <c r="W90" i="9"/>
  <c r="W82" i="9"/>
  <c r="W74" i="9"/>
  <c r="W66" i="9"/>
  <c r="W58" i="9"/>
  <c r="W50" i="9"/>
  <c r="W42" i="9"/>
  <c r="W34" i="9"/>
  <c r="W26" i="9"/>
  <c r="W18" i="9"/>
  <c r="W10" i="9"/>
  <c r="L47" i="9"/>
  <c r="V210" i="9"/>
  <c r="X71" i="9"/>
  <c r="L62" i="9"/>
  <c r="J57" i="9"/>
  <c r="L54" i="9"/>
  <c r="J49" i="9"/>
  <c r="L46" i="9"/>
  <c r="J41" i="9"/>
  <c r="L38" i="9"/>
  <c r="J33" i="9"/>
  <c r="L30" i="9"/>
  <c r="J25" i="9"/>
  <c r="L22" i="9"/>
  <c r="J17" i="9"/>
  <c r="L14" i="9"/>
  <c r="J9" i="9"/>
  <c r="X318" i="9"/>
  <c r="V313" i="9"/>
  <c r="X310" i="9"/>
  <c r="V305" i="9"/>
  <c r="X302" i="9"/>
  <c r="V297" i="9"/>
  <c r="X294" i="9"/>
  <c r="V289" i="9"/>
  <c r="X286" i="9"/>
  <c r="V281" i="9"/>
  <c r="X278" i="9"/>
  <c r="V273" i="9"/>
  <c r="X270" i="9"/>
  <c r="V265" i="9"/>
  <c r="X262" i="9"/>
  <c r="V257" i="9"/>
  <c r="X254" i="9"/>
  <c r="V249" i="9"/>
  <c r="X246" i="9"/>
  <c r="V241" i="9"/>
  <c r="X238" i="9"/>
  <c r="V233" i="9"/>
  <c r="X230" i="9"/>
  <c r="V225" i="9"/>
  <c r="X222" i="9"/>
  <c r="V217" i="9"/>
  <c r="X214" i="9"/>
  <c r="V209" i="9"/>
  <c r="X206" i="9"/>
  <c r="V201" i="9"/>
  <c r="X198" i="9"/>
  <c r="V193" i="9"/>
  <c r="X190" i="9"/>
  <c r="V185" i="9"/>
  <c r="X182" i="9"/>
  <c r="V177" i="9"/>
  <c r="X174" i="9"/>
  <c r="V169" i="9"/>
  <c r="X166" i="9"/>
  <c r="V161" i="9"/>
  <c r="X158" i="9"/>
  <c r="V153" i="9"/>
  <c r="X150" i="9"/>
  <c r="V145" i="9"/>
  <c r="X142" i="9"/>
  <c r="V137" i="9"/>
  <c r="X134" i="9"/>
  <c r="V129" i="9"/>
  <c r="X126" i="9"/>
  <c r="V121" i="9"/>
  <c r="X118" i="9"/>
  <c r="V113" i="9"/>
  <c r="X110" i="9"/>
  <c r="V105" i="9"/>
  <c r="X102" i="9"/>
  <c r="V97" i="9"/>
  <c r="X94" i="9"/>
  <c r="V89" i="9"/>
  <c r="V81" i="9"/>
  <c r="X78" i="9"/>
  <c r="X70" i="9"/>
  <c r="V65" i="9"/>
  <c r="X62" i="9"/>
  <c r="X54" i="9"/>
  <c r="X46" i="9"/>
  <c r="X38" i="9"/>
  <c r="V33" i="9"/>
  <c r="X30" i="9"/>
  <c r="V17" i="9"/>
  <c r="X14" i="9"/>
  <c r="J28" i="9"/>
  <c r="W318" i="9"/>
  <c r="W310" i="9"/>
  <c r="W302" i="9"/>
  <c r="V300" i="9"/>
  <c r="W294" i="9"/>
  <c r="W286" i="9"/>
  <c r="W278" i="9"/>
  <c r="W270" i="9"/>
  <c r="V268" i="9"/>
  <c r="W262" i="9"/>
  <c r="W254" i="9"/>
  <c r="W246" i="9"/>
  <c r="W238" i="9"/>
  <c r="W230" i="9"/>
  <c r="W222" i="9"/>
  <c r="W214" i="9"/>
  <c r="W206" i="9"/>
  <c r="W198" i="9"/>
  <c r="W190" i="9"/>
  <c r="W182" i="9"/>
  <c r="W174" i="9"/>
  <c r="W166" i="9"/>
  <c r="W158" i="9"/>
  <c r="W150" i="9"/>
  <c r="W142" i="9"/>
  <c r="W134" i="9"/>
  <c r="W126" i="9"/>
  <c r="W118" i="9"/>
  <c r="W110" i="9"/>
  <c r="W102" i="9"/>
  <c r="W94" i="9"/>
  <c r="W86" i="9"/>
  <c r="W78" i="9"/>
  <c r="W70" i="9"/>
  <c r="W62" i="9"/>
  <c r="W54" i="9"/>
  <c r="W46" i="9"/>
  <c r="W38" i="9"/>
  <c r="W30" i="9"/>
  <c r="W22" i="9"/>
  <c r="W14" i="9"/>
  <c r="L317" i="9"/>
  <c r="J312" i="9"/>
  <c r="L309" i="9"/>
  <c r="J304" i="9"/>
  <c r="L301" i="9"/>
  <c r="J296" i="9"/>
  <c r="L293" i="9"/>
  <c r="J288" i="9"/>
  <c r="L285" i="9"/>
  <c r="J280" i="9"/>
  <c r="L277" i="9"/>
  <c r="J272" i="9"/>
  <c r="L269" i="9"/>
  <c r="J264" i="9"/>
  <c r="L261" i="9"/>
  <c r="J256" i="9"/>
  <c r="L253" i="9"/>
  <c r="J248" i="9"/>
  <c r="L245" i="9"/>
  <c r="J240" i="9"/>
  <c r="L237" i="9"/>
  <c r="J232" i="9"/>
  <c r="L229" i="9"/>
  <c r="J224" i="9"/>
  <c r="L221" i="9"/>
  <c r="J216" i="9"/>
  <c r="L213" i="9"/>
  <c r="J208" i="9"/>
  <c r="W296" i="9"/>
  <c r="W264" i="9"/>
  <c r="W232" i="9"/>
  <c r="W200" i="9"/>
  <c r="W168" i="9"/>
  <c r="W120" i="9"/>
  <c r="K313" i="9"/>
  <c r="K305" i="9"/>
  <c r="K297" i="9"/>
  <c r="K289" i="9"/>
  <c r="K281" i="9"/>
  <c r="K273" i="9"/>
  <c r="K265" i="9"/>
  <c r="K257" i="9"/>
  <c r="K249" i="9"/>
  <c r="K241" i="9"/>
  <c r="K233" i="9"/>
  <c r="K225" i="9"/>
  <c r="K217" i="9"/>
  <c r="K209" i="9"/>
  <c r="K201" i="9"/>
  <c r="K193" i="9"/>
  <c r="K185" i="9"/>
  <c r="K177" i="9"/>
  <c r="K169" i="9"/>
  <c r="K161" i="9"/>
  <c r="K153" i="9"/>
  <c r="K145" i="9"/>
  <c r="K137" i="9"/>
  <c r="K129" i="9"/>
  <c r="K121" i="9"/>
  <c r="K113" i="9"/>
  <c r="K97" i="9"/>
  <c r="K65" i="9"/>
  <c r="K49" i="9"/>
  <c r="K33" i="9"/>
  <c r="K17" i="9"/>
  <c r="W313" i="9"/>
  <c r="W305" i="9"/>
  <c r="W297" i="9"/>
  <c r="W289" i="9"/>
  <c r="W281" i="9"/>
  <c r="W273" i="9"/>
  <c r="W265" i="9"/>
  <c r="W257" i="9"/>
  <c r="W249" i="9"/>
  <c r="W241" i="9"/>
  <c r="W233" i="9"/>
  <c r="W225" i="9"/>
  <c r="W209" i="9"/>
  <c r="L59" i="9"/>
  <c r="J14" i="9"/>
  <c r="L11" i="9"/>
  <c r="V318" i="9"/>
  <c r="X315" i="9"/>
  <c r="V310" i="9"/>
  <c r="X307" i="9"/>
  <c r="V302" i="9"/>
  <c r="X299" i="9"/>
  <c r="V294" i="9"/>
  <c r="X291" i="9"/>
  <c r="V286" i="9"/>
  <c r="X283" i="9"/>
  <c r="V278" i="9"/>
  <c r="X275" i="9"/>
  <c r="V270" i="9"/>
  <c r="X267" i="9"/>
  <c r="V262" i="9"/>
  <c r="X259" i="9"/>
  <c r="V254" i="9"/>
  <c r="X251" i="9"/>
  <c r="V246" i="9"/>
  <c r="X243" i="9"/>
  <c r="V238" i="9"/>
  <c r="X235" i="9"/>
  <c r="V230" i="9"/>
  <c r="X227" i="9"/>
  <c r="V222" i="9"/>
  <c r="X219" i="9"/>
  <c r="V214" i="9"/>
  <c r="X211" i="9"/>
  <c r="V206" i="9"/>
  <c r="X203" i="9"/>
  <c r="V198" i="9"/>
  <c r="X195" i="9"/>
  <c r="V190" i="9"/>
  <c r="X187" i="9"/>
  <c r="V182" i="9"/>
  <c r="X179" i="9"/>
  <c r="V174" i="9"/>
  <c r="X171" i="9"/>
  <c r="V166" i="9"/>
  <c r="X163" i="9"/>
  <c r="V158" i="9"/>
  <c r="X155" i="9"/>
  <c r="V150" i="9"/>
  <c r="X147" i="9"/>
  <c r="V142" i="9"/>
  <c r="V134" i="9"/>
  <c r="X131" i="9"/>
  <c r="V126" i="9"/>
  <c r="X123" i="9"/>
  <c r="V118" i="9"/>
  <c r="X115" i="9"/>
  <c r="V110" i="9"/>
  <c r="X107" i="9"/>
  <c r="V102" i="9"/>
  <c r="X99" i="9"/>
  <c r="V94" i="9"/>
  <c r="X91" i="9"/>
  <c r="V86" i="9"/>
  <c r="X83" i="9"/>
  <c r="V78" i="9"/>
  <c r="X75" i="9"/>
  <c r="V70" i="9"/>
  <c r="X67" i="9"/>
  <c r="V62" i="9"/>
  <c r="X59" i="9"/>
  <c r="V54" i="9"/>
  <c r="X51" i="9"/>
  <c r="V46" i="9"/>
  <c r="X43" i="9"/>
  <c r="V38" i="9"/>
  <c r="X35" i="9"/>
  <c r="V30" i="9"/>
  <c r="X27" i="9"/>
  <c r="V22" i="9"/>
  <c r="X19" i="9"/>
  <c r="V14" i="9"/>
  <c r="X11" i="9"/>
  <c r="W195" i="9"/>
  <c r="J107" i="9"/>
  <c r="L104" i="9"/>
  <c r="J99" i="9"/>
  <c r="L96" i="9"/>
  <c r="J91" i="9"/>
  <c r="L88" i="9"/>
  <c r="J83" i="9"/>
  <c r="L80" i="9"/>
  <c r="J75" i="9"/>
  <c r="L72" i="9"/>
  <c r="J67" i="9"/>
  <c r="L64" i="9"/>
  <c r="J59" i="9"/>
  <c r="L56" i="9"/>
  <c r="J51" i="9"/>
  <c r="L48" i="9"/>
  <c r="J43" i="9"/>
  <c r="L40" i="9"/>
  <c r="J35" i="9"/>
  <c r="L32" i="9"/>
  <c r="J27" i="9"/>
  <c r="L24" i="9"/>
  <c r="J19" i="9"/>
  <c r="L16" i="9"/>
  <c r="J11" i="9"/>
  <c r="L8" i="9"/>
  <c r="V315" i="9"/>
  <c r="V307" i="9"/>
  <c r="X304" i="9"/>
  <c r="V299" i="9"/>
  <c r="X296" i="9"/>
  <c r="V291" i="9"/>
  <c r="X288" i="9"/>
  <c r="V283" i="9"/>
  <c r="V275" i="9"/>
  <c r="X272" i="9"/>
  <c r="V267" i="9"/>
  <c r="X264" i="9"/>
  <c r="V259" i="9"/>
  <c r="X256" i="9"/>
  <c r="V251" i="9"/>
  <c r="V243" i="9"/>
  <c r="X240" i="9"/>
  <c r="V227" i="9"/>
  <c r="X224" i="9"/>
  <c r="V219" i="9"/>
  <c r="V211" i="9"/>
  <c r="V203" i="9"/>
  <c r="X200" i="9"/>
  <c r="V195" i="9"/>
  <c r="X192" i="9"/>
  <c r="V187" i="9"/>
  <c r="V179" i="9"/>
  <c r="X176" i="9"/>
  <c r="V171" i="9"/>
  <c r="X160" i="9"/>
  <c r="V155" i="9"/>
  <c r="X152" i="9"/>
  <c r="V147" i="9"/>
  <c r="X144" i="9"/>
  <c r="V139" i="9"/>
  <c r="X136" i="9"/>
  <c r="V131" i="9"/>
  <c r="X120" i="9"/>
  <c r="V115" i="9"/>
  <c r="X112" i="9"/>
  <c r="V107" i="9"/>
  <c r="V99" i="9"/>
  <c r="X96" i="9"/>
  <c r="V91" i="9"/>
  <c r="V83" i="9"/>
  <c r="V75" i="9"/>
  <c r="V67" i="9"/>
  <c r="V59" i="9"/>
  <c r="V51" i="9"/>
  <c r="X48" i="9"/>
  <c r="V43" i="9"/>
  <c r="X40" i="9"/>
  <c r="V35" i="9"/>
  <c r="X32" i="9"/>
  <c r="V19" i="9"/>
  <c r="X16" i="9"/>
  <c r="V11" i="9"/>
  <c r="X8" i="9"/>
  <c r="X141" i="9"/>
  <c r="W301" i="9"/>
  <c r="W189" i="9"/>
  <c r="W141" i="9"/>
  <c r="W45" i="9"/>
  <c r="W13" i="9"/>
  <c r="X162" i="9"/>
  <c r="X130" i="9"/>
  <c r="X92" i="9"/>
  <c r="X60" i="9"/>
  <c r="X44" i="9"/>
  <c r="X28" i="9"/>
  <c r="W84" i="9"/>
  <c r="W76" i="9"/>
  <c r="W68" i="9"/>
  <c r="W60" i="9"/>
  <c r="W52" i="9"/>
  <c r="W44" i="9"/>
  <c r="W36" i="9"/>
  <c r="W28" i="9"/>
  <c r="W20" i="9"/>
  <c r="W12" i="9"/>
  <c r="W145" i="9"/>
  <c r="W129" i="9"/>
  <c r="W81" i="9"/>
  <c r="W65" i="9"/>
  <c r="W33" i="9"/>
  <c r="W17" i="9"/>
  <c r="V236" i="9"/>
  <c r="V212" i="9"/>
  <c r="V204" i="9"/>
  <c r="V196" i="9"/>
  <c r="V188" i="9"/>
  <c r="V180" i="9"/>
  <c r="V172" i="9"/>
  <c r="V164" i="9"/>
  <c r="V156" i="9"/>
  <c r="V148" i="9"/>
  <c r="V140" i="9"/>
  <c r="V132" i="9"/>
  <c r="V116" i="9"/>
  <c r="V108" i="9"/>
  <c r="V100" i="9"/>
  <c r="K318" i="9"/>
  <c r="K310" i="9"/>
  <c r="K302" i="9"/>
  <c r="K294" i="9"/>
  <c r="K286" i="9"/>
  <c r="K278" i="9"/>
  <c r="K270" i="9"/>
  <c r="K262" i="9"/>
  <c r="K254" i="9"/>
  <c r="K246" i="9"/>
  <c r="K238" i="9"/>
  <c r="K230" i="9"/>
  <c r="K222" i="9"/>
  <c r="K214" i="9"/>
  <c r="K206" i="9"/>
  <c r="K198" i="9"/>
  <c r="K190" i="9"/>
  <c r="K182" i="9"/>
  <c r="K174" i="9"/>
  <c r="K166" i="9"/>
  <c r="K158" i="9"/>
  <c r="K150" i="9"/>
  <c r="K142" i="9"/>
  <c r="K134" i="9"/>
  <c r="K126" i="9"/>
  <c r="K118" i="9"/>
  <c r="K110" i="9"/>
  <c r="K102" i="9"/>
  <c r="K94" i="9"/>
  <c r="K86" i="9"/>
  <c r="K78" i="9"/>
  <c r="K70" i="9"/>
  <c r="K62" i="9"/>
  <c r="K54" i="9"/>
  <c r="K46" i="9"/>
  <c r="K38" i="9"/>
  <c r="K30" i="9"/>
  <c r="K22" i="9"/>
  <c r="K14" i="9"/>
  <c r="J318" i="9"/>
  <c r="L315" i="9"/>
  <c r="J310" i="9"/>
  <c r="L307" i="9"/>
  <c r="J302" i="9"/>
  <c r="L299" i="9"/>
  <c r="J294" i="9"/>
  <c r="L291" i="9"/>
  <c r="J286" i="9"/>
  <c r="L283" i="9"/>
  <c r="J278" i="9"/>
  <c r="L275" i="9"/>
  <c r="J270" i="9"/>
  <c r="L267" i="9"/>
  <c r="J262" i="9"/>
  <c r="L259" i="9"/>
  <c r="J254" i="9"/>
  <c r="L251" i="9"/>
  <c r="J246" i="9"/>
  <c r="L243" i="9"/>
  <c r="J238" i="9"/>
  <c r="L235" i="9"/>
  <c r="J230" i="9"/>
  <c r="L227" i="9"/>
  <c r="J222" i="9"/>
  <c r="L219" i="9"/>
  <c r="J214" i="9"/>
  <c r="L211" i="9"/>
  <c r="J206" i="9"/>
  <c r="L203" i="9"/>
  <c r="J198" i="9"/>
  <c r="L195" i="9"/>
  <c r="J190" i="9"/>
  <c r="L187" i="9"/>
  <c r="J182" i="9"/>
  <c r="L179" i="9"/>
  <c r="J174" i="9"/>
  <c r="L171" i="9"/>
  <c r="J166" i="9"/>
  <c r="L163" i="9"/>
  <c r="J158" i="9"/>
  <c r="L155" i="9"/>
  <c r="J150" i="9"/>
  <c r="L147" i="9"/>
  <c r="J142" i="9"/>
  <c r="L139" i="9"/>
  <c r="J134" i="9"/>
  <c r="L131" i="9"/>
  <c r="J126" i="9"/>
  <c r="L123" i="9"/>
  <c r="J118" i="9"/>
  <c r="L115" i="9"/>
  <c r="J110" i="9"/>
  <c r="L107" i="9"/>
  <c r="J102" i="9"/>
  <c r="L99" i="9"/>
  <c r="J94" i="9"/>
  <c r="L91" i="9"/>
  <c r="J86" i="9"/>
  <c r="L83" i="9"/>
  <c r="K81" i="9"/>
  <c r="J78" i="9"/>
  <c r="L75" i="9"/>
  <c r="J70" i="9"/>
  <c r="L67" i="9"/>
  <c r="J62" i="9"/>
  <c r="J54" i="9"/>
  <c r="L51" i="9"/>
  <c r="J46" i="9"/>
  <c r="L43" i="9"/>
  <c r="J38" i="9"/>
  <c r="L35" i="9"/>
  <c r="J30" i="9"/>
  <c r="L27" i="9"/>
  <c r="J22" i="9"/>
  <c r="L19" i="9"/>
  <c r="K251" i="9"/>
  <c r="K219" i="9"/>
  <c r="K203" i="9"/>
  <c r="K139" i="9"/>
  <c r="K27" i="9"/>
  <c r="K317" i="9"/>
  <c r="K309" i="9"/>
  <c r="K301" i="9"/>
  <c r="K293" i="9"/>
  <c r="K285" i="9"/>
  <c r="K277" i="9"/>
  <c r="K269" i="9"/>
  <c r="K253" i="9"/>
  <c r="K245" i="9"/>
  <c r="K237" i="9"/>
  <c r="K229" i="9"/>
  <c r="K221" i="9"/>
  <c r="K213" i="9"/>
  <c r="K205" i="9"/>
  <c r="K197" i="9"/>
  <c r="K189" i="9"/>
  <c r="K181" i="9"/>
  <c r="K173" i="9"/>
  <c r="K165" i="9"/>
  <c r="K157" i="9"/>
  <c r="K149" i="9"/>
  <c r="K141" i="9"/>
  <c r="K133" i="9"/>
  <c r="K125" i="9"/>
  <c r="W317" i="9"/>
  <c r="W285" i="9"/>
  <c r="W269" i="9"/>
  <c r="W253" i="9"/>
  <c r="W237" i="9"/>
  <c r="W221" i="9"/>
  <c r="W205" i="9"/>
  <c r="J317" i="9"/>
  <c r="L314" i="9"/>
  <c r="J309" i="9"/>
  <c r="L306" i="9"/>
  <c r="J301" i="9"/>
  <c r="L298" i="9"/>
  <c r="J293" i="9"/>
  <c r="L290" i="9"/>
  <c r="J285" i="9"/>
  <c r="L282" i="9"/>
  <c r="J277" i="9"/>
  <c r="L274" i="9"/>
  <c r="J269" i="9"/>
  <c r="L266" i="9"/>
  <c r="J261" i="9"/>
  <c r="L258" i="9"/>
  <c r="J253" i="9"/>
  <c r="L250" i="9"/>
  <c r="J245" i="9"/>
  <c r="L242" i="9"/>
  <c r="J237" i="9"/>
  <c r="L234" i="9"/>
  <c r="J229" i="9"/>
  <c r="L226" i="9"/>
  <c r="J221" i="9"/>
  <c r="L218" i="9"/>
  <c r="J213" i="9"/>
  <c r="L210" i="9"/>
  <c r="J205" i="9"/>
  <c r="L202" i="9"/>
  <c r="J197" i="9"/>
  <c r="L194" i="9"/>
  <c r="J189" i="9"/>
  <c r="L186" i="9"/>
  <c r="J181" i="9"/>
  <c r="L178" i="9"/>
  <c r="J173" i="9"/>
  <c r="L170" i="9"/>
  <c r="J165" i="9"/>
  <c r="L162" i="9"/>
  <c r="J157" i="9"/>
  <c r="L154" i="9"/>
  <c r="J149" i="9"/>
  <c r="L146" i="9"/>
  <c r="J141" i="9"/>
  <c r="L138" i="9"/>
  <c r="J133" i="9"/>
  <c r="L130" i="9"/>
  <c r="J125" i="9"/>
  <c r="L122" i="9"/>
  <c r="J117" i="9"/>
  <c r="L114" i="9"/>
  <c r="J109" i="9"/>
  <c r="L106" i="9"/>
  <c r="J101" i="9"/>
  <c r="L98" i="9"/>
  <c r="J93" i="9"/>
  <c r="L90" i="9"/>
  <c r="J85" i="9"/>
  <c r="L82" i="9"/>
  <c r="J77" i="9"/>
  <c r="L74" i="9"/>
  <c r="J69" i="9"/>
  <c r="L66" i="9"/>
  <c r="J61" i="9"/>
  <c r="L58" i="9"/>
  <c r="J53" i="9"/>
  <c r="L50" i="9"/>
  <c r="J45" i="9"/>
  <c r="L42" i="9"/>
  <c r="J37" i="9"/>
  <c r="L34" i="9"/>
  <c r="J29" i="9"/>
  <c r="L26" i="9"/>
  <c r="J21" i="9"/>
  <c r="L18" i="9"/>
  <c r="J13" i="9"/>
  <c r="L10" i="9"/>
  <c r="V317" i="9"/>
  <c r="X314" i="9"/>
  <c r="V309" i="9"/>
  <c r="X306" i="9"/>
  <c r="V301" i="9"/>
  <c r="X298" i="9"/>
  <c r="V141" i="9"/>
  <c r="J42" i="9"/>
  <c r="L39" i="9"/>
  <c r="J34" i="9"/>
  <c r="L31" i="9"/>
  <c r="J26" i="9"/>
  <c r="L23" i="9"/>
  <c r="J18" i="9"/>
  <c r="J10" i="9"/>
  <c r="L7" i="9"/>
  <c r="V314" i="9"/>
  <c r="X311" i="9"/>
  <c r="V306" i="9"/>
  <c r="X303" i="9"/>
  <c r="V298" i="9"/>
  <c r="X295" i="9"/>
  <c r="V290" i="9"/>
  <c r="X287" i="9"/>
  <c r="V282" i="9"/>
  <c r="V274" i="9"/>
  <c r="X271" i="9"/>
  <c r="V266" i="9"/>
  <c r="X263" i="9"/>
  <c r="X255" i="9"/>
  <c r="V250" i="9"/>
  <c r="X247" i="9"/>
  <c r="V242" i="9"/>
  <c r="X239" i="9"/>
  <c r="V234" i="9"/>
  <c r="V226" i="9"/>
  <c r="X223" i="9"/>
  <c r="V218" i="9"/>
  <c r="X215" i="9"/>
  <c r="X207" i="9"/>
  <c r="V202" i="9"/>
  <c r="X199" i="9"/>
  <c r="V194" i="9"/>
  <c r="X191" i="9"/>
  <c r="V186" i="9"/>
  <c r="X183" i="9"/>
  <c r="V178" i="9"/>
  <c r="X175" i="9"/>
  <c r="V170" i="9"/>
  <c r="X167" i="9"/>
  <c r="V162" i="9"/>
  <c r="X159" i="9"/>
  <c r="V154" i="9"/>
  <c r="X151" i="9"/>
  <c r="V146" i="9"/>
  <c r="X143" i="9"/>
  <c r="V138" i="9"/>
  <c r="V130" i="9"/>
  <c r="X119" i="9"/>
  <c r="V114" i="9"/>
  <c r="X103" i="9"/>
  <c r="V98" i="9"/>
  <c r="X87" i="9"/>
  <c r="V82" i="9"/>
  <c r="V66" i="9"/>
  <c r="X55" i="9"/>
  <c r="V50" i="9"/>
  <c r="X39" i="9"/>
  <c r="V34" i="9"/>
  <c r="X23" i="9"/>
  <c r="V18" i="9"/>
  <c r="K87" i="9"/>
  <c r="K79" i="9"/>
  <c r="K71" i="9"/>
  <c r="K63" i="9"/>
  <c r="K55" i="9"/>
  <c r="K47" i="9"/>
  <c r="K39" i="9"/>
  <c r="K31" i="9"/>
  <c r="K23" i="9"/>
  <c r="K15" i="9"/>
  <c r="K7" i="9"/>
  <c r="W311" i="9"/>
  <c r="W303" i="9"/>
  <c r="W295" i="9"/>
  <c r="W287" i="9"/>
  <c r="W279" i="9"/>
  <c r="W271" i="9"/>
  <c r="W263" i="9"/>
  <c r="W255" i="9"/>
  <c r="W247" i="9"/>
  <c r="W239" i="9"/>
  <c r="W231" i="9"/>
  <c r="W223" i="9"/>
  <c r="W215" i="9"/>
  <c r="W207" i="9"/>
  <c r="W199" i="9"/>
  <c r="W191" i="9"/>
  <c r="W183" i="9"/>
  <c r="W175" i="9"/>
  <c r="W167" i="9"/>
  <c r="W159" i="9"/>
  <c r="W151" i="9"/>
  <c r="W143" i="9"/>
  <c r="W135" i="9"/>
  <c r="L108" i="9"/>
  <c r="J103" i="9"/>
  <c r="L100" i="9"/>
  <c r="J95" i="9"/>
  <c r="L92" i="9"/>
  <c r="J87" i="9"/>
  <c r="L84" i="9"/>
  <c r="J79" i="9"/>
  <c r="L76" i="9"/>
  <c r="J71" i="9"/>
  <c r="L68" i="9"/>
  <c r="J63" i="9"/>
  <c r="L60" i="9"/>
  <c r="J55" i="9"/>
  <c r="L52" i="9"/>
  <c r="J47" i="9"/>
  <c r="L44" i="9"/>
  <c r="J39" i="9"/>
  <c r="L36" i="9"/>
  <c r="J31" i="9"/>
  <c r="L28" i="9"/>
  <c r="J23" i="9"/>
  <c r="L20" i="9"/>
  <c r="J7" i="9"/>
  <c r="X316" i="9"/>
  <c r="V311" i="9"/>
  <c r="X308" i="9"/>
  <c r="V303" i="9"/>
  <c r="X300" i="9"/>
  <c r="V295" i="9"/>
  <c r="X292" i="9"/>
  <c r="V287" i="9"/>
  <c r="X284" i="9"/>
  <c r="V279" i="9"/>
  <c r="X276" i="9"/>
  <c r="V271" i="9"/>
  <c r="X268" i="9"/>
  <c r="V263" i="9"/>
  <c r="X260" i="9"/>
  <c r="V255" i="9"/>
  <c r="X252" i="9"/>
  <c r="V247" i="9"/>
  <c r="X244" i="9"/>
  <c r="X236" i="9"/>
  <c r="X220" i="9"/>
  <c r="X204" i="9"/>
  <c r="X172" i="9"/>
  <c r="X156" i="9"/>
  <c r="X124" i="9"/>
  <c r="J260" i="9"/>
  <c r="L257" i="9"/>
  <c r="J252" i="9"/>
  <c r="L249" i="9"/>
  <c r="J244" i="9"/>
  <c r="L241" i="9"/>
  <c r="J236" i="9"/>
  <c r="L233" i="9"/>
  <c r="J228" i="9"/>
  <c r="L225" i="9"/>
  <c r="J220" i="9"/>
  <c r="L217" i="9"/>
  <c r="J212" i="9"/>
  <c r="L209" i="9"/>
  <c r="J204" i="9"/>
  <c r="L201" i="9"/>
  <c r="J196" i="9"/>
  <c r="L193" i="9"/>
  <c r="J188" i="9"/>
  <c r="L185" i="9"/>
  <c r="J180" i="9"/>
  <c r="L177" i="9"/>
  <c r="J172" i="9"/>
  <c r="L169" i="9"/>
  <c r="J164" i="9"/>
  <c r="L161" i="9"/>
  <c r="J156" i="9"/>
  <c r="L153" i="9"/>
  <c r="J148" i="9"/>
  <c r="L145" i="9"/>
  <c r="J140" i="9"/>
  <c r="L137" i="9"/>
  <c r="J132" i="9"/>
  <c r="L129" i="9"/>
  <c r="J124" i="9"/>
  <c r="L121" i="9"/>
  <c r="J116" i="9"/>
  <c r="L113" i="9"/>
  <c r="J108" i="9"/>
  <c r="L105" i="9"/>
  <c r="J100" i="9"/>
  <c r="L97" i="9"/>
  <c r="J92" i="9"/>
  <c r="J76" i="9"/>
  <c r="J60" i="9"/>
  <c r="J44" i="9"/>
  <c r="J12" i="9"/>
  <c r="V316" i="9"/>
  <c r="X313" i="9"/>
  <c r="V308" i="9"/>
  <c r="X305" i="9"/>
  <c r="X297" i="9"/>
  <c r="V292" i="9"/>
  <c r="X289" i="9"/>
  <c r="V284" i="9"/>
  <c r="X281" i="9"/>
  <c r="V276" i="9"/>
  <c r="X273" i="9"/>
  <c r="X265" i="9"/>
  <c r="V260" i="9"/>
  <c r="X257" i="9"/>
  <c r="V252" i="9"/>
  <c r="X249" i="9"/>
  <c r="V244" i="9"/>
  <c r="X241" i="9"/>
  <c r="X233" i="9"/>
  <c r="V228" i="9"/>
  <c r="X225" i="9"/>
  <c r="V220" i="9"/>
  <c r="X217" i="9"/>
  <c r="X209" i="9"/>
  <c r="X201" i="9"/>
  <c r="X193" i="9"/>
  <c r="X185" i="9"/>
  <c r="X177" i="9"/>
  <c r="X169" i="9"/>
  <c r="X161" i="9"/>
  <c r="X153" i="9"/>
  <c r="X145" i="9"/>
  <c r="X137" i="9"/>
  <c r="X129" i="9"/>
  <c r="V124" i="9"/>
  <c r="X121" i="9"/>
  <c r="X113" i="9"/>
  <c r="X105" i="9"/>
  <c r="V92" i="9"/>
  <c r="V84" i="9"/>
  <c r="V76" i="9"/>
  <c r="V68" i="9"/>
  <c r="V52" i="9"/>
  <c r="V36" i="9"/>
  <c r="V28" i="9"/>
  <c r="V20" i="9"/>
  <c r="V12" i="9"/>
  <c r="W217" i="9"/>
  <c r="W201" i="9"/>
  <c r="W193" i="9"/>
  <c r="W185" i="9"/>
  <c r="W177" i="9"/>
  <c r="W169" i="9"/>
  <c r="W161" i="9"/>
  <c r="W153" i="9"/>
  <c r="X139" i="9"/>
  <c r="W137" i="9"/>
  <c r="W121" i="9"/>
  <c r="W113" i="9"/>
  <c r="W105" i="9"/>
  <c r="W97" i="9"/>
  <c r="W89" i="9"/>
  <c r="W73" i="9"/>
  <c r="W57" i="9"/>
  <c r="W49" i="9"/>
  <c r="W41" i="9"/>
  <c r="W25" i="9"/>
  <c r="W9" i="9"/>
  <c r="W291" i="9"/>
  <c r="W259" i="9"/>
  <c r="W227" i="9"/>
  <c r="W147" i="9"/>
  <c r="W131" i="9"/>
  <c r="X86" i="9"/>
  <c r="V73" i="9"/>
  <c r="V57" i="9"/>
  <c r="V49" i="9"/>
  <c r="V41" i="9"/>
  <c r="V25" i="9"/>
  <c r="X22" i="9"/>
  <c r="V9" i="9"/>
  <c r="X312" i="9"/>
  <c r="X280" i="9"/>
  <c r="X248" i="9"/>
  <c r="V235" i="9"/>
  <c r="X216" i="9"/>
  <c r="X208" i="9"/>
  <c r="X128" i="9"/>
  <c r="V123" i="9"/>
  <c r="X104" i="9"/>
  <c r="X88" i="9"/>
  <c r="X80" i="9"/>
  <c r="X72" i="9"/>
  <c r="X64" i="9"/>
  <c r="X56" i="9"/>
  <c r="V27" i="9"/>
  <c r="X24" i="9"/>
  <c r="W312" i="9"/>
  <c r="W280" i="9"/>
  <c r="W248" i="9"/>
  <c r="W216" i="9"/>
  <c r="W136" i="9"/>
  <c r="X309" i="9"/>
  <c r="V304" i="9"/>
  <c r="X301" i="9"/>
  <c r="V296" i="9"/>
  <c r="X293" i="9"/>
  <c r="V288" i="9"/>
  <c r="X285" i="9"/>
  <c r="V280" i="9"/>
  <c r="X277" i="9"/>
  <c r="V272" i="9"/>
  <c r="X269" i="9"/>
  <c r="V264" i="9"/>
  <c r="X261" i="9"/>
  <c r="V256" i="9"/>
  <c r="X253" i="9"/>
  <c r="V248" i="9"/>
  <c r="X245" i="9"/>
  <c r="V240" i="9"/>
  <c r="X237" i="9"/>
  <c r="V232" i="9"/>
  <c r="X229" i="9"/>
  <c r="V224" i="9"/>
  <c r="X221" i="9"/>
  <c r="V216" i="9"/>
  <c r="X213" i="9"/>
  <c r="V208" i="9"/>
  <c r="X205" i="9"/>
  <c r="V200" i="9"/>
  <c r="X197" i="9"/>
  <c r="V192" i="9"/>
  <c r="X189" i="9"/>
  <c r="V184" i="9"/>
  <c r="X181" i="9"/>
  <c r="V176" i="9"/>
  <c r="V168" i="9"/>
  <c r="X165" i="9"/>
  <c r="V160" i="9"/>
  <c r="X157" i="9"/>
  <c r="X149" i="9"/>
  <c r="V144" i="9"/>
  <c r="V136" i="9"/>
  <c r="X133" i="9"/>
  <c r="V128" i="9"/>
  <c r="X125" i="9"/>
  <c r="V120" i="9"/>
  <c r="X117" i="9"/>
  <c r="V112" i="9"/>
  <c r="X109" i="9"/>
  <c r="X101" i="9"/>
  <c r="V96" i="9"/>
  <c r="X93" i="9"/>
  <c r="V88" i="9"/>
  <c r="X85" i="9"/>
  <c r="V80" i="9"/>
  <c r="X77" i="9"/>
  <c r="V72" i="9"/>
  <c r="X69" i="9"/>
  <c r="V64" i="9"/>
  <c r="X61" i="9"/>
  <c r="V56" i="9"/>
  <c r="X53" i="9"/>
  <c r="V48" i="9"/>
  <c r="X45" i="9"/>
  <c r="V40" i="9"/>
  <c r="X37" i="9"/>
  <c r="V32" i="9"/>
  <c r="X29" i="9"/>
  <c r="V24" i="9"/>
  <c r="X21" i="9"/>
  <c r="V16" i="9"/>
  <c r="X13" i="9"/>
  <c r="V8" i="9"/>
  <c r="W309" i="9"/>
  <c r="W293" i="9"/>
  <c r="W277" i="9"/>
  <c r="W261" i="9"/>
  <c r="W245" i="9"/>
  <c r="W229" i="9"/>
  <c r="W213" i="9"/>
  <c r="W197" i="9"/>
  <c r="W181" i="9"/>
  <c r="W165" i="9"/>
  <c r="W149" i="9"/>
  <c r="W133" i="9"/>
  <c r="W117" i="9"/>
  <c r="W101" i="9"/>
  <c r="W85" i="9"/>
  <c r="W69" i="9"/>
  <c r="W53" i="9"/>
  <c r="W37" i="9"/>
  <c r="W21" i="9"/>
  <c r="V293" i="9"/>
  <c r="X290" i="9"/>
  <c r="V285" i="9"/>
  <c r="X282" i="9"/>
  <c r="V277" i="9"/>
  <c r="X274" i="9"/>
  <c r="V269" i="9"/>
  <c r="X266" i="9"/>
  <c r="V261" i="9"/>
  <c r="X258" i="9"/>
  <c r="V253" i="9"/>
  <c r="X250" i="9"/>
  <c r="V245" i="9"/>
  <c r="X242" i="9"/>
  <c r="V237" i="9"/>
  <c r="X234" i="9"/>
  <c r="V229" i="9"/>
  <c r="X226" i="9"/>
  <c r="V221" i="9"/>
  <c r="X218" i="9"/>
  <c r="V213" i="9"/>
  <c r="X210" i="9"/>
  <c r="V205" i="9"/>
  <c r="X202" i="9"/>
  <c r="V197" i="9"/>
  <c r="X194" i="9"/>
  <c r="V189" i="9"/>
  <c r="X186" i="9"/>
  <c r="V181" i="9"/>
  <c r="X178" i="9"/>
  <c r="V173" i="9"/>
  <c r="X170" i="9"/>
  <c r="V165" i="9"/>
  <c r="V157" i="9"/>
  <c r="X154" i="9"/>
  <c r="V149" i="9"/>
  <c r="X146" i="9"/>
  <c r="X138" i="9"/>
  <c r="V133" i="9"/>
  <c r="V125" i="9"/>
  <c r="X122" i="9"/>
  <c r="V117" i="9"/>
  <c r="X114" i="9"/>
  <c r="V109" i="9"/>
  <c r="X106" i="9"/>
  <c r="V101" i="9"/>
  <c r="X98" i="9"/>
  <c r="V93" i="9"/>
  <c r="X90" i="9"/>
  <c r="V85" i="9"/>
  <c r="X82" i="9"/>
  <c r="V77" i="9"/>
  <c r="X74" i="9"/>
  <c r="V69" i="9"/>
  <c r="X66" i="9"/>
  <c r="V61" i="9"/>
  <c r="X58" i="9"/>
  <c r="V53" i="9"/>
  <c r="X50" i="9"/>
  <c r="V45" i="9"/>
  <c r="X42" i="9"/>
  <c r="V37" i="9"/>
  <c r="X34" i="9"/>
  <c r="V29" i="9"/>
  <c r="X26" i="9"/>
  <c r="V21" i="9"/>
  <c r="X18" i="9"/>
  <c r="V13" i="9"/>
  <c r="X10" i="9"/>
  <c r="X127" i="9"/>
  <c r="V122" i="9"/>
  <c r="X111" i="9"/>
  <c r="V106" i="9"/>
  <c r="X95" i="9"/>
  <c r="V90" i="9"/>
  <c r="X79" i="9"/>
  <c r="V74" i="9"/>
  <c r="X63" i="9"/>
  <c r="V58" i="9"/>
  <c r="X47" i="9"/>
  <c r="V42" i="9"/>
  <c r="X31" i="9"/>
  <c r="V26" i="9"/>
  <c r="X15" i="9"/>
  <c r="V10" i="9"/>
  <c r="W127" i="9"/>
  <c r="W119" i="9"/>
  <c r="W111" i="9"/>
  <c r="W103" i="9"/>
  <c r="W95" i="9"/>
  <c r="W87" i="9"/>
  <c r="W79" i="9"/>
  <c r="W71" i="9"/>
  <c r="W63" i="9"/>
  <c r="W55" i="9"/>
  <c r="W47" i="9"/>
  <c r="W39" i="9"/>
  <c r="W31" i="9"/>
  <c r="W23" i="9"/>
  <c r="W15" i="9"/>
  <c r="W7" i="9"/>
  <c r="V239" i="9"/>
  <c r="V231" i="9"/>
  <c r="X228" i="9"/>
  <c r="V223" i="9"/>
  <c r="V215" i="9"/>
  <c r="X212" i="9"/>
  <c r="V207" i="9"/>
  <c r="V199" i="9"/>
  <c r="X196" i="9"/>
  <c r="V191" i="9"/>
  <c r="V183" i="9"/>
  <c r="X180" i="9"/>
  <c r="V175" i="9"/>
  <c r="V167" i="9"/>
  <c r="X164" i="9"/>
  <c r="V159" i="9"/>
  <c r="V151" i="9"/>
  <c r="X148" i="9"/>
  <c r="V143" i="9"/>
  <c r="V135" i="9"/>
  <c r="X132" i="9"/>
  <c r="V127" i="9"/>
  <c r="V119" i="9"/>
  <c r="X116" i="9"/>
  <c r="V111" i="9"/>
  <c r="V103" i="9"/>
  <c r="X100" i="9"/>
  <c r="V95" i="9"/>
  <c r="V87" i="9"/>
  <c r="X84" i="9"/>
  <c r="V79" i="9"/>
  <c r="V71" i="9"/>
  <c r="X68" i="9"/>
  <c r="V63" i="9"/>
  <c r="V55" i="9"/>
  <c r="X52" i="9"/>
  <c r="V47" i="9"/>
  <c r="V39" i="9"/>
  <c r="X36" i="9"/>
  <c r="V31" i="9"/>
  <c r="V23" i="9"/>
  <c r="X20" i="9"/>
  <c r="V15" i="9"/>
  <c r="V7" i="9"/>
  <c r="K315" i="9"/>
  <c r="K283" i="9"/>
  <c r="K300" i="9"/>
  <c r="K292" i="9"/>
  <c r="K284" i="9"/>
  <c r="K276" i="9"/>
  <c r="K252" i="9"/>
  <c r="K244" i="9"/>
  <c r="K220" i="9"/>
  <c r="K316" i="9"/>
  <c r="K308" i="9"/>
  <c r="K268" i="9"/>
  <c r="K260" i="9"/>
  <c r="K236" i="9"/>
  <c r="K228" i="9"/>
  <c r="K212" i="9"/>
  <c r="K204" i="9"/>
  <c r="K196" i="9"/>
  <c r="K188" i="9"/>
  <c r="K180" i="9"/>
  <c r="K172" i="9"/>
  <c r="K164" i="9"/>
  <c r="K156" i="9"/>
  <c r="K148" i="9"/>
  <c r="K140" i="9"/>
  <c r="K132" i="9"/>
  <c r="K124" i="9"/>
  <c r="K116" i="9"/>
  <c r="K108" i="9"/>
  <c r="K100" i="9"/>
  <c r="W316" i="9"/>
  <c r="W308" i="9"/>
  <c r="W300" i="9"/>
  <c r="W292" i="9"/>
  <c r="W284" i="9"/>
  <c r="W276" i="9"/>
  <c r="W268" i="9"/>
  <c r="W260" i="9"/>
  <c r="W252" i="9"/>
  <c r="W244" i="9"/>
  <c r="W236" i="9"/>
  <c r="W228" i="9"/>
  <c r="W220" i="9"/>
  <c r="W212" i="9"/>
  <c r="W204" i="9"/>
  <c r="W196" i="9"/>
  <c r="W188" i="9"/>
  <c r="W180" i="9"/>
  <c r="W172" i="9"/>
  <c r="W164" i="9"/>
  <c r="W156" i="9"/>
  <c r="W148" i="9"/>
  <c r="W140" i="9"/>
  <c r="W132" i="9"/>
  <c r="W124" i="9"/>
  <c r="W116" i="9"/>
  <c r="W108" i="9"/>
  <c r="W100" i="9"/>
  <c r="W92" i="9"/>
  <c r="K307" i="9"/>
  <c r="K299" i="9"/>
  <c r="K291" i="9"/>
  <c r="K275" i="9"/>
  <c r="K267" i="9"/>
  <c r="K259" i="9"/>
  <c r="K243" i="9"/>
  <c r="K235" i="9"/>
  <c r="K227" i="9"/>
  <c r="K211" i="9"/>
  <c r="K195" i="9"/>
  <c r="K187" i="9"/>
  <c r="K179" i="9"/>
  <c r="K163" i="9"/>
  <c r="K155" i="9"/>
  <c r="K147" i="9"/>
  <c r="K131" i="9"/>
  <c r="K123" i="9"/>
  <c r="K115" i="9"/>
  <c r="K107" i="9"/>
  <c r="K99" i="9"/>
  <c r="K91" i="9"/>
  <c r="K83" i="9"/>
  <c r="K67" i="9"/>
  <c r="K51" i="9"/>
  <c r="K43" i="9"/>
  <c r="K35" i="9"/>
  <c r="K19" i="9"/>
  <c r="K11" i="9"/>
  <c r="W315" i="9"/>
  <c r="W299" i="9"/>
  <c r="W283" i="9"/>
  <c r="W267" i="9"/>
  <c r="W251" i="9"/>
  <c r="W235" i="9"/>
  <c r="W219" i="9"/>
  <c r="W203" i="9"/>
  <c r="W187" i="9"/>
  <c r="W171" i="9"/>
  <c r="W155" i="9"/>
  <c r="W139" i="9"/>
  <c r="W123" i="9"/>
  <c r="W107" i="9"/>
  <c r="W99" i="9"/>
  <c r="W91" i="9"/>
  <c r="W83" i="9"/>
  <c r="W75" i="9"/>
  <c r="W67" i="9"/>
  <c r="W59" i="9"/>
  <c r="W51" i="9"/>
  <c r="W43" i="9"/>
  <c r="W35" i="9"/>
  <c r="W27" i="9"/>
  <c r="W19" i="9"/>
  <c r="W11" i="9"/>
  <c r="J315" i="9"/>
  <c r="L312" i="9"/>
  <c r="J307" i="9"/>
  <c r="J299" i="9"/>
  <c r="L296" i="9"/>
  <c r="J291" i="9"/>
  <c r="J283" i="9"/>
  <c r="L280" i="9"/>
  <c r="J275" i="9"/>
  <c r="L272" i="9"/>
  <c r="J267" i="9"/>
  <c r="L264" i="9"/>
  <c r="J259" i="9"/>
  <c r="J251" i="9"/>
  <c r="L248" i="9"/>
  <c r="J243" i="9"/>
  <c r="L240" i="9"/>
  <c r="J235" i="9"/>
  <c r="L232" i="9"/>
  <c r="J227" i="9"/>
  <c r="J219" i="9"/>
  <c r="L216" i="9"/>
  <c r="J211" i="9"/>
  <c r="L208" i="9"/>
  <c r="J203" i="9"/>
  <c r="L200" i="9"/>
  <c r="J195" i="9"/>
  <c r="L192" i="9"/>
  <c r="J187" i="9"/>
  <c r="L184" i="9"/>
  <c r="J179" i="9"/>
  <c r="L176" i="9"/>
  <c r="J171" i="9"/>
  <c r="L168" i="9"/>
  <c r="J163" i="9"/>
  <c r="J155" i="9"/>
  <c r="L152" i="9"/>
  <c r="J147" i="9"/>
  <c r="J139" i="9"/>
  <c r="L136" i="9"/>
  <c r="J131" i="9"/>
  <c r="L128" i="9"/>
  <c r="K312" i="9"/>
  <c r="K304" i="9"/>
  <c r="K296" i="9"/>
  <c r="K288" i="9"/>
  <c r="K280" i="9"/>
  <c r="K272" i="9"/>
  <c r="K264" i="9"/>
  <c r="K256" i="9"/>
  <c r="K248" i="9"/>
  <c r="K240" i="9"/>
  <c r="K232" i="9"/>
  <c r="K224" i="9"/>
  <c r="K216" i="9"/>
  <c r="K208" i="9"/>
  <c r="K200" i="9"/>
  <c r="K192" i="9"/>
  <c r="K184" i="9"/>
  <c r="K176" i="9"/>
  <c r="K168" i="9"/>
  <c r="K160" i="9"/>
  <c r="K152" i="9"/>
  <c r="K144" i="9"/>
  <c r="K136" i="9"/>
  <c r="K128" i="9"/>
  <c r="K120" i="9"/>
  <c r="K112" i="9"/>
  <c r="K104" i="9"/>
  <c r="K96" i="9"/>
  <c r="K88" i="9"/>
  <c r="K80" i="9"/>
  <c r="K72" i="9"/>
  <c r="K64" i="9"/>
  <c r="K56" i="9"/>
  <c r="K48" i="9"/>
  <c r="K40" i="9"/>
  <c r="K32" i="9"/>
  <c r="K24" i="9"/>
  <c r="K16" i="9"/>
  <c r="K8" i="9"/>
  <c r="W304" i="9"/>
  <c r="W288" i="9"/>
  <c r="W272" i="9"/>
  <c r="W256" i="9"/>
  <c r="W240" i="9"/>
  <c r="W224" i="9"/>
  <c r="W208" i="9"/>
  <c r="W192" i="9"/>
  <c r="W176" i="9"/>
  <c r="W160" i="9"/>
  <c r="W144" i="9"/>
  <c r="W128" i="9"/>
  <c r="W112" i="9"/>
  <c r="W96" i="9"/>
  <c r="W88" i="9"/>
  <c r="W80" i="9"/>
  <c r="W72" i="9"/>
  <c r="W64" i="9"/>
  <c r="W56" i="9"/>
  <c r="W48" i="9"/>
  <c r="W40" i="9"/>
  <c r="W32" i="9"/>
  <c r="W24" i="9"/>
  <c r="W16" i="9"/>
  <c r="W8" i="9"/>
  <c r="V6" i="9"/>
  <c r="K261" i="9"/>
  <c r="W6" i="9"/>
  <c r="J6" i="9"/>
  <c r="J314" i="9"/>
  <c r="L311" i="9"/>
  <c r="J306" i="9"/>
  <c r="L303" i="9"/>
  <c r="J298" i="9"/>
  <c r="L295" i="9"/>
  <c r="J290" i="9"/>
  <c r="L287" i="9"/>
  <c r="J282" i="9"/>
  <c r="L279" i="9"/>
  <c r="J274" i="9"/>
  <c r="L271" i="9"/>
  <c r="J266" i="9"/>
  <c r="L263" i="9"/>
  <c r="L255" i="9"/>
  <c r="J250" i="9"/>
  <c r="L247" i="9"/>
  <c r="J242" i="9"/>
  <c r="L239" i="9"/>
  <c r="J234" i="9"/>
  <c r="L231" i="9"/>
  <c r="J226" i="9"/>
  <c r="L223" i="9"/>
  <c r="J218" i="9"/>
  <c r="L215" i="9"/>
  <c r="J210" i="9"/>
  <c r="L207" i="9"/>
  <c r="J202" i="9"/>
  <c r="L199" i="9"/>
  <c r="J194" i="9"/>
  <c r="L191" i="9"/>
  <c r="J186" i="9"/>
  <c r="L183" i="9"/>
  <c r="J178" i="9"/>
  <c r="L175" i="9"/>
  <c r="J170" i="9"/>
  <c r="L167" i="9"/>
  <c r="J162" i="9"/>
  <c r="L159" i="9"/>
  <c r="J154" i="9"/>
  <c r="L151" i="9"/>
  <c r="J146" i="9"/>
  <c r="L143" i="9"/>
  <c r="J138" i="9"/>
  <c r="L135" i="9"/>
  <c r="J130" i="9"/>
  <c r="L127" i="9"/>
  <c r="J122" i="9"/>
  <c r="L119" i="9"/>
  <c r="J114" i="9"/>
  <c r="L111" i="9"/>
  <c r="J106" i="9"/>
  <c r="L103" i="9"/>
  <c r="K311" i="9"/>
  <c r="K303" i="9"/>
  <c r="K295" i="9"/>
  <c r="K287" i="9"/>
  <c r="K279" i="9"/>
  <c r="K271" i="9"/>
  <c r="K263" i="9"/>
  <c r="K255" i="9"/>
  <c r="K247" i="9"/>
  <c r="K239" i="9"/>
  <c r="K231" i="9"/>
  <c r="K223" i="9"/>
  <c r="K215" i="9"/>
  <c r="K207" i="9"/>
  <c r="K199" i="9"/>
  <c r="K191" i="9"/>
  <c r="K183" i="9"/>
  <c r="K175" i="9"/>
  <c r="K167" i="9"/>
  <c r="K159" i="9"/>
  <c r="K151" i="9"/>
  <c r="K143" i="9"/>
  <c r="K135" i="9"/>
  <c r="K127" i="9"/>
  <c r="K119" i="9"/>
  <c r="K111" i="9"/>
  <c r="K103" i="9"/>
  <c r="K95" i="9"/>
  <c r="J258" i="9"/>
  <c r="L316" i="9"/>
  <c r="J311" i="9"/>
  <c r="L308" i="9"/>
  <c r="J303" i="9"/>
  <c r="L300" i="9"/>
  <c r="J295" i="9"/>
  <c r="L292" i="9"/>
  <c r="J287" i="9"/>
  <c r="L284" i="9"/>
  <c r="J279" i="9"/>
  <c r="L276" i="9"/>
  <c r="J271" i="9"/>
  <c r="L268" i="9"/>
  <c r="J263" i="9"/>
  <c r="L260" i="9"/>
  <c r="J255" i="9"/>
  <c r="L252" i="9"/>
  <c r="J247" i="9"/>
  <c r="L244" i="9"/>
  <c r="J239" i="9"/>
  <c r="L236" i="9"/>
  <c r="J231" i="9"/>
  <c r="L228" i="9"/>
  <c r="J223" i="9"/>
  <c r="L220" i="9"/>
  <c r="J215" i="9"/>
  <c r="L212" i="9"/>
  <c r="J207" i="9"/>
  <c r="L204" i="9"/>
  <c r="J199" i="9"/>
  <c r="L196" i="9"/>
  <c r="J191" i="9"/>
  <c r="L188" i="9"/>
  <c r="J183" i="9"/>
  <c r="L180" i="9"/>
  <c r="J175" i="9"/>
  <c r="L172" i="9"/>
  <c r="J167" i="9"/>
  <c r="L164" i="9"/>
  <c r="J159" i="9"/>
  <c r="L156" i="9"/>
  <c r="J151" i="9"/>
  <c r="L148" i="9"/>
  <c r="J143" i="9"/>
  <c r="L140" i="9"/>
  <c r="J135" i="9"/>
  <c r="L132" i="9"/>
  <c r="J127" i="9"/>
  <c r="L124" i="9"/>
  <c r="J119" i="9"/>
  <c r="L116" i="9"/>
  <c r="J111" i="9"/>
  <c r="L15" i="9"/>
  <c r="J15" i="9"/>
  <c r="L12" i="9"/>
  <c r="K92" i="9"/>
  <c r="K84" i="9"/>
  <c r="K76" i="9"/>
  <c r="K68" i="9"/>
  <c r="K60" i="9"/>
  <c r="K52" i="9"/>
  <c r="K44" i="9"/>
  <c r="K36" i="9"/>
  <c r="K28" i="9"/>
  <c r="K20" i="9"/>
  <c r="K12" i="9"/>
  <c r="L89" i="9"/>
  <c r="J84" i="9"/>
  <c r="L81" i="9"/>
  <c r="L73" i="9"/>
  <c r="J68" i="9"/>
  <c r="L65" i="9"/>
  <c r="L57" i="9"/>
  <c r="J52" i="9"/>
  <c r="L49" i="9"/>
  <c r="L41" i="9"/>
  <c r="J36" i="9"/>
  <c r="L33" i="9"/>
  <c r="L25" i="9"/>
  <c r="J20" i="9"/>
  <c r="L17" i="9"/>
  <c r="L9" i="9"/>
  <c r="K105" i="9"/>
  <c r="K89" i="9"/>
  <c r="K73" i="9"/>
  <c r="K57" i="9"/>
  <c r="K41" i="9"/>
  <c r="K25" i="9"/>
  <c r="K9" i="9"/>
  <c r="K117" i="9"/>
  <c r="K109" i="9"/>
  <c r="K101" i="9"/>
  <c r="K93" i="9"/>
  <c r="K85" i="9"/>
  <c r="K77" i="9"/>
  <c r="K69" i="9"/>
  <c r="K61" i="9"/>
  <c r="K53" i="9"/>
  <c r="K45" i="9"/>
  <c r="K37" i="9"/>
  <c r="K29" i="9"/>
  <c r="K21" i="9"/>
  <c r="K13" i="9"/>
  <c r="X6" i="9"/>
  <c r="L6" i="9"/>
  <c r="I7" i="9"/>
  <c r="A8" i="9"/>
  <c r="A9" i="9" l="1"/>
  <c r="U8" i="9"/>
  <c r="I8" i="9"/>
  <c r="I9" i="9" l="1"/>
  <c r="A10" i="9"/>
  <c r="U9" i="9"/>
  <c r="I10" i="9" l="1"/>
  <c r="A11" i="9"/>
  <c r="U10" i="9"/>
  <c r="U11" i="9" l="1"/>
  <c r="I11" i="9"/>
  <c r="A12" i="9"/>
  <c r="U12" i="9" l="1"/>
  <c r="A13" i="9"/>
  <c r="I12" i="9"/>
  <c r="A14" i="9" l="1"/>
  <c r="U13" i="9"/>
  <c r="I13" i="9"/>
  <c r="A15" i="9" l="1"/>
  <c r="I14" i="9"/>
  <c r="U14" i="9"/>
  <c r="I15" i="9" l="1"/>
  <c r="A16" i="9"/>
  <c r="U15" i="9"/>
  <c r="I16" i="9" l="1"/>
  <c r="U16" i="9"/>
  <c r="A17" i="9"/>
  <c r="U17" i="9" l="1"/>
  <c r="I17" i="9"/>
  <c r="A18" i="9"/>
  <c r="U18" i="9" l="1"/>
  <c r="I18" i="9"/>
  <c r="A19" i="9"/>
  <c r="A20" i="9" l="1"/>
  <c r="U19" i="9"/>
  <c r="I19" i="9"/>
  <c r="I20" i="9" l="1"/>
  <c r="A21" i="9"/>
  <c r="U20" i="9"/>
  <c r="I21" i="9" l="1"/>
  <c r="A22" i="9"/>
  <c r="U21" i="9"/>
  <c r="U22" i="9" l="1"/>
  <c r="I22" i="9"/>
  <c r="A23" i="9"/>
  <c r="U23" i="9" l="1"/>
  <c r="A24" i="9"/>
  <c r="I23" i="9"/>
  <c r="A25" i="9" l="1"/>
  <c r="U24" i="9"/>
  <c r="I24" i="9"/>
  <c r="I25" i="9" l="1"/>
  <c r="A26" i="9"/>
  <c r="U25" i="9"/>
  <c r="I26" i="9" l="1"/>
  <c r="A27" i="9"/>
  <c r="U26" i="9"/>
  <c r="U27" i="9" l="1"/>
  <c r="I27" i="9"/>
  <c r="A28" i="9"/>
  <c r="U28" i="9" l="1"/>
  <c r="A29" i="9"/>
  <c r="I28" i="9"/>
  <c r="A30" i="9" l="1"/>
  <c r="U29" i="9"/>
  <c r="I29" i="9"/>
  <c r="I30" i="9" l="1"/>
  <c r="A31" i="9"/>
  <c r="U30" i="9"/>
  <c r="I31" i="9" l="1"/>
  <c r="A32" i="9"/>
  <c r="U31" i="9"/>
  <c r="U32" i="9" l="1"/>
  <c r="I32" i="9"/>
  <c r="A33" i="9"/>
  <c r="U33" i="9" l="1"/>
  <c r="A34" i="9"/>
  <c r="I33" i="9"/>
  <c r="I34" i="9" l="1"/>
  <c r="A35" i="9"/>
  <c r="U34" i="9"/>
  <c r="A36" i="9" l="1"/>
  <c r="I35" i="9"/>
  <c r="U35" i="9"/>
  <c r="U36" i="9" l="1"/>
  <c r="A37" i="9"/>
  <c r="I36" i="9"/>
  <c r="A38" i="9" l="1"/>
  <c r="U37" i="9"/>
  <c r="I37" i="9"/>
  <c r="A39" i="9" l="1"/>
  <c r="I38" i="9"/>
  <c r="U38" i="9"/>
  <c r="I39" i="9" l="1"/>
  <c r="A40" i="9"/>
  <c r="U39" i="9"/>
  <c r="U40" i="9" l="1"/>
  <c r="I40" i="9"/>
  <c r="A41" i="9"/>
  <c r="I41" i="9" l="1"/>
  <c r="U41" i="9"/>
  <c r="A42" i="9"/>
  <c r="A43" i="9" l="1"/>
  <c r="I42" i="9"/>
  <c r="U42" i="9"/>
  <c r="U43" i="9" l="1"/>
  <c r="I43" i="9"/>
  <c r="A44" i="9"/>
  <c r="U44" i="9" l="1"/>
  <c r="I44" i="9"/>
  <c r="A45" i="9"/>
  <c r="A46" i="9" l="1"/>
  <c r="U45" i="9"/>
  <c r="I45" i="9"/>
  <c r="A47" i="9" l="1"/>
  <c r="U46" i="9"/>
  <c r="I46" i="9"/>
  <c r="I47" i="9" l="1"/>
  <c r="A48" i="9"/>
  <c r="U47" i="9"/>
  <c r="U48" i="9" l="1"/>
  <c r="I48" i="9"/>
  <c r="A49" i="9"/>
  <c r="U49" i="9" l="1"/>
  <c r="A50" i="9"/>
  <c r="I49" i="9"/>
  <c r="A51" i="9" l="1"/>
  <c r="U50" i="9"/>
  <c r="I50" i="9"/>
  <c r="A52" i="9" l="1"/>
  <c r="I51" i="9"/>
  <c r="U51" i="9"/>
  <c r="U52" i="9" l="1"/>
  <c r="I52" i="9"/>
  <c r="A53" i="9"/>
  <c r="U53" i="9" l="1"/>
  <c r="A54" i="9"/>
  <c r="I53" i="9"/>
  <c r="A55" i="9" l="1"/>
  <c r="U54" i="9"/>
  <c r="I54" i="9"/>
  <c r="I55" i="9" l="1"/>
  <c r="A56" i="9"/>
  <c r="U55" i="9"/>
  <c r="I56" i="9" l="1"/>
  <c r="U56" i="9"/>
  <c r="A57" i="9"/>
  <c r="I57" i="9" l="1"/>
  <c r="U57" i="9"/>
  <c r="A58" i="9"/>
  <c r="U58" i="9" l="1"/>
  <c r="A59" i="9"/>
  <c r="I58" i="9"/>
  <c r="U59" i="9" l="1"/>
  <c r="I59" i="9"/>
  <c r="A60" i="9"/>
  <c r="A61" i="9" l="1"/>
  <c r="U60" i="9"/>
  <c r="I60" i="9"/>
  <c r="A62" i="9" l="1"/>
  <c r="U61" i="9"/>
  <c r="I61" i="9"/>
  <c r="I62" i="9" l="1"/>
  <c r="A63" i="9"/>
  <c r="U62" i="9"/>
  <c r="I63" i="9" l="1"/>
  <c r="U63" i="9"/>
  <c r="A64" i="9"/>
  <c r="U64" i="9" l="1"/>
  <c r="A65" i="9"/>
  <c r="I64" i="9"/>
  <c r="U65" i="9" l="1"/>
  <c r="I65" i="9"/>
  <c r="A66" i="9"/>
  <c r="A67" i="9" l="1"/>
  <c r="U66" i="9"/>
  <c r="I66" i="9"/>
  <c r="A68" i="9" l="1"/>
  <c r="U67" i="9"/>
  <c r="I67" i="9"/>
  <c r="I68" i="9" l="1"/>
  <c r="A69" i="9"/>
  <c r="U68" i="9"/>
  <c r="I69" i="9" l="1"/>
  <c r="A70" i="9"/>
  <c r="U69" i="9"/>
  <c r="U70" i="9" l="1"/>
  <c r="I70" i="9"/>
  <c r="A71" i="9"/>
  <c r="A72" i="9" l="1"/>
  <c r="U71" i="9"/>
  <c r="I71" i="9"/>
  <c r="I72" i="9" l="1"/>
  <c r="A73" i="9"/>
  <c r="U72" i="9"/>
  <c r="I73" i="9" l="1"/>
  <c r="U73" i="9"/>
  <c r="A74" i="9"/>
  <c r="U74" i="9" l="1"/>
  <c r="A75" i="9"/>
  <c r="I74" i="9"/>
  <c r="U75" i="9" l="1"/>
  <c r="A76" i="9"/>
  <c r="I75" i="9"/>
  <c r="A77" i="9" l="1"/>
  <c r="I76" i="9"/>
  <c r="U76" i="9"/>
  <c r="A78" i="9" l="1"/>
  <c r="U77" i="9"/>
  <c r="I77" i="9"/>
  <c r="I78" i="9" l="1"/>
  <c r="A79" i="9"/>
  <c r="U78" i="9"/>
  <c r="I79" i="9" l="1"/>
  <c r="A80" i="9"/>
  <c r="U79" i="9"/>
  <c r="U80" i="9" l="1"/>
  <c r="I80" i="9"/>
  <c r="A81" i="9"/>
  <c r="U81" i="9" l="1"/>
  <c r="A82" i="9"/>
  <c r="I81" i="9"/>
  <c r="A83" i="9" l="1"/>
  <c r="I82" i="9"/>
  <c r="U82" i="9"/>
  <c r="A84" i="9" l="1"/>
  <c r="U83" i="9"/>
  <c r="I83" i="9"/>
  <c r="A85" i="9" l="1"/>
  <c r="U84" i="9"/>
  <c r="I84" i="9"/>
  <c r="A86" i="9" l="1"/>
  <c r="I85" i="9"/>
  <c r="U85" i="9"/>
  <c r="I86" i="9" l="1"/>
  <c r="A87" i="9"/>
  <c r="U86" i="9"/>
  <c r="U87" i="9" l="1"/>
  <c r="I87" i="9"/>
  <c r="A88" i="9"/>
  <c r="I88" i="9" l="1"/>
  <c r="A89" i="9"/>
  <c r="U88" i="9"/>
  <c r="I89" i="9" l="1"/>
  <c r="A90" i="9"/>
  <c r="U89" i="9"/>
  <c r="U90" i="9" l="1"/>
  <c r="I90" i="9"/>
  <c r="A91" i="9"/>
  <c r="U91" i="9" l="1"/>
  <c r="A92" i="9"/>
  <c r="I91" i="9"/>
  <c r="A93" i="9" l="1"/>
  <c r="I92" i="9"/>
  <c r="U92" i="9"/>
  <c r="A94" i="9" l="1"/>
  <c r="U93" i="9"/>
  <c r="I93" i="9"/>
  <c r="I94" i="9" l="1"/>
  <c r="U94" i="9"/>
  <c r="A95" i="9"/>
  <c r="I95" i="9" l="1"/>
  <c r="A96" i="9"/>
  <c r="U95" i="9"/>
  <c r="U96" i="9" l="1"/>
  <c r="I96" i="9"/>
  <c r="A97" i="9"/>
  <c r="U97" i="9" l="1"/>
  <c r="A98" i="9"/>
  <c r="I97" i="9"/>
  <c r="I98" i="9" l="1"/>
  <c r="A99" i="9"/>
  <c r="U98" i="9"/>
  <c r="A100" i="9" l="1"/>
  <c r="U99" i="9"/>
  <c r="I99" i="9"/>
  <c r="U100" i="9" l="1"/>
  <c r="A101" i="9"/>
  <c r="I100" i="9"/>
  <c r="I101" i="9" l="1"/>
  <c r="A102" i="9"/>
  <c r="U101" i="9"/>
  <c r="A103" i="9" l="1"/>
  <c r="U102" i="9"/>
  <c r="I102" i="9"/>
  <c r="U103" i="9" l="1"/>
  <c r="A104" i="9"/>
  <c r="I103" i="9"/>
  <c r="I104" i="9" l="1"/>
  <c r="A105" i="9"/>
  <c r="U104" i="9"/>
  <c r="I105" i="9" l="1"/>
  <c r="A106" i="9"/>
  <c r="U105" i="9"/>
  <c r="U106" i="9" l="1"/>
  <c r="I106" i="9"/>
  <c r="A107" i="9"/>
  <c r="U107" i="9" l="1"/>
  <c r="I107" i="9"/>
  <c r="A108" i="9"/>
  <c r="A109" i="9" l="1"/>
  <c r="U108" i="9"/>
  <c r="I108" i="9"/>
  <c r="A110" i="9" l="1"/>
  <c r="U109" i="9"/>
  <c r="I109" i="9"/>
  <c r="I110" i="9" l="1"/>
  <c r="A111" i="9"/>
  <c r="U110" i="9"/>
  <c r="I111" i="9" l="1"/>
  <c r="A112" i="9"/>
  <c r="U111" i="9"/>
  <c r="U112" i="9" l="1"/>
  <c r="A113" i="9"/>
  <c r="I112" i="9"/>
  <c r="U113" i="9" l="1"/>
  <c r="I113" i="9"/>
  <c r="A114" i="9"/>
  <c r="I114" i="9" l="1"/>
  <c r="A115" i="9"/>
  <c r="U114" i="9"/>
  <c r="A116" i="9" l="1"/>
  <c r="U115" i="9"/>
  <c r="I115" i="9"/>
  <c r="U116" i="9" l="1"/>
  <c r="I116" i="9"/>
  <c r="A117" i="9"/>
  <c r="I117" i="9" l="1"/>
  <c r="A118" i="9"/>
  <c r="U117" i="9"/>
  <c r="A119" i="9" l="1"/>
  <c r="U118" i="9"/>
  <c r="I118" i="9"/>
  <c r="U119" i="9" l="1"/>
  <c r="A120" i="9"/>
  <c r="I119" i="9"/>
  <c r="I120" i="9" l="1"/>
  <c r="A121" i="9"/>
  <c r="U120" i="9"/>
  <c r="I121" i="9" l="1"/>
  <c r="A122" i="9"/>
  <c r="U121" i="9"/>
  <c r="U122" i="9" l="1"/>
  <c r="I122" i="9"/>
  <c r="A123" i="9"/>
  <c r="A124" i="9" l="1"/>
  <c r="U123" i="9"/>
  <c r="I123" i="9"/>
  <c r="U124" i="9" l="1"/>
  <c r="A125" i="9"/>
  <c r="I124" i="9"/>
  <c r="I125" i="9" l="1"/>
  <c r="A126" i="9"/>
  <c r="U125" i="9"/>
  <c r="I126" i="9" l="1"/>
  <c r="A127" i="9"/>
  <c r="U126" i="9"/>
  <c r="I127" i="9" l="1"/>
  <c r="A128" i="9"/>
  <c r="U127" i="9"/>
  <c r="U128" i="9" l="1"/>
  <c r="I128" i="9"/>
  <c r="A129" i="9"/>
  <c r="I129" i="9" l="1"/>
  <c r="U129" i="9"/>
  <c r="A130" i="9"/>
  <c r="I130" i="9" l="1"/>
  <c r="A131" i="9"/>
  <c r="U130" i="9"/>
  <c r="U131" i="9" l="1"/>
  <c r="A132" i="9"/>
  <c r="I131" i="9"/>
  <c r="U132" i="9" l="1"/>
  <c r="A133" i="9"/>
  <c r="I132" i="9"/>
  <c r="A134" i="9" l="1"/>
  <c r="I133" i="9"/>
  <c r="U133" i="9"/>
  <c r="A135" i="9" l="1"/>
  <c r="I134" i="9"/>
  <c r="U134" i="9"/>
  <c r="U135" i="9" l="1"/>
  <c r="I135" i="9"/>
  <c r="A136" i="9"/>
  <c r="I136" i="9" l="1"/>
  <c r="U136" i="9"/>
  <c r="A137" i="9"/>
  <c r="A138" i="9" l="1"/>
  <c r="U137" i="9"/>
  <c r="I137" i="9"/>
  <c r="U138" i="9" l="1"/>
  <c r="A139" i="9"/>
  <c r="I138" i="9"/>
  <c r="A140" i="9" l="1"/>
  <c r="I139" i="9"/>
  <c r="U139" i="9"/>
  <c r="A141" i="9" l="1"/>
  <c r="U140" i="9"/>
  <c r="I140" i="9"/>
  <c r="I141" i="9" l="1"/>
  <c r="A142" i="9"/>
  <c r="U141" i="9"/>
  <c r="U142" i="9" l="1"/>
  <c r="A143" i="9"/>
  <c r="I142" i="9"/>
  <c r="U143" i="9" l="1"/>
  <c r="I143" i="9"/>
  <c r="A144" i="9"/>
  <c r="A145" i="9" l="1"/>
  <c r="I144" i="9"/>
  <c r="U144" i="9"/>
  <c r="I145" i="9" l="1"/>
  <c r="A146" i="9"/>
  <c r="U145" i="9"/>
  <c r="I146" i="9" l="1"/>
  <c r="A147" i="9"/>
  <c r="U146" i="9"/>
  <c r="U147" i="9" l="1"/>
  <c r="A148" i="9"/>
  <c r="I147" i="9"/>
  <c r="U148" i="9" l="1"/>
  <c r="I148" i="9"/>
  <c r="A149" i="9"/>
  <c r="I149" i="9" l="1"/>
  <c r="A150" i="9"/>
  <c r="U149" i="9"/>
  <c r="I150" i="9" l="1"/>
  <c r="A151" i="9"/>
  <c r="U150" i="9"/>
  <c r="U151" i="9" l="1"/>
  <c r="I151" i="9"/>
  <c r="A152" i="9"/>
  <c r="U152" i="9" l="1"/>
  <c r="I152" i="9"/>
  <c r="A153" i="9"/>
  <c r="A154" i="9" l="1"/>
  <c r="U153" i="9"/>
  <c r="I153" i="9"/>
  <c r="A155" i="9" l="1"/>
  <c r="U154" i="9"/>
  <c r="I154" i="9"/>
  <c r="A156" i="9" l="1"/>
  <c r="U155" i="9"/>
  <c r="I155" i="9"/>
  <c r="I156" i="9" l="1"/>
  <c r="A157" i="9"/>
  <c r="U156" i="9"/>
  <c r="I157" i="9" l="1"/>
  <c r="A158" i="9"/>
  <c r="U157" i="9"/>
  <c r="U158" i="9" l="1"/>
  <c r="I158" i="9"/>
  <c r="A159" i="9"/>
  <c r="U159" i="9" l="1"/>
  <c r="I159" i="9"/>
  <c r="A160" i="9"/>
  <c r="A161" i="9" l="1"/>
  <c r="I160" i="9"/>
  <c r="U160" i="9"/>
  <c r="I161" i="9" l="1"/>
  <c r="A162" i="9"/>
  <c r="U161" i="9"/>
  <c r="I162" i="9" l="1"/>
  <c r="A163" i="9"/>
  <c r="U162" i="9"/>
  <c r="U163" i="9" l="1"/>
  <c r="A164" i="9"/>
  <c r="I163" i="9"/>
  <c r="U164" i="9" l="1"/>
  <c r="I164" i="9"/>
  <c r="A165" i="9"/>
  <c r="I165" i="9" l="1"/>
  <c r="A166" i="9"/>
  <c r="U165" i="9"/>
  <c r="I166" i="9" l="1"/>
  <c r="A167" i="9"/>
  <c r="U166" i="9"/>
  <c r="U167" i="9" l="1"/>
  <c r="I167" i="9"/>
  <c r="A168" i="9"/>
  <c r="U168" i="9" l="1"/>
  <c r="I168" i="9"/>
  <c r="A169" i="9"/>
  <c r="A170" i="9" l="1"/>
  <c r="U169" i="9"/>
  <c r="I169" i="9"/>
  <c r="A171" i="9" l="1"/>
  <c r="U170" i="9"/>
  <c r="I170" i="9"/>
  <c r="A172" i="9" l="1"/>
  <c r="U171" i="9"/>
  <c r="I171" i="9"/>
  <c r="I172" i="9" l="1"/>
  <c r="A173" i="9"/>
  <c r="U172" i="9"/>
  <c r="I173" i="9" l="1"/>
  <c r="A174" i="9"/>
  <c r="U173" i="9"/>
  <c r="U174" i="9" l="1"/>
  <c r="A175" i="9"/>
  <c r="I174" i="9"/>
  <c r="U175" i="9" l="1"/>
  <c r="A176" i="9"/>
  <c r="I175" i="9"/>
  <c r="A177" i="9" l="1"/>
  <c r="I176" i="9"/>
  <c r="U176" i="9"/>
  <c r="I177" i="9" l="1"/>
  <c r="A178" i="9"/>
  <c r="U177" i="9"/>
  <c r="I178" i="9" l="1"/>
  <c r="A179" i="9"/>
  <c r="U178" i="9"/>
  <c r="U179" i="9" l="1"/>
  <c r="I179" i="9"/>
  <c r="A180" i="9"/>
  <c r="U180" i="9" l="1"/>
  <c r="A181" i="9"/>
  <c r="I180" i="9"/>
  <c r="I181" i="9" l="1"/>
  <c r="A182" i="9"/>
  <c r="U181" i="9"/>
  <c r="I182" i="9" l="1"/>
  <c r="A183" i="9"/>
  <c r="U182" i="9"/>
  <c r="U183" i="9" l="1"/>
  <c r="I183" i="9"/>
  <c r="A184" i="9"/>
  <c r="U184" i="9" l="1"/>
  <c r="I184" i="9"/>
  <c r="A185" i="9"/>
  <c r="A186" i="9" l="1"/>
  <c r="U185" i="9"/>
  <c r="I185" i="9"/>
  <c r="A187" i="9" l="1"/>
  <c r="U186" i="9"/>
  <c r="I186" i="9"/>
  <c r="A188" i="9" l="1"/>
  <c r="U187" i="9"/>
  <c r="I187" i="9"/>
  <c r="I188" i="9" l="1"/>
  <c r="A189" i="9"/>
  <c r="U188" i="9"/>
  <c r="I189" i="9" l="1"/>
  <c r="A190" i="9"/>
  <c r="U189" i="9"/>
  <c r="U190" i="9" l="1"/>
  <c r="I190" i="9"/>
  <c r="A191" i="9"/>
  <c r="U191" i="9" l="1"/>
  <c r="I191" i="9"/>
  <c r="A192" i="9"/>
  <c r="A193" i="9" l="1"/>
  <c r="U192" i="9"/>
  <c r="I192" i="9"/>
  <c r="I193" i="9" l="1"/>
  <c r="A194" i="9"/>
  <c r="U193" i="9"/>
  <c r="I194" i="9" l="1"/>
  <c r="A195" i="9"/>
  <c r="U194" i="9"/>
  <c r="U195" i="9" l="1"/>
  <c r="A196" i="9"/>
  <c r="I195" i="9"/>
  <c r="U196" i="9" l="1"/>
  <c r="A197" i="9"/>
  <c r="I196" i="9"/>
  <c r="I197" i="9" l="1"/>
  <c r="A198" i="9"/>
  <c r="U197" i="9"/>
  <c r="I198" i="9" l="1"/>
  <c r="A199" i="9"/>
  <c r="U198" i="9"/>
  <c r="U199" i="9" l="1"/>
  <c r="I199" i="9"/>
  <c r="A200" i="9"/>
  <c r="U200" i="9" l="1"/>
  <c r="I200" i="9"/>
  <c r="A201" i="9"/>
  <c r="A202" i="9" l="1"/>
  <c r="U201" i="9"/>
  <c r="I201" i="9"/>
  <c r="A203" i="9" l="1"/>
  <c r="U202" i="9"/>
  <c r="I202" i="9"/>
  <c r="A204" i="9" l="1"/>
  <c r="I203" i="9"/>
  <c r="U203" i="9"/>
  <c r="I204" i="9" l="1"/>
  <c r="A205" i="9"/>
  <c r="U204" i="9"/>
  <c r="I205" i="9" l="1"/>
  <c r="U205" i="9"/>
  <c r="A206" i="9"/>
  <c r="U206" i="9" l="1"/>
  <c r="I206" i="9"/>
  <c r="A207" i="9"/>
  <c r="U207" i="9" l="1"/>
  <c r="I207" i="9"/>
  <c r="A208" i="9"/>
  <c r="A209" i="9" l="1"/>
  <c r="U208" i="9"/>
  <c r="I208" i="9"/>
  <c r="I209" i="9" l="1"/>
  <c r="A210" i="9"/>
  <c r="U209" i="9"/>
  <c r="I210" i="9" l="1"/>
  <c r="A211" i="9"/>
  <c r="U210" i="9"/>
  <c r="U211" i="9" l="1"/>
  <c r="I211" i="9"/>
  <c r="A212" i="9"/>
  <c r="U212" i="9" l="1"/>
  <c r="I212" i="9"/>
  <c r="A213" i="9"/>
  <c r="I213" i="9" l="1"/>
  <c r="A214" i="9"/>
  <c r="U213" i="9"/>
  <c r="I214" i="9" l="1"/>
  <c r="A215" i="9"/>
  <c r="U214" i="9"/>
  <c r="U215" i="9" l="1"/>
  <c r="I215" i="9"/>
  <c r="A216" i="9"/>
  <c r="U216" i="9" l="1"/>
  <c r="I216" i="9"/>
  <c r="A217" i="9"/>
  <c r="A218" i="9" l="1"/>
  <c r="U217" i="9"/>
  <c r="I217" i="9"/>
  <c r="A219" i="9" l="1"/>
  <c r="U218" i="9"/>
  <c r="I218" i="9"/>
  <c r="A220" i="9" l="1"/>
  <c r="U219" i="9"/>
  <c r="I219" i="9"/>
  <c r="I220" i="9" l="1"/>
  <c r="A221" i="9"/>
  <c r="U220" i="9"/>
  <c r="I221" i="9" l="1"/>
  <c r="U221" i="9"/>
  <c r="A222" i="9"/>
  <c r="U222" i="9" l="1"/>
  <c r="I222" i="9"/>
  <c r="A223" i="9"/>
  <c r="U223" i="9" l="1"/>
  <c r="A224" i="9"/>
  <c r="I223" i="9"/>
  <c r="A225" i="9" l="1"/>
  <c r="U224" i="9"/>
  <c r="I224" i="9"/>
  <c r="I225" i="9" l="1"/>
  <c r="A226" i="9"/>
  <c r="U225" i="9"/>
  <c r="I226" i="9" l="1"/>
  <c r="A227" i="9"/>
  <c r="U226" i="9"/>
  <c r="U227" i="9" l="1"/>
  <c r="I227" i="9"/>
  <c r="A228" i="9"/>
  <c r="U228" i="9" l="1"/>
  <c r="I228" i="9"/>
  <c r="A229" i="9"/>
  <c r="I229" i="9" l="1"/>
  <c r="A230" i="9"/>
  <c r="U229" i="9"/>
  <c r="I230" i="9" l="1"/>
  <c r="A231" i="9"/>
  <c r="U230" i="9"/>
  <c r="U231" i="9" l="1"/>
  <c r="I231" i="9"/>
  <c r="A232" i="9"/>
  <c r="U232" i="9" l="1"/>
  <c r="I232" i="9"/>
  <c r="A233" i="9"/>
  <c r="A234" i="9" l="1"/>
  <c r="U233" i="9"/>
  <c r="I233" i="9"/>
  <c r="A235" i="9" l="1"/>
  <c r="U234" i="9"/>
  <c r="I234" i="9"/>
  <c r="A236" i="9" l="1"/>
  <c r="I235" i="9"/>
  <c r="U235" i="9"/>
  <c r="I236" i="9" l="1"/>
  <c r="A237" i="9"/>
  <c r="U236" i="9"/>
  <c r="I237" i="9" l="1"/>
  <c r="A238" i="9"/>
  <c r="U237" i="9"/>
  <c r="U238" i="9" l="1"/>
  <c r="I238" i="9"/>
  <c r="A239" i="9"/>
  <c r="U239" i="9" l="1"/>
  <c r="I239" i="9"/>
  <c r="A240" i="9"/>
  <c r="A241" i="9" l="1"/>
  <c r="U240" i="9"/>
  <c r="I240" i="9"/>
  <c r="I241" i="9" l="1"/>
  <c r="A242" i="9"/>
  <c r="U241" i="9"/>
  <c r="I242" i="9" l="1"/>
  <c r="A243" i="9"/>
  <c r="U242" i="9"/>
  <c r="U243" i="9" l="1"/>
  <c r="A244" i="9"/>
  <c r="I243" i="9"/>
  <c r="U244" i="9" l="1"/>
  <c r="I244" i="9"/>
  <c r="A245" i="9"/>
  <c r="I245" i="9" l="1"/>
  <c r="A246" i="9"/>
  <c r="U245" i="9"/>
  <c r="I246" i="9" l="1"/>
  <c r="A247" i="9"/>
  <c r="U246" i="9"/>
  <c r="U247" i="9" l="1"/>
  <c r="I247" i="9"/>
  <c r="A248" i="9"/>
  <c r="U248" i="9" l="1"/>
  <c r="I248" i="9"/>
  <c r="A249" i="9"/>
  <c r="A250" i="9" l="1"/>
  <c r="U249" i="9"/>
  <c r="I249" i="9"/>
  <c r="A251" i="9" l="1"/>
  <c r="U250" i="9"/>
  <c r="I250" i="9"/>
  <c r="A252" i="9" l="1"/>
  <c r="I251" i="9"/>
  <c r="U251" i="9"/>
  <c r="I252" i="9" l="1"/>
  <c r="A253" i="9"/>
  <c r="U252" i="9"/>
  <c r="I253" i="9" l="1"/>
  <c r="A254" i="9"/>
  <c r="U253" i="9"/>
  <c r="U254" i="9" l="1"/>
  <c r="I254" i="9"/>
  <c r="A255" i="9"/>
  <c r="U255" i="9" l="1"/>
  <c r="I255" i="9"/>
  <c r="A256" i="9"/>
  <c r="A257" i="9" l="1"/>
  <c r="U256" i="9"/>
  <c r="I256" i="9"/>
  <c r="I257" i="9" l="1"/>
  <c r="A258" i="9"/>
  <c r="U257" i="9"/>
  <c r="I258" i="9" l="1"/>
  <c r="A259" i="9"/>
  <c r="U258" i="9"/>
  <c r="U259" i="9" l="1"/>
  <c r="A260" i="9"/>
  <c r="I259" i="9"/>
  <c r="U260" i="9" l="1"/>
  <c r="A261" i="9"/>
  <c r="I260" i="9"/>
  <c r="I261" i="9" l="1"/>
  <c r="A262" i="9"/>
  <c r="U261" i="9"/>
  <c r="I262" i="9" l="1"/>
  <c r="A263" i="9"/>
  <c r="U262" i="9"/>
  <c r="U263" i="9" l="1"/>
  <c r="I263" i="9"/>
  <c r="A264" i="9"/>
  <c r="U264" i="9" l="1"/>
  <c r="I264" i="9"/>
  <c r="A265" i="9"/>
  <c r="A266" i="9" l="1"/>
  <c r="U265" i="9"/>
  <c r="I265" i="9"/>
  <c r="A267" i="9" l="1"/>
  <c r="U266" i="9"/>
  <c r="I266" i="9"/>
  <c r="A268" i="9" l="1"/>
  <c r="U267" i="9"/>
  <c r="I267" i="9"/>
  <c r="I268" i="9" l="1"/>
  <c r="A269" i="9"/>
  <c r="U268" i="9"/>
  <c r="I269" i="9" l="1"/>
  <c r="U269" i="9"/>
  <c r="A270" i="9"/>
  <c r="U270" i="9" l="1"/>
  <c r="I270" i="9"/>
  <c r="A271" i="9"/>
  <c r="U271" i="9" l="1"/>
  <c r="I271" i="9"/>
  <c r="A272" i="9"/>
  <c r="A273" i="9" l="1"/>
  <c r="U272" i="9"/>
  <c r="I272" i="9"/>
  <c r="I273" i="9" l="1"/>
  <c r="A274" i="9"/>
  <c r="U273" i="9"/>
  <c r="I274" i="9" l="1"/>
  <c r="A275" i="9"/>
  <c r="U274" i="9"/>
  <c r="U275" i="9" l="1"/>
  <c r="A276" i="9"/>
  <c r="I275" i="9"/>
  <c r="U276" i="9" l="1"/>
  <c r="I276" i="9"/>
  <c r="A277" i="9"/>
  <c r="I277" i="9" l="1"/>
  <c r="A278" i="9"/>
  <c r="U277" i="9"/>
  <c r="I278" i="9" l="1"/>
  <c r="A279" i="9"/>
  <c r="U278" i="9"/>
  <c r="U279" i="9" l="1"/>
  <c r="I279" i="9"/>
  <c r="A280" i="9"/>
  <c r="U280" i="9" l="1"/>
  <c r="I280" i="9"/>
  <c r="A281" i="9"/>
  <c r="A282" i="9" l="1"/>
  <c r="U281" i="9"/>
  <c r="I281" i="9"/>
  <c r="A283" i="9" l="1"/>
  <c r="U282" i="9"/>
  <c r="I282" i="9"/>
  <c r="A284" i="9" l="1"/>
  <c r="U283" i="9"/>
  <c r="I283" i="9"/>
  <c r="I284" i="9" l="1"/>
  <c r="A285" i="9"/>
  <c r="U284" i="9"/>
  <c r="I285" i="9" l="1"/>
  <c r="A286" i="9"/>
  <c r="U285" i="9"/>
  <c r="U286" i="9" l="1"/>
  <c r="I286" i="9"/>
  <c r="A287" i="9"/>
  <c r="U287" i="9" l="1"/>
  <c r="I287" i="9"/>
  <c r="A288" i="9"/>
  <c r="A289" i="9" l="1"/>
  <c r="U288" i="9"/>
  <c r="I288" i="9"/>
  <c r="I289" i="9" l="1"/>
  <c r="A290" i="9"/>
  <c r="U289" i="9"/>
  <c r="I290" i="9" l="1"/>
  <c r="A291" i="9"/>
  <c r="U290" i="9"/>
  <c r="U291" i="9" l="1"/>
  <c r="A292" i="9"/>
  <c r="I291" i="9"/>
  <c r="U292" i="9" l="1"/>
  <c r="I292" i="9"/>
  <c r="A293" i="9"/>
  <c r="I293" i="9" l="1"/>
  <c r="A294" i="9"/>
  <c r="U293" i="9"/>
  <c r="I294" i="9" l="1"/>
  <c r="A295" i="9"/>
  <c r="U294" i="9"/>
  <c r="U295" i="9" l="1"/>
  <c r="I295" i="9"/>
  <c r="A296" i="9"/>
  <c r="U296" i="9" l="1"/>
  <c r="I296" i="9"/>
  <c r="A297" i="9"/>
  <c r="A298" i="9" l="1"/>
  <c r="U297" i="9"/>
  <c r="I297" i="9"/>
  <c r="A299" i="9" l="1"/>
  <c r="U298" i="9"/>
  <c r="I298" i="9"/>
  <c r="A300" i="9" l="1"/>
  <c r="I299" i="9"/>
  <c r="U299" i="9"/>
  <c r="I300" i="9" l="1"/>
  <c r="A301" i="9"/>
  <c r="U300" i="9"/>
  <c r="I301" i="9" l="1"/>
  <c r="A302" i="9"/>
  <c r="U301" i="9"/>
  <c r="U302" i="9" l="1"/>
  <c r="I302" i="9"/>
  <c r="A303" i="9"/>
  <c r="U303" i="9" l="1"/>
  <c r="I303" i="9"/>
  <c r="A304" i="9"/>
  <c r="A305" i="9" l="1"/>
  <c r="U304" i="9"/>
  <c r="I304" i="9"/>
  <c r="I305" i="9" l="1"/>
  <c r="A306" i="9"/>
  <c r="U305" i="9"/>
  <c r="I306" i="9" l="1"/>
  <c r="A307" i="9"/>
  <c r="U306" i="9"/>
  <c r="U307" i="9" l="1"/>
  <c r="A308" i="9"/>
  <c r="I307" i="9"/>
  <c r="U308" i="9" l="1"/>
  <c r="I308" i="9"/>
  <c r="A309" i="9"/>
  <c r="I309" i="9" l="1"/>
  <c r="A310" i="9"/>
  <c r="U309" i="9"/>
  <c r="I310" i="9" l="1"/>
  <c r="A311" i="9"/>
  <c r="U310" i="9"/>
  <c r="U311" i="9" l="1"/>
  <c r="I311" i="9"/>
  <c r="A312" i="9"/>
  <c r="U312" i="9" l="1"/>
  <c r="I312" i="9"/>
  <c r="A313" i="9"/>
  <c r="A314" i="9" l="1"/>
  <c r="U313" i="9"/>
  <c r="I313" i="9"/>
  <c r="A315" i="9" l="1"/>
  <c r="U314" i="9"/>
  <c r="I314" i="9"/>
  <c r="A316" i="9" l="1"/>
  <c r="U315" i="9"/>
  <c r="I315" i="9"/>
  <c r="I316" i="9" l="1"/>
  <c r="A317" i="9"/>
  <c r="U316" i="9"/>
  <c r="I317" i="9" l="1"/>
  <c r="A318" i="9"/>
  <c r="U317" i="9"/>
  <c r="U318" i="9" l="1"/>
  <c r="I318" i="9"/>
</calcChain>
</file>

<file path=xl/sharedStrings.xml><?xml version="1.0" encoding="utf-8"?>
<sst xmlns="http://schemas.openxmlformats.org/spreadsheetml/2006/main" count="232" uniqueCount="163">
  <si>
    <t>Date</t>
  </si>
  <si>
    <t>Time</t>
  </si>
  <si>
    <t>MOD_ID</t>
  </si>
  <si>
    <t>CMD_CNT</t>
  </si>
  <si>
    <t>ERROR</t>
  </si>
  <si>
    <t>MTR_ABS_STEPS</t>
  </si>
  <si>
    <t>THRM_STATUS</t>
  </si>
  <si>
    <t>SWIR_OFFSET</t>
  </si>
  <si>
    <t>MWIR_OFFSET</t>
  </si>
  <si>
    <t>SCI_ADC_SAMPLES</t>
  </si>
  <si>
    <t>SCI_ADC_SKIP</t>
  </si>
  <si>
    <t>SWIR_HIGH</t>
  </si>
  <si>
    <t>SWIR_MED</t>
  </si>
  <si>
    <t>SWIR_LOW</t>
  </si>
  <si>
    <t>MWIR_HIGH</t>
  </si>
  <si>
    <t>MWIR_MED</t>
  </si>
  <si>
    <t>MWIR_LOW</t>
  </si>
  <si>
    <t>HT_SINK_TEMP</t>
  </si>
  <si>
    <t>SWIR_TEMP</t>
  </si>
  <si>
    <t>CRC</t>
  </si>
  <si>
    <t>SWIR</t>
  </si>
  <si>
    <t>MWIR</t>
  </si>
  <si>
    <t>Offset</t>
  </si>
  <si>
    <t>Grad</t>
  </si>
  <si>
    <t>Abs Steps</t>
  </si>
  <si>
    <t>Reference</t>
  </si>
  <si>
    <t>SWIR High</t>
  </si>
  <si>
    <t>SWIR Med</t>
  </si>
  <si>
    <t>SWIR Low</t>
  </si>
  <si>
    <t>Spectralon MC</t>
  </si>
  <si>
    <t>MWIR High</t>
  </si>
  <si>
    <t>MWIR Med</t>
  </si>
  <si>
    <t>Reflectance</t>
  </si>
  <si>
    <t>PDS_VERSION_ID                = PDS3</t>
  </si>
  <si>
    <t xml:space="preserve">                                    </t>
  </si>
  <si>
    <t>/* FILE CHARACTERISTICS */</t>
  </si>
  <si>
    <t xml:space="preserve">                          </t>
  </si>
  <si>
    <t>RECORD_TYPE                   = STREAM</t>
  </si>
  <si>
    <t xml:space="preserve"> FILE_RECORDS                  =  2420</t>
  </si>
  <si>
    <t xml:space="preserve"> LABEL_RECORDS                 =  137</t>
  </si>
  <si>
    <t xml:space="preserve"> ^TABLE                        =  138</t>
  </si>
  <si>
    <t xml:space="preserve">                                   </t>
  </si>
  <si>
    <t>/* IDENTIFICATION KEYWORDS */</t>
  </si>
  <si>
    <t xml:space="preserve">                             </t>
  </si>
  <si>
    <t>DATA_SET_ID                   = "MRO-M-CRISM-4-SPECLIB-V1.0"</t>
  </si>
  <si>
    <t>PRODUCT_ID                    = "LAKA04"</t>
  </si>
  <si>
    <t>PRODUCT_NAME                  = "KA-EAC-004"</t>
  </si>
  <si>
    <t>PRODUCT_TYPE                  = "VNIR-MIR"</t>
  </si>
  <si>
    <t>PRODUCT_CREATION_TIME         = 2005-11-11T12:45:51</t>
  </si>
  <si>
    <t>PRODUCT_VERSION_ID            = "1.0"</t>
  </si>
  <si>
    <t>DATA_PROVIDER_NAME            = "JACK MUSTARD"</t>
  </si>
  <si>
    <t>PRODUCER_ID                   = "EACLOUTIS"</t>
  </si>
  <si>
    <t>PRODUCER_FULL_NAME            = "EDWARD A. CLOUTIS"</t>
  </si>
  <si>
    <t>PRODUCER_INSTITUTION_NAME     = "UNIVERSITY OF WINNIPEG"</t>
  </si>
  <si>
    <t xml:space="preserve">                                                        </t>
  </si>
  <si>
    <t>TARGET_NAME                   = "N/A"</t>
  </si>
  <si>
    <t>MRO:SPECIMEN_NAME                 = "KAO104"</t>
  </si>
  <si>
    <t>MRO:SPECIMEN_DESC                 = "POORLY ORDERED KAOLINITE."</t>
  </si>
  <si>
    <t>MRO:SPECIMEN_CLASS_NAME      = "NATURAL</t>
  </si>
  <si>
    <t xml:space="preserve"> SOLID</t>
  </si>
  <si>
    <t xml:space="preserve"> EARTH</t>
  </si>
  <si>
    <t xml:space="preserve"> MINERAL</t>
  </si>
  <si>
    <t xml:space="preserve"> UNCLASSIFIED</t>
  </si>
  <si>
    <t xml:space="preserve"> </t>
  </si>
  <si>
    <t>PHYLLOSILICATE</t>
  </si>
  <si>
    <t xml:space="preserve"> KAOLINITE"</t>
  </si>
  <si>
    <t>MRO:SPECIMEN_MIN_PARTICLE_SIZE = 0.000 &lt;MM&gt;</t>
  </si>
  <si>
    <t>MRO:SPECIMEN_MAX_PARTICLE_SIZE = 0.004 &lt;MM&gt;</t>
  </si>
  <si>
    <t>MRO:SPECIMEN_COLLECT_LOCATION_DESC= "UNK"</t>
  </si>
  <si>
    <t>MRO:SPECIMEN_CURRENT_LOCATION_NAME = "UNIVERSITY OF WINNIPEG"</t>
  </si>
  <si>
    <t>MRO:SPECIMEN_LAST_OWNER_NAME      = "EDWARD A. CLOUTIS"</t>
  </si>
  <si>
    <t xml:space="preserve">                                                   </t>
  </si>
  <si>
    <t xml:space="preserve">                                     </t>
  </si>
  <si>
    <t>GROUP                         = SEGMENT_1_PARAMETERS</t>
  </si>
  <si>
    <t xml:space="preserve">  INSTRUMENT_ID               = "BDVNIR_RELAB"</t>
  </si>
  <si>
    <t>INSTRUMENT_NAME      = "RELAB BIDIRECTIONAL REFLECTANCE SPECTROMETER"</t>
  </si>
  <si>
    <t xml:space="preserve">  INSTRUMENT_HOST_NAME        = "RELAB"</t>
  </si>
  <si>
    <t xml:space="preserve">  EARTH_BASE_INSTITUTION_NAME = "BROWN UNIVERSITY"</t>
  </si>
  <si>
    <t xml:space="preserve">  SAMPLING_PARAMETER_NAME     = "WAVELENGTH"</t>
  </si>
  <si>
    <t>MINIMUM_SAMPLING_PARAMETER    = 0.30000 &lt;MICROMETERS&gt;</t>
  </si>
  <si>
    <t>MAXIMUM_SAMPLING_PARAMETER    = 2.5500 &lt;MICROMETERS&gt;</t>
  </si>
  <si>
    <t xml:space="preserve">  SAMPLING_PARAMETER_INTERVAL = 0.005 &lt;MICROMETERS&gt;</t>
  </si>
  <si>
    <t xml:space="preserve">  SAMPLING_DESC               = "N/A"</t>
  </si>
  <si>
    <t xml:space="preserve">  MRO:MEASUREMENT_MIN_RESOLUTION  = 1 &lt;NM&gt;</t>
  </si>
  <si>
    <t xml:space="preserve">  MRO:MEASUREMENT_MAX_RESOLUTION  = 7 &lt;NM&gt;</t>
  </si>
  <si>
    <t xml:space="preserve">  MRO:MEASUREMENT_GEOMETRY_TYPE   = "BIDIRECTIONAL"</t>
  </si>
  <si>
    <t xml:space="preserve">  INCIDENCE_ANGLE             = 30 &lt;DEG&gt;</t>
  </si>
  <si>
    <t xml:space="preserve">  EMISSION_ANGLE              = 0  &lt;DEG&gt;</t>
  </si>
  <si>
    <t xml:space="preserve">  PHASE_ANGLE                 = 30 &lt;DEG&gt;</t>
  </si>
  <si>
    <t xml:space="preserve">  AZIMUTH                     = 'N/A'</t>
  </si>
  <si>
    <t xml:space="preserve">  MRO:MEASUREMENT_GEOMETRY_DESC   = "N/A"</t>
  </si>
  <si>
    <t xml:space="preserve">  MRO:MEASUREMENT_PRESSURE        = 1.0 &lt;ATM&gt;</t>
  </si>
  <si>
    <t xml:space="preserve">  MRO:MEASUREMENT_TEMPERATURE     = 295 &lt;K&gt;</t>
  </si>
  <si>
    <t xml:space="preserve">  MRO:MEASUREMENT_MASS            = 'N/A'</t>
  </si>
  <si>
    <t xml:space="preserve">  MEASUREMENT_STANDARD_DESC   = "HALON"</t>
  </si>
  <si>
    <t xml:space="preserve">  MRO:MEASUREMENT_ATM_COMPOSITION = "AMBIENT"</t>
  </si>
  <si>
    <t xml:space="preserve">  MEASUREMENT_ATMOSPHERE_DESC = "AMBIENT"</t>
  </si>
  <si>
    <t xml:space="preserve">  START_TIME                    = 2000-06-15T00:00:00</t>
  </si>
  <si>
    <t xml:space="preserve">  STOP_TIME                   = 'N/A'</t>
  </si>
  <si>
    <t>NOTE      = "RATIOS ADJUSTED USING NBS HALON CALIBRATION TABLE"</t>
  </si>
  <si>
    <t>END_GROUP                     = SEGMENT_1_PARAMETERS</t>
  </si>
  <si>
    <t xml:space="preserve">                                                     </t>
  </si>
  <si>
    <t>GROUP                         = SEGMENT_2_PARAMETERS</t>
  </si>
  <si>
    <t xml:space="preserve">  INSTRUMENT_ID                 = "NIC740_RELAB"</t>
  </si>
  <si>
    <t>INSTRUMENT_NAME      = "RELAB NICOLET 740 FTIR SPECTROMETER"</t>
  </si>
  <si>
    <t>INSTRUMENT_HOST_NAME          = "RELAB"</t>
  </si>
  <si>
    <t xml:space="preserve">  SAMPLING_PARAMETER_NAME       = "WAVELENGTH"</t>
  </si>
  <si>
    <t xml:space="preserve">  MINIMUM_SAMPLING_PARAMETER    =     2.552500 &lt;MICROMETERS&gt;</t>
  </si>
  <si>
    <t>MAXIMUM_SAMPLING_PARAMETER    = 25.92068 &lt;MICROMETERS&gt;</t>
  </si>
  <si>
    <t xml:space="preserve">  SAMPLING_PARAMETER_INTERVAL   = 4 &lt;CM**-1&gt;</t>
  </si>
  <si>
    <t xml:space="preserve">SAMPLING_DESC      = "THE EXACT WAVELENGTHS CONTAINED WITHIN THE ORIGINAL </t>
  </si>
  <si>
    <t>INDIVIDUAL SPECTRAL SEGMENTS</t>
  </si>
  <si>
    <t xml:space="preserve"> AND THE RELATIVE SCALING FACTORS OF EACH </t>
  </si>
  <si>
    <t>SEGMENT</t>
  </si>
  <si>
    <t xml:space="preserve"> USED TO CREATE THE COMBINED SPECTRUM MAY OR MAY NOT BE DOCUMENTED IN </t>
  </si>
  <si>
    <t xml:space="preserve">THE REFERENCES PROVIDED. IN SOME CASES THE INDIVIDUAL SPECTRA USED TO CREATE </t>
  </si>
  <si>
    <t>THE COMBINED SPECTRUM ARE AVAILABLE TO THE USER."</t>
  </si>
  <si>
    <t xml:space="preserve">  MRO:MEASUREMENT_MIN_RESOLUTION    = 4 &lt;CM**-1&gt;</t>
  </si>
  <si>
    <t xml:space="preserve">  MRO:MEASUREMENT_MAX_RESOLUTION    = 4 &lt;CM**-1&gt;</t>
  </si>
  <si>
    <t xml:space="preserve">  MRO:MEASUREMENT_GEOMETRY_TYPE     = "BICONICAL"</t>
  </si>
  <si>
    <t xml:space="preserve">  INCIDENCE_ANGLE             = 'N/A'</t>
  </si>
  <si>
    <t xml:space="preserve">  EMISSION_ANGLE              = 'N/A'</t>
  </si>
  <si>
    <t xml:space="preserve">  PHASE_ANGLE                 = 'N/A'</t>
  </si>
  <si>
    <t xml:space="preserve">  MRO:MEASUREMENT_GEOMETRY_DESC     = "N/A"</t>
  </si>
  <si>
    <t xml:space="preserve">  MRO:MEASUREMENT_PRESSURE          = 1.0 &lt;ATM&gt;</t>
  </si>
  <si>
    <t xml:space="preserve">  MRO:MEASUREMENT_TEMPERATURE       = 295 &lt;K&gt;</t>
  </si>
  <si>
    <t xml:space="preserve">  MRO:MEASUREMENT_MASS              = 'N/A'</t>
  </si>
  <si>
    <t xml:space="preserve">  MEASUREMENT_STANDARD_DESC     = "HALON AND DIFFUSE GOLD"</t>
  </si>
  <si>
    <t xml:space="preserve">  MRO:MEASUREMENT_ATM_COMPOSITION = "N2</t>
  </si>
  <si>
    <t xml:space="preserve"> O2"</t>
  </si>
  <si>
    <t xml:space="preserve">  MEASUREMENT_ATMOSPHERE_DESC   = "12 HOUR PURGE WITH N2 AND O2 SCRUBBED AIR"</t>
  </si>
  <si>
    <t xml:space="preserve">  STOP_TIME                     = 'N/A'</t>
  </si>
  <si>
    <t>END_GROUP                     = SEGMENT_2_PARAMETERS</t>
  </si>
  <si>
    <t>REFERENCE_KEY_ID      = "BISHOPETAL1995"</t>
  </si>
  <si>
    <t xml:space="preserve">                                                </t>
  </si>
  <si>
    <t xml:space="preserve">                                 </t>
  </si>
  <si>
    <t>/* DATA DESCRIPTION */</t>
  </si>
  <si>
    <t xml:space="preserve">                      </t>
  </si>
  <si>
    <t>OBJECT                        = TABLE</t>
  </si>
  <si>
    <t xml:space="preserve">  NAME                        = "KA-EAC-004"</t>
  </si>
  <si>
    <t xml:space="preserve">  INTERCHANGE_FORMAT          = ASCII</t>
  </si>
  <si>
    <t xml:space="preserve">    ROWS                       = 2283</t>
  </si>
  <si>
    <t xml:space="preserve">    ROW_BYTES                  =  39</t>
  </si>
  <si>
    <t xml:space="preserve">  COLUMNS                     = 2</t>
  </si>
  <si>
    <t xml:space="preserve">  OBJECT                      = COLUMN</t>
  </si>
  <si>
    <t xml:space="preserve">    COLUMN_NUMBER             = 1</t>
  </si>
  <si>
    <t xml:space="preserve">    NAME                      = "WAVELENGTH"</t>
  </si>
  <si>
    <t xml:space="preserve">    DESCRIPTION               = "WAVELENGTH (X-AXIS)"</t>
  </si>
  <si>
    <t xml:space="preserve">    DATA_TYPE                 = "ASCII_REAL"</t>
  </si>
  <si>
    <t xml:space="preserve">    UNIT                      = "MICROMETERS"</t>
  </si>
  <si>
    <t xml:space="preserve">    MINIMUM                   = 0.30000</t>
  </si>
  <si>
    <t xml:space="preserve">    MAXIMUM                   = 25.92068</t>
  </si>
  <si>
    <t xml:space="preserve">    START_BYTE                = 1</t>
  </si>
  <si>
    <t xml:space="preserve">    BYTES                     = 18</t>
  </si>
  <si>
    <t xml:space="preserve">  END_OBJECT                  = COLUMN</t>
  </si>
  <si>
    <t xml:space="preserve">                                      </t>
  </si>
  <si>
    <t xml:space="preserve">    COLUMN_NUMBER             = 2</t>
  </si>
  <si>
    <t xml:space="preserve">    NAME                      = "ABSOLUTE REFLECTANCE"</t>
  </si>
  <si>
    <t xml:space="preserve">    DESCRIPTION               = "ABSOLUTE REFLECTANCE (Y-AXIS)"</t>
  </si>
  <si>
    <t xml:space="preserve">    UNIT                      = "DIMENSIONLESS"</t>
  </si>
  <si>
    <t xml:space="preserve">    START_BYTE                = 20</t>
  </si>
  <si>
    <t>END_OBJECT                    = TABLE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</si>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</sst>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Dark!$O$2:$O$289</c:f>
              <c:numCache>
                <c:formatCode>General</c:formatCode>
                <c:ptCount val="288"/>
                <c:pt idx="0">
                  <c:v>3947</c:v>
                </c:pt>
                <c:pt idx="1">
                  <c:v>3950</c:v>
                </c:pt>
                <c:pt idx="2">
                  <c:v>3954</c:v>
                </c:pt>
                <c:pt idx="3">
                  <c:v>3958</c:v>
                </c:pt>
                <c:pt idx="4">
                  <c:v>3961</c:v>
                </c:pt>
                <c:pt idx="5">
                  <c:v>3964</c:v>
                </c:pt>
                <c:pt idx="6">
                  <c:v>3969</c:v>
                </c:pt>
                <c:pt idx="7">
                  <c:v>3971</c:v>
                </c:pt>
                <c:pt idx="8">
                  <c:v>3975</c:v>
                </c:pt>
                <c:pt idx="9">
                  <c:v>3976</c:v>
                </c:pt>
                <c:pt idx="10">
                  <c:v>3979</c:v>
                </c:pt>
                <c:pt idx="11">
                  <c:v>3980</c:v>
                </c:pt>
                <c:pt idx="12">
                  <c:v>3983</c:v>
                </c:pt>
                <c:pt idx="13">
                  <c:v>3985</c:v>
                </c:pt>
                <c:pt idx="14">
                  <c:v>3987</c:v>
                </c:pt>
                <c:pt idx="15">
                  <c:v>3987</c:v>
                </c:pt>
                <c:pt idx="16">
                  <c:v>3988</c:v>
                </c:pt>
                <c:pt idx="17">
                  <c:v>3988</c:v>
                </c:pt>
                <c:pt idx="18">
                  <c:v>3988</c:v>
                </c:pt>
                <c:pt idx="19">
                  <c:v>3988</c:v>
                </c:pt>
                <c:pt idx="20">
                  <c:v>3987</c:v>
                </c:pt>
                <c:pt idx="21">
                  <c:v>3985</c:v>
                </c:pt>
                <c:pt idx="22">
                  <c:v>3980</c:v>
                </c:pt>
                <c:pt idx="23">
                  <c:v>3975</c:v>
                </c:pt>
                <c:pt idx="24">
                  <c:v>3968</c:v>
                </c:pt>
                <c:pt idx="25">
                  <c:v>3960</c:v>
                </c:pt>
                <c:pt idx="26">
                  <c:v>3946</c:v>
                </c:pt>
                <c:pt idx="27">
                  <c:v>3924</c:v>
                </c:pt>
                <c:pt idx="28">
                  <c:v>3848</c:v>
                </c:pt>
                <c:pt idx="29">
                  <c:v>3524</c:v>
                </c:pt>
                <c:pt idx="30">
                  <c:v>3113</c:v>
                </c:pt>
                <c:pt idx="31">
                  <c:v>2763</c:v>
                </c:pt>
                <c:pt idx="32">
                  <c:v>2394</c:v>
                </c:pt>
                <c:pt idx="33">
                  <c:v>2099</c:v>
                </c:pt>
                <c:pt idx="34">
                  <c:v>1752</c:v>
                </c:pt>
                <c:pt idx="35">
                  <c:v>1488</c:v>
                </c:pt>
                <c:pt idx="36">
                  <c:v>1232</c:v>
                </c:pt>
                <c:pt idx="37">
                  <c:v>1013</c:v>
                </c:pt>
                <c:pt idx="38">
                  <c:v>776</c:v>
                </c:pt>
                <c:pt idx="39">
                  <c:v>599</c:v>
                </c:pt>
                <c:pt idx="40">
                  <c:v>463</c:v>
                </c:pt>
                <c:pt idx="41">
                  <c:v>395</c:v>
                </c:pt>
                <c:pt idx="42">
                  <c:v>362</c:v>
                </c:pt>
                <c:pt idx="43">
                  <c:v>337</c:v>
                </c:pt>
                <c:pt idx="44">
                  <c:v>322</c:v>
                </c:pt>
                <c:pt idx="45">
                  <c:v>312</c:v>
                </c:pt>
                <c:pt idx="46">
                  <c:v>305</c:v>
                </c:pt>
                <c:pt idx="47">
                  <c:v>301</c:v>
                </c:pt>
                <c:pt idx="48">
                  <c:v>304</c:v>
                </c:pt>
                <c:pt idx="49">
                  <c:v>305</c:v>
                </c:pt>
                <c:pt idx="50">
                  <c:v>301</c:v>
                </c:pt>
                <c:pt idx="51">
                  <c:v>309</c:v>
                </c:pt>
                <c:pt idx="52">
                  <c:v>311</c:v>
                </c:pt>
                <c:pt idx="53">
                  <c:v>310</c:v>
                </c:pt>
                <c:pt idx="54">
                  <c:v>315</c:v>
                </c:pt>
                <c:pt idx="55">
                  <c:v>321</c:v>
                </c:pt>
                <c:pt idx="56">
                  <c:v>329</c:v>
                </c:pt>
                <c:pt idx="57">
                  <c:v>332</c:v>
                </c:pt>
                <c:pt idx="58">
                  <c:v>339</c:v>
                </c:pt>
                <c:pt idx="59">
                  <c:v>344</c:v>
                </c:pt>
                <c:pt idx="60">
                  <c:v>351</c:v>
                </c:pt>
                <c:pt idx="61">
                  <c:v>360</c:v>
                </c:pt>
                <c:pt idx="62">
                  <c:v>372</c:v>
                </c:pt>
                <c:pt idx="63">
                  <c:v>381</c:v>
                </c:pt>
                <c:pt idx="64">
                  <c:v>390</c:v>
                </c:pt>
                <c:pt idx="65">
                  <c:v>397</c:v>
                </c:pt>
                <c:pt idx="66">
                  <c:v>410</c:v>
                </c:pt>
                <c:pt idx="67">
                  <c:v>419</c:v>
                </c:pt>
                <c:pt idx="68">
                  <c:v>434</c:v>
                </c:pt>
                <c:pt idx="69">
                  <c:v>442</c:v>
                </c:pt>
                <c:pt idx="70">
                  <c:v>454</c:v>
                </c:pt>
                <c:pt idx="71">
                  <c:v>467</c:v>
                </c:pt>
                <c:pt idx="72">
                  <c:v>485</c:v>
                </c:pt>
                <c:pt idx="73">
                  <c:v>502</c:v>
                </c:pt>
                <c:pt idx="74">
                  <c:v>515</c:v>
                </c:pt>
                <c:pt idx="75">
                  <c:v>534</c:v>
                </c:pt>
                <c:pt idx="76">
                  <c:v>556</c:v>
                </c:pt>
                <c:pt idx="77">
                  <c:v>570</c:v>
                </c:pt>
                <c:pt idx="78">
                  <c:v>591</c:v>
                </c:pt>
                <c:pt idx="79">
                  <c:v>609</c:v>
                </c:pt>
                <c:pt idx="80">
                  <c:v>632</c:v>
                </c:pt>
                <c:pt idx="81">
                  <c:v>649</c:v>
                </c:pt>
                <c:pt idx="82">
                  <c:v>675</c:v>
                </c:pt>
                <c:pt idx="83">
                  <c:v>699</c:v>
                </c:pt>
                <c:pt idx="84">
                  <c:v>724</c:v>
                </c:pt>
                <c:pt idx="85">
                  <c:v>756</c:v>
                </c:pt>
                <c:pt idx="86">
                  <c:v>785</c:v>
                </c:pt>
                <c:pt idx="87">
                  <c:v>812</c:v>
                </c:pt>
                <c:pt idx="88">
                  <c:v>842</c:v>
                </c:pt>
                <c:pt idx="89">
                  <c:v>867</c:v>
                </c:pt>
                <c:pt idx="90">
                  <c:v>896</c:v>
                </c:pt>
                <c:pt idx="91">
                  <c:v>918</c:v>
                </c:pt>
                <c:pt idx="92">
                  <c:v>954</c:v>
                </c:pt>
                <c:pt idx="93">
                  <c:v>978</c:v>
                </c:pt>
                <c:pt idx="94">
                  <c:v>1006</c:v>
                </c:pt>
                <c:pt idx="95">
                  <c:v>1031</c:v>
                </c:pt>
                <c:pt idx="96">
                  <c:v>1063</c:v>
                </c:pt>
                <c:pt idx="97">
                  <c:v>1085</c:v>
                </c:pt>
                <c:pt idx="98">
                  <c:v>1107</c:v>
                </c:pt>
                <c:pt idx="99">
                  <c:v>1122</c:v>
                </c:pt>
                <c:pt idx="100">
                  <c:v>1136</c:v>
                </c:pt>
                <c:pt idx="101">
                  <c:v>1152</c:v>
                </c:pt>
                <c:pt idx="102">
                  <c:v>1160</c:v>
                </c:pt>
                <c:pt idx="103">
                  <c:v>1163</c:v>
                </c:pt>
                <c:pt idx="104">
                  <c:v>1171</c:v>
                </c:pt>
                <c:pt idx="105">
                  <c:v>1178</c:v>
                </c:pt>
                <c:pt idx="106">
                  <c:v>1176</c:v>
                </c:pt>
                <c:pt idx="107">
                  <c:v>1176</c:v>
                </c:pt>
                <c:pt idx="108">
                  <c:v>1174</c:v>
                </c:pt>
                <c:pt idx="109">
                  <c:v>1174</c:v>
                </c:pt>
                <c:pt idx="110">
                  <c:v>1170</c:v>
                </c:pt>
                <c:pt idx="111">
                  <c:v>1163</c:v>
                </c:pt>
                <c:pt idx="112">
                  <c:v>1158</c:v>
                </c:pt>
                <c:pt idx="113">
                  <c:v>1152</c:v>
                </c:pt>
                <c:pt idx="114">
                  <c:v>1141</c:v>
                </c:pt>
                <c:pt idx="115">
                  <c:v>1139</c:v>
                </c:pt>
                <c:pt idx="116">
                  <c:v>1134</c:v>
                </c:pt>
                <c:pt idx="117">
                  <c:v>1122</c:v>
                </c:pt>
                <c:pt idx="118">
                  <c:v>1119</c:v>
                </c:pt>
                <c:pt idx="119">
                  <c:v>1113</c:v>
                </c:pt>
                <c:pt idx="120">
                  <c:v>1107</c:v>
                </c:pt>
                <c:pt idx="121">
                  <c:v>1106</c:v>
                </c:pt>
                <c:pt idx="122">
                  <c:v>1105</c:v>
                </c:pt>
                <c:pt idx="123">
                  <c:v>1101</c:v>
                </c:pt>
                <c:pt idx="124">
                  <c:v>1096</c:v>
                </c:pt>
                <c:pt idx="125">
                  <c:v>1098</c:v>
                </c:pt>
                <c:pt idx="126">
                  <c:v>1100</c:v>
                </c:pt>
                <c:pt idx="127">
                  <c:v>1096</c:v>
                </c:pt>
                <c:pt idx="128">
                  <c:v>1099</c:v>
                </c:pt>
                <c:pt idx="129">
                  <c:v>1098</c:v>
                </c:pt>
                <c:pt idx="130">
                  <c:v>1103</c:v>
                </c:pt>
                <c:pt idx="131">
                  <c:v>1105</c:v>
                </c:pt>
                <c:pt idx="132">
                  <c:v>1107</c:v>
                </c:pt>
                <c:pt idx="133">
                  <c:v>1106</c:v>
                </c:pt>
                <c:pt idx="134">
                  <c:v>1110</c:v>
                </c:pt>
                <c:pt idx="135">
                  <c:v>1113</c:v>
                </c:pt>
                <c:pt idx="136">
                  <c:v>1115</c:v>
                </c:pt>
                <c:pt idx="137">
                  <c:v>1117</c:v>
                </c:pt>
                <c:pt idx="138">
                  <c:v>1119</c:v>
                </c:pt>
                <c:pt idx="139">
                  <c:v>1123</c:v>
                </c:pt>
                <c:pt idx="140">
                  <c:v>1125</c:v>
                </c:pt>
                <c:pt idx="141">
                  <c:v>1130</c:v>
                </c:pt>
                <c:pt idx="142">
                  <c:v>1134</c:v>
                </c:pt>
                <c:pt idx="143">
                  <c:v>1139</c:v>
                </c:pt>
                <c:pt idx="144">
                  <c:v>1138</c:v>
                </c:pt>
                <c:pt idx="145">
                  <c:v>1146</c:v>
                </c:pt>
                <c:pt idx="146">
                  <c:v>1145</c:v>
                </c:pt>
                <c:pt idx="147">
                  <c:v>1144</c:v>
                </c:pt>
                <c:pt idx="148">
                  <c:v>1150</c:v>
                </c:pt>
                <c:pt idx="149">
                  <c:v>1149</c:v>
                </c:pt>
                <c:pt idx="150">
                  <c:v>1145</c:v>
                </c:pt>
                <c:pt idx="151">
                  <c:v>1143</c:v>
                </c:pt>
                <c:pt idx="152">
                  <c:v>1140</c:v>
                </c:pt>
                <c:pt idx="153">
                  <c:v>1140</c:v>
                </c:pt>
                <c:pt idx="154">
                  <c:v>1134</c:v>
                </c:pt>
                <c:pt idx="155">
                  <c:v>1136</c:v>
                </c:pt>
                <c:pt idx="156">
                  <c:v>1124</c:v>
                </c:pt>
                <c:pt idx="157">
                  <c:v>1116</c:v>
                </c:pt>
                <c:pt idx="158">
                  <c:v>1107</c:v>
                </c:pt>
                <c:pt idx="159">
                  <c:v>1095</c:v>
                </c:pt>
                <c:pt idx="160">
                  <c:v>1088</c:v>
                </c:pt>
                <c:pt idx="161">
                  <c:v>1074</c:v>
                </c:pt>
                <c:pt idx="162">
                  <c:v>1068</c:v>
                </c:pt>
                <c:pt idx="163">
                  <c:v>1060</c:v>
                </c:pt>
                <c:pt idx="164">
                  <c:v>1051</c:v>
                </c:pt>
                <c:pt idx="165">
                  <c:v>1041</c:v>
                </c:pt>
                <c:pt idx="166">
                  <c:v>1027</c:v>
                </c:pt>
                <c:pt idx="167">
                  <c:v>1020</c:v>
                </c:pt>
                <c:pt idx="168">
                  <c:v>1012</c:v>
                </c:pt>
                <c:pt idx="169">
                  <c:v>1004</c:v>
                </c:pt>
                <c:pt idx="170">
                  <c:v>994</c:v>
                </c:pt>
                <c:pt idx="171">
                  <c:v>987</c:v>
                </c:pt>
                <c:pt idx="172">
                  <c:v>982</c:v>
                </c:pt>
                <c:pt idx="173">
                  <c:v>974</c:v>
                </c:pt>
                <c:pt idx="174">
                  <c:v>970</c:v>
                </c:pt>
                <c:pt idx="175">
                  <c:v>965</c:v>
                </c:pt>
                <c:pt idx="176">
                  <c:v>962</c:v>
                </c:pt>
                <c:pt idx="177">
                  <c:v>958</c:v>
                </c:pt>
                <c:pt idx="178">
                  <c:v>955</c:v>
                </c:pt>
                <c:pt idx="179">
                  <c:v>950</c:v>
                </c:pt>
                <c:pt idx="180">
                  <c:v>944</c:v>
                </c:pt>
                <c:pt idx="181">
                  <c:v>941</c:v>
                </c:pt>
                <c:pt idx="182">
                  <c:v>935</c:v>
                </c:pt>
                <c:pt idx="183">
                  <c:v>929</c:v>
                </c:pt>
                <c:pt idx="184">
                  <c:v>928</c:v>
                </c:pt>
                <c:pt idx="185">
                  <c:v>929</c:v>
                </c:pt>
                <c:pt idx="186">
                  <c:v>924</c:v>
                </c:pt>
                <c:pt idx="187">
                  <c:v>920</c:v>
                </c:pt>
                <c:pt idx="188">
                  <c:v>916</c:v>
                </c:pt>
                <c:pt idx="189">
                  <c:v>907</c:v>
                </c:pt>
                <c:pt idx="190">
                  <c:v>906</c:v>
                </c:pt>
                <c:pt idx="191">
                  <c:v>900</c:v>
                </c:pt>
                <c:pt idx="192">
                  <c:v>895</c:v>
                </c:pt>
                <c:pt idx="193">
                  <c:v>890</c:v>
                </c:pt>
                <c:pt idx="194">
                  <c:v>880</c:v>
                </c:pt>
                <c:pt idx="195">
                  <c:v>877</c:v>
                </c:pt>
                <c:pt idx="196">
                  <c:v>870</c:v>
                </c:pt>
                <c:pt idx="197">
                  <c:v>862</c:v>
                </c:pt>
                <c:pt idx="198">
                  <c:v>853</c:v>
                </c:pt>
                <c:pt idx="199">
                  <c:v>842</c:v>
                </c:pt>
                <c:pt idx="200">
                  <c:v>835</c:v>
                </c:pt>
                <c:pt idx="201">
                  <c:v>821</c:v>
                </c:pt>
                <c:pt idx="202">
                  <c:v>805</c:v>
                </c:pt>
                <c:pt idx="203">
                  <c:v>791</c:v>
                </c:pt>
                <c:pt idx="204">
                  <c:v>776</c:v>
                </c:pt>
                <c:pt idx="205">
                  <c:v>764</c:v>
                </c:pt>
                <c:pt idx="206">
                  <c:v>752</c:v>
                </c:pt>
                <c:pt idx="207">
                  <c:v>732</c:v>
                </c:pt>
                <c:pt idx="208">
                  <c:v>712</c:v>
                </c:pt>
                <c:pt idx="209">
                  <c:v>692</c:v>
                </c:pt>
                <c:pt idx="210">
                  <c:v>668</c:v>
                </c:pt>
                <c:pt idx="211">
                  <c:v>650</c:v>
                </c:pt>
                <c:pt idx="212">
                  <c:v>628</c:v>
                </c:pt>
                <c:pt idx="213">
                  <c:v>611</c:v>
                </c:pt>
                <c:pt idx="214">
                  <c:v>587</c:v>
                </c:pt>
                <c:pt idx="215">
                  <c:v>564</c:v>
                </c:pt>
                <c:pt idx="216">
                  <c:v>552</c:v>
                </c:pt>
                <c:pt idx="217">
                  <c:v>533</c:v>
                </c:pt>
                <c:pt idx="218">
                  <c:v>513</c:v>
                </c:pt>
                <c:pt idx="219">
                  <c:v>496</c:v>
                </c:pt>
                <c:pt idx="220">
                  <c:v>470</c:v>
                </c:pt>
                <c:pt idx="221">
                  <c:v>448</c:v>
                </c:pt>
                <c:pt idx="222">
                  <c:v>431</c:v>
                </c:pt>
                <c:pt idx="223">
                  <c:v>412</c:v>
                </c:pt>
                <c:pt idx="224">
                  <c:v>398</c:v>
                </c:pt>
                <c:pt idx="225">
                  <c:v>384</c:v>
                </c:pt>
                <c:pt idx="226">
                  <c:v>371</c:v>
                </c:pt>
                <c:pt idx="227">
                  <c:v>359</c:v>
                </c:pt>
                <c:pt idx="228">
                  <c:v>346</c:v>
                </c:pt>
                <c:pt idx="229">
                  <c:v>334</c:v>
                </c:pt>
                <c:pt idx="230">
                  <c:v>323</c:v>
                </c:pt>
                <c:pt idx="231">
                  <c:v>312</c:v>
                </c:pt>
                <c:pt idx="232">
                  <c:v>299</c:v>
                </c:pt>
                <c:pt idx="233">
                  <c:v>287</c:v>
                </c:pt>
                <c:pt idx="234">
                  <c:v>278</c:v>
                </c:pt>
                <c:pt idx="235">
                  <c:v>269</c:v>
                </c:pt>
                <c:pt idx="236">
                  <c:v>257</c:v>
                </c:pt>
                <c:pt idx="237">
                  <c:v>248</c:v>
                </c:pt>
                <c:pt idx="238">
                  <c:v>242</c:v>
                </c:pt>
                <c:pt idx="239">
                  <c:v>234</c:v>
                </c:pt>
                <c:pt idx="240">
                  <c:v>222</c:v>
                </c:pt>
                <c:pt idx="241">
                  <c:v>216</c:v>
                </c:pt>
                <c:pt idx="242">
                  <c:v>213</c:v>
                </c:pt>
                <c:pt idx="243">
                  <c:v>210</c:v>
                </c:pt>
                <c:pt idx="244">
                  <c:v>203</c:v>
                </c:pt>
                <c:pt idx="245">
                  <c:v>205</c:v>
                </c:pt>
                <c:pt idx="246">
                  <c:v>202</c:v>
                </c:pt>
                <c:pt idx="247">
                  <c:v>204</c:v>
                </c:pt>
                <c:pt idx="248">
                  <c:v>205</c:v>
                </c:pt>
                <c:pt idx="249">
                  <c:v>200</c:v>
                </c:pt>
                <c:pt idx="250">
                  <c:v>203</c:v>
                </c:pt>
                <c:pt idx="251">
                  <c:v>203</c:v>
                </c:pt>
                <c:pt idx="252">
                  <c:v>204</c:v>
                </c:pt>
                <c:pt idx="253">
                  <c:v>210</c:v>
                </c:pt>
                <c:pt idx="254">
                  <c:v>217</c:v>
                </c:pt>
                <c:pt idx="255">
                  <c:v>225</c:v>
                </c:pt>
                <c:pt idx="256">
                  <c:v>243</c:v>
                </c:pt>
                <c:pt idx="257">
                  <c:v>259</c:v>
                </c:pt>
                <c:pt idx="258">
                  <c:v>285</c:v>
                </c:pt>
                <c:pt idx="259">
                  <c:v>314</c:v>
                </c:pt>
                <c:pt idx="260">
                  <c:v>345</c:v>
                </c:pt>
                <c:pt idx="261">
                  <c:v>381</c:v>
                </c:pt>
                <c:pt idx="262">
                  <c:v>459</c:v>
                </c:pt>
                <c:pt idx="263">
                  <c:v>560</c:v>
                </c:pt>
                <c:pt idx="264">
                  <c:v>749</c:v>
                </c:pt>
                <c:pt idx="265">
                  <c:v>966</c:v>
                </c:pt>
                <c:pt idx="266">
                  <c:v>1260</c:v>
                </c:pt>
                <c:pt idx="267">
                  <c:v>1537</c:v>
                </c:pt>
                <c:pt idx="268">
                  <c:v>1840</c:v>
                </c:pt>
                <c:pt idx="269">
                  <c:v>2119</c:v>
                </c:pt>
                <c:pt idx="270">
                  <c:v>2448</c:v>
                </c:pt>
                <c:pt idx="271">
                  <c:v>2749</c:v>
                </c:pt>
                <c:pt idx="272">
                  <c:v>3110</c:v>
                </c:pt>
                <c:pt idx="273">
                  <c:v>3451</c:v>
                </c:pt>
                <c:pt idx="274">
                  <c:v>3829</c:v>
                </c:pt>
                <c:pt idx="275">
                  <c:v>3915</c:v>
                </c:pt>
                <c:pt idx="276">
                  <c:v>3942</c:v>
                </c:pt>
                <c:pt idx="277">
                  <c:v>3953</c:v>
                </c:pt>
                <c:pt idx="278">
                  <c:v>3955</c:v>
                </c:pt>
                <c:pt idx="279">
                  <c:v>3963</c:v>
                </c:pt>
                <c:pt idx="280">
                  <c:v>3969</c:v>
                </c:pt>
                <c:pt idx="281">
                  <c:v>3975</c:v>
                </c:pt>
                <c:pt idx="282">
                  <c:v>3978</c:v>
                </c:pt>
                <c:pt idx="283">
                  <c:v>3983</c:v>
                </c:pt>
                <c:pt idx="284">
                  <c:v>3985</c:v>
                </c:pt>
                <c:pt idx="285">
                  <c:v>3986</c:v>
                </c:pt>
                <c:pt idx="286">
                  <c:v>3987</c:v>
                </c:pt>
                <c:pt idx="287">
                  <c:v>3987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B0-4581-8A1D-9DD5752E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072832"/>
        <c:axId val="1974072352"/>
      </c:scatterChart>
      <c:valAx>
        <c:axId val="197407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72352"/>
        <c:crosses val="autoZero"/>
        <c:crossBetween val="midCat"/>
      </c:valAx>
      <c:valAx>
        <c:axId val="19740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7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Spectralon_All Gains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SWIR_High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902.33749999999998</c:v>
                </c:pt>
                <c:pt idx="1">
                  <c:v>905.95624999999995</c:v>
                </c:pt>
                <c:pt idx="2">
                  <c:v>909.57500000000005</c:v>
                </c:pt>
                <c:pt idx="3">
                  <c:v>913.19375000000002</c:v>
                </c:pt>
                <c:pt idx="4">
                  <c:v>916.8125</c:v>
                </c:pt>
                <c:pt idx="5">
                  <c:v>920.43124999999998</c:v>
                </c:pt>
                <c:pt idx="6">
                  <c:v>924.05</c:v>
                </c:pt>
                <c:pt idx="7">
                  <c:v>927.66875000000005</c:v>
                </c:pt>
                <c:pt idx="8">
                  <c:v>931.28750000000002</c:v>
                </c:pt>
                <c:pt idx="9">
                  <c:v>934.90625</c:v>
                </c:pt>
                <c:pt idx="10">
                  <c:v>938.52499999999998</c:v>
                </c:pt>
                <c:pt idx="11">
                  <c:v>942.14374999999995</c:v>
                </c:pt>
                <c:pt idx="12">
                  <c:v>945.76250000000005</c:v>
                </c:pt>
                <c:pt idx="13">
                  <c:v>949.38125000000002</c:v>
                </c:pt>
                <c:pt idx="14">
                  <c:v>953</c:v>
                </c:pt>
                <c:pt idx="15">
                  <c:v>956.61874999999998</c:v>
                </c:pt>
                <c:pt idx="16">
                  <c:v>960.23749999999995</c:v>
                </c:pt>
                <c:pt idx="17">
                  <c:v>963.85625000000005</c:v>
                </c:pt>
                <c:pt idx="18">
                  <c:v>967.47500000000002</c:v>
                </c:pt>
                <c:pt idx="19">
                  <c:v>971.09375</c:v>
                </c:pt>
                <c:pt idx="20">
                  <c:v>974.71249999999998</c:v>
                </c:pt>
                <c:pt idx="21">
                  <c:v>978.33124999999995</c:v>
                </c:pt>
                <c:pt idx="22">
                  <c:v>981.95</c:v>
                </c:pt>
                <c:pt idx="23">
                  <c:v>985.56875000000002</c:v>
                </c:pt>
                <c:pt idx="24">
                  <c:v>989.1875</c:v>
                </c:pt>
                <c:pt idx="25">
                  <c:v>992.80624999999998</c:v>
                </c:pt>
                <c:pt idx="26">
                  <c:v>996.42499999999995</c:v>
                </c:pt>
                <c:pt idx="27">
                  <c:v>1000.04375</c:v>
                </c:pt>
                <c:pt idx="28">
                  <c:v>1003.6625</c:v>
                </c:pt>
                <c:pt idx="29">
                  <c:v>1007.28125</c:v>
                </c:pt>
                <c:pt idx="30">
                  <c:v>1010.9</c:v>
                </c:pt>
                <c:pt idx="31">
                  <c:v>1014.51875</c:v>
                </c:pt>
                <c:pt idx="32">
                  <c:v>1018.1375</c:v>
                </c:pt>
                <c:pt idx="33">
                  <c:v>1021.75625</c:v>
                </c:pt>
                <c:pt idx="34">
                  <c:v>1025.375</c:v>
                </c:pt>
                <c:pt idx="35">
                  <c:v>1028.9937500000001</c:v>
                </c:pt>
                <c:pt idx="36">
                  <c:v>1032.6125</c:v>
                </c:pt>
                <c:pt idx="37">
                  <c:v>1036.23125</c:v>
                </c:pt>
                <c:pt idx="38">
                  <c:v>1039.8499999999999</c:v>
                </c:pt>
                <c:pt idx="39">
                  <c:v>1043.46875</c:v>
                </c:pt>
                <c:pt idx="40">
                  <c:v>1047.0875000000001</c:v>
                </c:pt>
                <c:pt idx="41">
                  <c:v>1050.70625</c:v>
                </c:pt>
                <c:pt idx="42">
                  <c:v>1054.325</c:v>
                </c:pt>
                <c:pt idx="43">
                  <c:v>1057.9437499999999</c:v>
                </c:pt>
                <c:pt idx="44">
                  <c:v>1061.5625</c:v>
                </c:pt>
                <c:pt idx="45">
                  <c:v>1065.1812500000001</c:v>
                </c:pt>
                <c:pt idx="46">
                  <c:v>1068.8</c:v>
                </c:pt>
                <c:pt idx="47">
                  <c:v>1072.41875</c:v>
                </c:pt>
                <c:pt idx="48">
                  <c:v>1076.0374999999999</c:v>
                </c:pt>
                <c:pt idx="49">
                  <c:v>1079.65625</c:v>
                </c:pt>
                <c:pt idx="50">
                  <c:v>1083.2750000000001</c:v>
                </c:pt>
                <c:pt idx="51">
                  <c:v>1086.89375</c:v>
                </c:pt>
                <c:pt idx="52">
                  <c:v>1090.5125</c:v>
                </c:pt>
                <c:pt idx="53">
                  <c:v>1094.1312499999999</c:v>
                </c:pt>
                <c:pt idx="54">
                  <c:v>1097.75</c:v>
                </c:pt>
                <c:pt idx="55">
                  <c:v>1101.3687500000001</c:v>
                </c:pt>
                <c:pt idx="56">
                  <c:v>1104.9875</c:v>
                </c:pt>
                <c:pt idx="57">
                  <c:v>1108.60625</c:v>
                </c:pt>
                <c:pt idx="58">
                  <c:v>1112.2249999999999</c:v>
                </c:pt>
                <c:pt idx="59">
                  <c:v>1115.84375</c:v>
                </c:pt>
                <c:pt idx="60">
                  <c:v>1119.4625000000001</c:v>
                </c:pt>
                <c:pt idx="61">
                  <c:v>1123.08125</c:v>
                </c:pt>
                <c:pt idx="62">
                  <c:v>1126.7</c:v>
                </c:pt>
                <c:pt idx="63">
                  <c:v>1130.3187499999999</c:v>
                </c:pt>
                <c:pt idx="64">
                  <c:v>1133.9375</c:v>
                </c:pt>
                <c:pt idx="65">
                  <c:v>1137.5562500000001</c:v>
                </c:pt>
                <c:pt idx="66">
                  <c:v>1141.175</c:v>
                </c:pt>
                <c:pt idx="67">
                  <c:v>1144.79375</c:v>
                </c:pt>
                <c:pt idx="68">
                  <c:v>1148.4124999999999</c:v>
                </c:pt>
                <c:pt idx="69">
                  <c:v>1152.03125</c:v>
                </c:pt>
                <c:pt idx="70">
                  <c:v>1155.6500000000001</c:v>
                </c:pt>
                <c:pt idx="71">
                  <c:v>1159.26875</c:v>
                </c:pt>
                <c:pt idx="72">
                  <c:v>1162.8875</c:v>
                </c:pt>
                <c:pt idx="73">
                  <c:v>1166.5062499999999</c:v>
                </c:pt>
                <c:pt idx="74">
                  <c:v>1170.125</c:v>
                </c:pt>
                <c:pt idx="75">
                  <c:v>1173.7437500000001</c:v>
                </c:pt>
                <c:pt idx="76">
                  <c:v>1177.3625</c:v>
                </c:pt>
                <c:pt idx="77">
                  <c:v>1180.98125</c:v>
                </c:pt>
                <c:pt idx="78">
                  <c:v>1184.5999999999999</c:v>
                </c:pt>
                <c:pt idx="79">
                  <c:v>1188.21875</c:v>
                </c:pt>
                <c:pt idx="80">
                  <c:v>1191.8375000000001</c:v>
                </c:pt>
                <c:pt idx="81">
                  <c:v>1195.45625</c:v>
                </c:pt>
                <c:pt idx="82">
                  <c:v>1199.075</c:v>
                </c:pt>
                <c:pt idx="83">
                  <c:v>1202.6937499999999</c:v>
                </c:pt>
                <c:pt idx="84">
                  <c:v>1206.3125</c:v>
                </c:pt>
                <c:pt idx="85">
                  <c:v>1209.9312500000001</c:v>
                </c:pt>
                <c:pt idx="86">
                  <c:v>1213.55</c:v>
                </c:pt>
                <c:pt idx="87">
                  <c:v>1217.16875</c:v>
                </c:pt>
                <c:pt idx="88">
                  <c:v>1220.7874999999999</c:v>
                </c:pt>
                <c:pt idx="89">
                  <c:v>1224.40625</c:v>
                </c:pt>
                <c:pt idx="90">
                  <c:v>1228.0250000000001</c:v>
                </c:pt>
                <c:pt idx="91">
                  <c:v>1231.64375</c:v>
                </c:pt>
                <c:pt idx="92">
                  <c:v>1235.2625</c:v>
                </c:pt>
                <c:pt idx="93">
                  <c:v>1238.8812499999999</c:v>
                </c:pt>
                <c:pt idx="94">
                  <c:v>1242.5</c:v>
                </c:pt>
                <c:pt idx="95">
                  <c:v>1246.1187500000001</c:v>
                </c:pt>
                <c:pt idx="96">
                  <c:v>1249.7375</c:v>
                </c:pt>
                <c:pt idx="97">
                  <c:v>1253.35625</c:v>
                </c:pt>
                <c:pt idx="98">
                  <c:v>1256.9749999999999</c:v>
                </c:pt>
                <c:pt idx="99">
                  <c:v>1260.59375</c:v>
                </c:pt>
                <c:pt idx="100">
                  <c:v>1264.2125000000001</c:v>
                </c:pt>
                <c:pt idx="101">
                  <c:v>1267.83125</c:v>
                </c:pt>
                <c:pt idx="102">
                  <c:v>1271.45</c:v>
                </c:pt>
                <c:pt idx="103">
                  <c:v>1275.0687499999999</c:v>
                </c:pt>
                <c:pt idx="104">
                  <c:v>1278.6875</c:v>
                </c:pt>
                <c:pt idx="105">
                  <c:v>1282.3062500000001</c:v>
                </c:pt>
                <c:pt idx="106">
                  <c:v>1285.9250000000002</c:v>
                </c:pt>
                <c:pt idx="107">
                  <c:v>1289.54375</c:v>
                </c:pt>
                <c:pt idx="108">
                  <c:v>1293.1624999999999</c:v>
                </c:pt>
                <c:pt idx="109">
                  <c:v>1296.78125</c:v>
                </c:pt>
                <c:pt idx="110">
                  <c:v>1300.4000000000001</c:v>
                </c:pt>
                <c:pt idx="111">
                  <c:v>1304.0187500000002</c:v>
                </c:pt>
                <c:pt idx="112">
                  <c:v>1307.6375</c:v>
                </c:pt>
                <c:pt idx="113">
                  <c:v>1311.2562499999999</c:v>
                </c:pt>
                <c:pt idx="114">
                  <c:v>1314.875</c:v>
                </c:pt>
                <c:pt idx="115">
                  <c:v>1318.4937500000001</c:v>
                </c:pt>
                <c:pt idx="116">
                  <c:v>1322.1125000000002</c:v>
                </c:pt>
                <c:pt idx="117">
                  <c:v>1325.73125</c:v>
                </c:pt>
                <c:pt idx="118">
                  <c:v>1329.35</c:v>
                </c:pt>
                <c:pt idx="119">
                  <c:v>1332.96875</c:v>
                </c:pt>
                <c:pt idx="120">
                  <c:v>1336.5875000000001</c:v>
                </c:pt>
                <c:pt idx="121">
                  <c:v>1340.2062500000002</c:v>
                </c:pt>
                <c:pt idx="122">
                  <c:v>1343.825</c:v>
                </c:pt>
                <c:pt idx="123">
                  <c:v>1347.4437499999999</c:v>
                </c:pt>
                <c:pt idx="124">
                  <c:v>1351.0625</c:v>
                </c:pt>
                <c:pt idx="125">
                  <c:v>1354.6812500000001</c:v>
                </c:pt>
                <c:pt idx="126">
                  <c:v>1358.3000000000002</c:v>
                </c:pt>
                <c:pt idx="127">
                  <c:v>1361.91875</c:v>
                </c:pt>
                <c:pt idx="128">
                  <c:v>1365.5374999999999</c:v>
                </c:pt>
                <c:pt idx="129">
                  <c:v>1369.15625</c:v>
                </c:pt>
                <c:pt idx="130">
                  <c:v>1372.7750000000001</c:v>
                </c:pt>
                <c:pt idx="131">
                  <c:v>1376.3937500000002</c:v>
                </c:pt>
                <c:pt idx="132">
                  <c:v>1380.0125</c:v>
                </c:pt>
                <c:pt idx="133">
                  <c:v>1383.6312499999999</c:v>
                </c:pt>
                <c:pt idx="134">
                  <c:v>1387.25</c:v>
                </c:pt>
                <c:pt idx="135">
                  <c:v>1390.8687500000001</c:v>
                </c:pt>
                <c:pt idx="136">
                  <c:v>1394.4875000000002</c:v>
                </c:pt>
                <c:pt idx="137">
                  <c:v>1398.10625</c:v>
                </c:pt>
                <c:pt idx="138">
                  <c:v>1401.7249999999999</c:v>
                </c:pt>
                <c:pt idx="139">
                  <c:v>1405.34375</c:v>
                </c:pt>
                <c:pt idx="140">
                  <c:v>1408.9625000000001</c:v>
                </c:pt>
                <c:pt idx="141">
                  <c:v>1412.5812500000002</c:v>
                </c:pt>
                <c:pt idx="142">
                  <c:v>1416.2</c:v>
                </c:pt>
                <c:pt idx="143">
                  <c:v>1419.8187499999999</c:v>
                </c:pt>
                <c:pt idx="144">
                  <c:v>1423.4375</c:v>
                </c:pt>
                <c:pt idx="145">
                  <c:v>1427.0562500000001</c:v>
                </c:pt>
                <c:pt idx="146">
                  <c:v>1430.6750000000002</c:v>
                </c:pt>
                <c:pt idx="147">
                  <c:v>1434.29375</c:v>
                </c:pt>
                <c:pt idx="148">
                  <c:v>1437.9124999999999</c:v>
                </c:pt>
                <c:pt idx="149">
                  <c:v>1441.53125</c:v>
                </c:pt>
                <c:pt idx="150">
                  <c:v>1445.15</c:v>
                </c:pt>
                <c:pt idx="151">
                  <c:v>1448.7687500000002</c:v>
                </c:pt>
                <c:pt idx="152">
                  <c:v>1452.3875</c:v>
                </c:pt>
                <c:pt idx="153">
                  <c:v>1456.0062499999999</c:v>
                </c:pt>
                <c:pt idx="154">
                  <c:v>1459.625</c:v>
                </c:pt>
                <c:pt idx="155">
                  <c:v>1463.2437500000001</c:v>
                </c:pt>
                <c:pt idx="156">
                  <c:v>1466.8625000000002</c:v>
                </c:pt>
                <c:pt idx="157">
                  <c:v>1470.48125</c:v>
                </c:pt>
                <c:pt idx="158">
                  <c:v>1474.1</c:v>
                </c:pt>
                <c:pt idx="159">
                  <c:v>1477.71875</c:v>
                </c:pt>
                <c:pt idx="160">
                  <c:v>1481.3375000000001</c:v>
                </c:pt>
                <c:pt idx="161">
                  <c:v>1484.9562500000002</c:v>
                </c:pt>
                <c:pt idx="162">
                  <c:v>1488.575</c:v>
                </c:pt>
                <c:pt idx="163">
                  <c:v>1492.1937499999999</c:v>
                </c:pt>
                <c:pt idx="164">
                  <c:v>1495.8125</c:v>
                </c:pt>
                <c:pt idx="165">
                  <c:v>1499.4312500000001</c:v>
                </c:pt>
                <c:pt idx="166">
                  <c:v>1503.0500000000002</c:v>
                </c:pt>
                <c:pt idx="167">
                  <c:v>1506.66875</c:v>
                </c:pt>
                <c:pt idx="168">
                  <c:v>1510.2874999999999</c:v>
                </c:pt>
                <c:pt idx="169">
                  <c:v>1513.90625</c:v>
                </c:pt>
                <c:pt idx="170">
                  <c:v>1517.5250000000001</c:v>
                </c:pt>
                <c:pt idx="171">
                  <c:v>1521.1437500000002</c:v>
                </c:pt>
                <c:pt idx="172">
                  <c:v>1524.7625</c:v>
                </c:pt>
                <c:pt idx="173">
                  <c:v>1528.3812499999999</c:v>
                </c:pt>
                <c:pt idx="174">
                  <c:v>1532</c:v>
                </c:pt>
                <c:pt idx="175">
                  <c:v>1535.6187500000001</c:v>
                </c:pt>
                <c:pt idx="176">
                  <c:v>1539.2375000000002</c:v>
                </c:pt>
                <c:pt idx="177">
                  <c:v>1542.85625</c:v>
                </c:pt>
                <c:pt idx="178">
                  <c:v>1546.4749999999999</c:v>
                </c:pt>
                <c:pt idx="179">
                  <c:v>1550.09375</c:v>
                </c:pt>
                <c:pt idx="180">
                  <c:v>1553.7125000000001</c:v>
                </c:pt>
                <c:pt idx="181">
                  <c:v>1557.3312500000002</c:v>
                </c:pt>
                <c:pt idx="182">
                  <c:v>1560.95</c:v>
                </c:pt>
                <c:pt idx="183">
                  <c:v>1564.5687499999999</c:v>
                </c:pt>
                <c:pt idx="184">
                  <c:v>1568.1875</c:v>
                </c:pt>
                <c:pt idx="185">
                  <c:v>1571.8062500000001</c:v>
                </c:pt>
                <c:pt idx="186">
                  <c:v>1575.4250000000002</c:v>
                </c:pt>
                <c:pt idx="187">
                  <c:v>1579.04375</c:v>
                </c:pt>
                <c:pt idx="188">
                  <c:v>1582.6624999999999</c:v>
                </c:pt>
                <c:pt idx="189">
                  <c:v>1586.28125</c:v>
                </c:pt>
                <c:pt idx="190">
                  <c:v>1589.9</c:v>
                </c:pt>
                <c:pt idx="191">
                  <c:v>1593.5187500000002</c:v>
                </c:pt>
                <c:pt idx="192">
                  <c:v>1597.1375</c:v>
                </c:pt>
                <c:pt idx="193">
                  <c:v>1600.7562499999999</c:v>
                </c:pt>
                <c:pt idx="194">
                  <c:v>1604.375</c:v>
                </c:pt>
                <c:pt idx="195">
                  <c:v>1607.9937500000001</c:v>
                </c:pt>
                <c:pt idx="196">
                  <c:v>1611.6125000000002</c:v>
                </c:pt>
                <c:pt idx="197">
                  <c:v>1615.23125</c:v>
                </c:pt>
                <c:pt idx="198">
                  <c:v>1618.85</c:v>
                </c:pt>
                <c:pt idx="199">
                  <c:v>1622.46875</c:v>
                </c:pt>
                <c:pt idx="200">
                  <c:v>1626.0875000000001</c:v>
                </c:pt>
                <c:pt idx="201">
                  <c:v>1629.7062500000002</c:v>
                </c:pt>
                <c:pt idx="202">
                  <c:v>1633.325</c:v>
                </c:pt>
                <c:pt idx="203">
                  <c:v>1636.9437499999999</c:v>
                </c:pt>
                <c:pt idx="204">
                  <c:v>1640.5625</c:v>
                </c:pt>
                <c:pt idx="205">
                  <c:v>1644.1812500000001</c:v>
                </c:pt>
                <c:pt idx="206">
                  <c:v>1647.8000000000002</c:v>
                </c:pt>
                <c:pt idx="207">
                  <c:v>1651.41875</c:v>
                </c:pt>
                <c:pt idx="208">
                  <c:v>1655.0374999999999</c:v>
                </c:pt>
                <c:pt idx="209">
                  <c:v>1658.65625</c:v>
                </c:pt>
                <c:pt idx="210">
                  <c:v>1662.2750000000001</c:v>
                </c:pt>
                <c:pt idx="211">
                  <c:v>1665.8937500000002</c:v>
                </c:pt>
                <c:pt idx="212">
                  <c:v>1669.5125</c:v>
                </c:pt>
                <c:pt idx="213">
                  <c:v>1673.1312499999999</c:v>
                </c:pt>
                <c:pt idx="214">
                  <c:v>1676.75</c:v>
                </c:pt>
                <c:pt idx="215">
                  <c:v>1680.3687500000001</c:v>
                </c:pt>
                <c:pt idx="216">
                  <c:v>1683.9875000000002</c:v>
                </c:pt>
                <c:pt idx="217">
                  <c:v>1687.60625</c:v>
                </c:pt>
                <c:pt idx="218">
                  <c:v>1691.2249999999999</c:v>
                </c:pt>
                <c:pt idx="219">
                  <c:v>1694.84375</c:v>
                </c:pt>
                <c:pt idx="220">
                  <c:v>1698.4625000000001</c:v>
                </c:pt>
                <c:pt idx="221">
                  <c:v>1702.0812500000002</c:v>
                </c:pt>
                <c:pt idx="222">
                  <c:v>1705.7</c:v>
                </c:pt>
                <c:pt idx="223">
                  <c:v>1709.3187499999999</c:v>
                </c:pt>
              </c:numCache>
            </c:numRef>
          </c:xVal>
          <c:yVal>
            <c:numRef>
              <c:f>Analysis!$J$42:$J$265</c:f>
              <c:numCache>
                <c:formatCode>0.000</c:formatCode>
                <c:ptCount val="224"/>
                <c:pt idx="0">
                  <c:v>1.0002609603340293</c:v>
                </c:pt>
                <c:pt idx="1">
                  <c:v>0.99973944762897338</c:v>
                </c:pt>
                <c:pt idx="2">
                  <c:v>1</c:v>
                </c:pt>
                <c:pt idx="3">
                  <c:v>1</c:v>
                </c:pt>
                <c:pt idx="4">
                  <c:v>0.99973931178310738</c:v>
                </c:pt>
                <c:pt idx="5">
                  <c:v>0.9997389715478987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1.0002610284521012</c:v>
                </c:pt>
                <c:pt idx="12">
                  <c:v>1</c:v>
                </c:pt>
                <c:pt idx="13">
                  <c:v>0.99973924380704038</c:v>
                </c:pt>
                <c:pt idx="14">
                  <c:v>1</c:v>
                </c:pt>
                <c:pt idx="15">
                  <c:v>1</c:v>
                </c:pt>
                <c:pt idx="16">
                  <c:v>0.99973937972374249</c:v>
                </c:pt>
                <c:pt idx="17">
                  <c:v>1</c:v>
                </c:pt>
                <c:pt idx="18">
                  <c:v>1.0002612330198537</c:v>
                </c:pt>
                <c:pt idx="19">
                  <c:v>1</c:v>
                </c:pt>
                <c:pt idx="20">
                  <c:v>1</c:v>
                </c:pt>
                <c:pt idx="21">
                  <c:v>0.9997387669801463</c:v>
                </c:pt>
                <c:pt idx="22">
                  <c:v>1</c:v>
                </c:pt>
                <c:pt idx="23">
                  <c:v>1</c:v>
                </c:pt>
                <c:pt idx="24">
                  <c:v>0.9997389715478987</c:v>
                </c:pt>
                <c:pt idx="25">
                  <c:v>0.99973917579551386</c:v>
                </c:pt>
                <c:pt idx="26">
                  <c:v>0.99973869871962373</c:v>
                </c:pt>
                <c:pt idx="27">
                  <c:v>1</c:v>
                </c:pt>
                <c:pt idx="28">
                  <c:v>1</c:v>
                </c:pt>
                <c:pt idx="29">
                  <c:v>1.0002604166666667</c:v>
                </c:pt>
                <c:pt idx="30">
                  <c:v>1</c:v>
                </c:pt>
                <c:pt idx="31">
                  <c:v>0.99973883520501439</c:v>
                </c:pt>
                <c:pt idx="32">
                  <c:v>1</c:v>
                </c:pt>
                <c:pt idx="33">
                  <c:v>0.99973951549882778</c:v>
                </c:pt>
                <c:pt idx="34">
                  <c:v>1</c:v>
                </c:pt>
                <c:pt idx="35">
                  <c:v>0.99973903966597077</c:v>
                </c:pt>
                <c:pt idx="36">
                  <c:v>1</c:v>
                </c:pt>
                <c:pt idx="37">
                  <c:v>1.0005228758169935</c:v>
                </c:pt>
                <c:pt idx="38">
                  <c:v>1.0005223295899712</c:v>
                </c:pt>
                <c:pt idx="39">
                  <c:v>1.0002613695765812</c:v>
                </c:pt>
                <c:pt idx="40">
                  <c:v>1.0002606202762574</c:v>
                </c:pt>
                <c:pt idx="41">
                  <c:v>1</c:v>
                </c:pt>
                <c:pt idx="42">
                  <c:v>1.0002612330198537</c:v>
                </c:pt>
                <c:pt idx="43">
                  <c:v>1.0002610966057441</c:v>
                </c:pt>
                <c:pt idx="44">
                  <c:v>1</c:v>
                </c:pt>
                <c:pt idx="45">
                  <c:v>1.0002607561929595</c:v>
                </c:pt>
                <c:pt idx="46">
                  <c:v>1</c:v>
                </c:pt>
                <c:pt idx="47">
                  <c:v>1.0002610284521012</c:v>
                </c:pt>
                <c:pt idx="48">
                  <c:v>1.0002608242044861</c:v>
                </c:pt>
                <c:pt idx="49">
                  <c:v>0.99973869871962373</c:v>
                </c:pt>
                <c:pt idx="50">
                  <c:v>0.99973910774849983</c:v>
                </c:pt>
                <c:pt idx="51">
                  <c:v>0.99947739743924746</c:v>
                </c:pt>
                <c:pt idx="52">
                  <c:v>1</c:v>
                </c:pt>
                <c:pt idx="53">
                  <c:v>1</c:v>
                </c:pt>
                <c:pt idx="54">
                  <c:v>1.0002615746795711</c:v>
                </c:pt>
                <c:pt idx="55">
                  <c:v>1</c:v>
                </c:pt>
                <c:pt idx="56">
                  <c:v>0.9997389715478987</c:v>
                </c:pt>
                <c:pt idx="57">
                  <c:v>1</c:v>
                </c:pt>
                <c:pt idx="58">
                  <c:v>1</c:v>
                </c:pt>
                <c:pt idx="59">
                  <c:v>0.99973910774849983</c:v>
                </c:pt>
                <c:pt idx="60">
                  <c:v>0.99973883520501439</c:v>
                </c:pt>
                <c:pt idx="61">
                  <c:v>0.99973937972374249</c:v>
                </c:pt>
                <c:pt idx="62">
                  <c:v>0.99973890339425586</c:v>
                </c:pt>
                <c:pt idx="63">
                  <c:v>1</c:v>
                </c:pt>
                <c:pt idx="64">
                  <c:v>1</c:v>
                </c:pt>
                <c:pt idx="65">
                  <c:v>1.0002612330198537</c:v>
                </c:pt>
                <c:pt idx="66">
                  <c:v>1</c:v>
                </c:pt>
                <c:pt idx="67">
                  <c:v>1</c:v>
                </c:pt>
                <c:pt idx="68">
                  <c:v>0.9997387669801463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0.99973883520501439</c:v>
                </c:pt>
                <c:pt idx="73">
                  <c:v>1</c:v>
                </c:pt>
                <c:pt idx="74">
                  <c:v>1.0002610284521012</c:v>
                </c:pt>
                <c:pt idx="75">
                  <c:v>0.99973883520501439</c:v>
                </c:pt>
                <c:pt idx="76">
                  <c:v>1</c:v>
                </c:pt>
                <c:pt idx="77">
                  <c:v>1.0002606202762574</c:v>
                </c:pt>
                <c:pt idx="78">
                  <c:v>1.0005223295899712</c:v>
                </c:pt>
                <c:pt idx="79">
                  <c:v>1.0002612330198537</c:v>
                </c:pt>
                <c:pt idx="80">
                  <c:v>1</c:v>
                </c:pt>
                <c:pt idx="81">
                  <c:v>1.0002610284521012</c:v>
                </c:pt>
                <c:pt idx="82">
                  <c:v>1</c:v>
                </c:pt>
                <c:pt idx="83">
                  <c:v>1.0002610966057441</c:v>
                </c:pt>
                <c:pt idx="84">
                  <c:v>1.0002613012803763</c:v>
                </c:pt>
                <c:pt idx="85">
                  <c:v>1.0002608922515002</c:v>
                </c:pt>
                <c:pt idx="86">
                  <c:v>1</c:v>
                </c:pt>
                <c:pt idx="87">
                  <c:v>1</c:v>
                </c:pt>
                <c:pt idx="88">
                  <c:v>0.99973910774849983</c:v>
                </c:pt>
                <c:pt idx="89">
                  <c:v>1</c:v>
                </c:pt>
                <c:pt idx="90">
                  <c:v>1.0002610284521012</c:v>
                </c:pt>
                <c:pt idx="91">
                  <c:v>1</c:v>
                </c:pt>
                <c:pt idx="92">
                  <c:v>1.0002615062761506</c:v>
                </c:pt>
                <c:pt idx="93">
                  <c:v>0.99973863042341871</c:v>
                </c:pt>
                <c:pt idx="94">
                  <c:v>1.0002613695765812</c:v>
                </c:pt>
                <c:pt idx="95">
                  <c:v>0.9997387669801463</c:v>
                </c:pt>
                <c:pt idx="96">
                  <c:v>1</c:v>
                </c:pt>
                <c:pt idx="97">
                  <c:v>0.99973890339425586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0.99973903966597077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0.99973869871962373</c:v>
                </c:pt>
                <c:pt idx="111">
                  <c:v>1.0002609603340293</c:v>
                </c:pt>
                <c:pt idx="112">
                  <c:v>1.0002612330198537</c:v>
                </c:pt>
                <c:pt idx="113">
                  <c:v>1</c:v>
                </c:pt>
                <c:pt idx="114">
                  <c:v>1</c:v>
                </c:pt>
                <c:pt idx="115">
                  <c:v>0.99973883520501439</c:v>
                </c:pt>
                <c:pt idx="116">
                  <c:v>1.0002606202762574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1.0002608922515002</c:v>
                </c:pt>
                <c:pt idx="121">
                  <c:v>1.0002610284521012</c:v>
                </c:pt>
                <c:pt idx="122">
                  <c:v>1.0002612330198537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1.0002610966057441</c:v>
                </c:pt>
                <c:pt idx="129">
                  <c:v>1.0002610966057441</c:v>
                </c:pt>
                <c:pt idx="130">
                  <c:v>1.0002615746795711</c:v>
                </c:pt>
                <c:pt idx="131">
                  <c:v>0.99973883520501439</c:v>
                </c:pt>
                <c:pt idx="132">
                  <c:v>1</c:v>
                </c:pt>
                <c:pt idx="133">
                  <c:v>1.0002615746795711</c:v>
                </c:pt>
                <c:pt idx="134">
                  <c:v>1</c:v>
                </c:pt>
                <c:pt idx="135">
                  <c:v>1</c:v>
                </c:pt>
                <c:pt idx="136">
                  <c:v>0.99973903966597077</c:v>
                </c:pt>
                <c:pt idx="137">
                  <c:v>1.0002609603340293</c:v>
                </c:pt>
                <c:pt idx="138">
                  <c:v>1.0002615746795711</c:v>
                </c:pt>
                <c:pt idx="139">
                  <c:v>1.0002613695765812</c:v>
                </c:pt>
                <c:pt idx="140">
                  <c:v>1</c:v>
                </c:pt>
                <c:pt idx="141">
                  <c:v>1</c:v>
                </c:pt>
                <c:pt idx="142">
                  <c:v>0.99947903099765567</c:v>
                </c:pt>
                <c:pt idx="143">
                  <c:v>1</c:v>
                </c:pt>
                <c:pt idx="144">
                  <c:v>0.99973856209150325</c:v>
                </c:pt>
                <c:pt idx="145">
                  <c:v>1</c:v>
                </c:pt>
                <c:pt idx="146">
                  <c:v>1</c:v>
                </c:pt>
                <c:pt idx="147">
                  <c:v>1.0002613695765812</c:v>
                </c:pt>
                <c:pt idx="148">
                  <c:v>0.99947767041002877</c:v>
                </c:pt>
                <c:pt idx="149">
                  <c:v>1.0002609603340293</c:v>
                </c:pt>
                <c:pt idx="150">
                  <c:v>1</c:v>
                </c:pt>
                <c:pt idx="151">
                  <c:v>1</c:v>
                </c:pt>
                <c:pt idx="152">
                  <c:v>0.99973910774849983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1.0002610966057441</c:v>
                </c:pt>
                <c:pt idx="157">
                  <c:v>1.0002613695765812</c:v>
                </c:pt>
                <c:pt idx="158">
                  <c:v>1</c:v>
                </c:pt>
                <c:pt idx="159">
                  <c:v>1.0002609603340293</c:v>
                </c:pt>
                <c:pt idx="160">
                  <c:v>0.99973944762897338</c:v>
                </c:pt>
                <c:pt idx="161">
                  <c:v>1.0005217845030003</c:v>
                </c:pt>
                <c:pt idx="162">
                  <c:v>1</c:v>
                </c:pt>
                <c:pt idx="163">
                  <c:v>1</c:v>
                </c:pt>
                <c:pt idx="164">
                  <c:v>1.0005220569042026</c:v>
                </c:pt>
                <c:pt idx="165">
                  <c:v>1</c:v>
                </c:pt>
                <c:pt idx="166">
                  <c:v>1</c:v>
                </c:pt>
                <c:pt idx="167">
                  <c:v>1.0002601456815816</c:v>
                </c:pt>
                <c:pt idx="168">
                  <c:v>1.0002608922515002</c:v>
                </c:pt>
                <c:pt idx="169">
                  <c:v>1.0002608242044861</c:v>
                </c:pt>
                <c:pt idx="170">
                  <c:v>1.0002604166666667</c:v>
                </c:pt>
                <c:pt idx="171">
                  <c:v>0.99973890339425586</c:v>
                </c:pt>
                <c:pt idx="172">
                  <c:v>1.0002607561929595</c:v>
                </c:pt>
                <c:pt idx="173">
                  <c:v>0.99973903966597077</c:v>
                </c:pt>
                <c:pt idx="174">
                  <c:v>1.0002606202762574</c:v>
                </c:pt>
                <c:pt idx="175">
                  <c:v>1</c:v>
                </c:pt>
                <c:pt idx="176">
                  <c:v>1.0002613695765812</c:v>
                </c:pt>
                <c:pt idx="177">
                  <c:v>0.99973924380704038</c:v>
                </c:pt>
                <c:pt idx="178">
                  <c:v>1</c:v>
                </c:pt>
                <c:pt idx="179">
                  <c:v>1.0005209690023444</c:v>
                </c:pt>
                <c:pt idx="180">
                  <c:v>0.99973937972374249</c:v>
                </c:pt>
                <c:pt idx="181">
                  <c:v>1</c:v>
                </c:pt>
                <c:pt idx="182">
                  <c:v>1.0002602811035919</c:v>
                </c:pt>
                <c:pt idx="183">
                  <c:v>1</c:v>
                </c:pt>
                <c:pt idx="184">
                  <c:v>1</c:v>
                </c:pt>
                <c:pt idx="185">
                  <c:v>0.99973869871962373</c:v>
                </c:pt>
                <c:pt idx="186">
                  <c:v>0.99973937972374249</c:v>
                </c:pt>
                <c:pt idx="187">
                  <c:v>1.0005219206680585</c:v>
                </c:pt>
                <c:pt idx="188">
                  <c:v>0.999738425320429</c:v>
                </c:pt>
                <c:pt idx="189">
                  <c:v>0.9997389715478987</c:v>
                </c:pt>
                <c:pt idx="190">
                  <c:v>1</c:v>
                </c:pt>
                <c:pt idx="191">
                  <c:v>1</c:v>
                </c:pt>
                <c:pt idx="192">
                  <c:v>0.99973883520501439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1.0002614379084966</c:v>
                </c:pt>
                <c:pt idx="202">
                  <c:v>1</c:v>
                </c:pt>
                <c:pt idx="203">
                  <c:v>1</c:v>
                </c:pt>
                <c:pt idx="204">
                  <c:v>0.99973890339425586</c:v>
                </c:pt>
                <c:pt idx="205">
                  <c:v>1</c:v>
                </c:pt>
                <c:pt idx="206">
                  <c:v>1</c:v>
                </c:pt>
                <c:pt idx="207">
                  <c:v>1.0002613695765812</c:v>
                </c:pt>
                <c:pt idx="208">
                  <c:v>1</c:v>
                </c:pt>
                <c:pt idx="209">
                  <c:v>1.0002606882168925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1.0002606202762574</c:v>
                </c:pt>
                <c:pt idx="214">
                  <c:v>0.99973931178310738</c:v>
                </c:pt>
                <c:pt idx="215">
                  <c:v>1.0002611647949857</c:v>
                </c:pt>
                <c:pt idx="216">
                  <c:v>0.99973924380704038</c:v>
                </c:pt>
                <c:pt idx="217">
                  <c:v>1.0002610284521012</c:v>
                </c:pt>
                <c:pt idx="218">
                  <c:v>1.000523149359142</c:v>
                </c:pt>
                <c:pt idx="219">
                  <c:v>1</c:v>
                </c:pt>
                <c:pt idx="220">
                  <c:v>0.99973903966597077</c:v>
                </c:pt>
                <c:pt idx="221">
                  <c:v>1.0002606882168925</c:v>
                </c:pt>
                <c:pt idx="222">
                  <c:v>1</c:v>
                </c:pt>
                <c:pt idx="2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15-464E-8B55-A5A9C11FDFD5}"/>
            </c:ext>
          </c:extLst>
        </c:ser>
        <c:ser>
          <c:idx val="4"/>
          <c:order val="1"/>
          <c:tx>
            <c:v>SWIR_Med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902.33749999999998</c:v>
                </c:pt>
                <c:pt idx="1">
                  <c:v>905.95624999999995</c:v>
                </c:pt>
                <c:pt idx="2">
                  <c:v>909.57500000000005</c:v>
                </c:pt>
                <c:pt idx="3">
                  <c:v>913.19375000000002</c:v>
                </c:pt>
                <c:pt idx="4">
                  <c:v>916.8125</c:v>
                </c:pt>
                <c:pt idx="5">
                  <c:v>920.43124999999998</c:v>
                </c:pt>
                <c:pt idx="6">
                  <c:v>924.05</c:v>
                </c:pt>
                <c:pt idx="7">
                  <c:v>927.66875000000005</c:v>
                </c:pt>
                <c:pt idx="8">
                  <c:v>931.28750000000002</c:v>
                </c:pt>
                <c:pt idx="9">
                  <c:v>934.90625</c:v>
                </c:pt>
                <c:pt idx="10">
                  <c:v>938.52499999999998</c:v>
                </c:pt>
                <c:pt idx="11">
                  <c:v>942.14374999999995</c:v>
                </c:pt>
                <c:pt idx="12">
                  <c:v>945.76250000000005</c:v>
                </c:pt>
                <c:pt idx="13">
                  <c:v>949.38125000000002</c:v>
                </c:pt>
                <c:pt idx="14">
                  <c:v>953</c:v>
                </c:pt>
                <c:pt idx="15">
                  <c:v>956.61874999999998</c:v>
                </c:pt>
                <c:pt idx="16">
                  <c:v>960.23749999999995</c:v>
                </c:pt>
                <c:pt idx="17">
                  <c:v>963.85625000000005</c:v>
                </c:pt>
                <c:pt idx="18">
                  <c:v>967.47500000000002</c:v>
                </c:pt>
                <c:pt idx="19">
                  <c:v>971.09375</c:v>
                </c:pt>
                <c:pt idx="20">
                  <c:v>974.71249999999998</c:v>
                </c:pt>
                <c:pt idx="21">
                  <c:v>978.33124999999995</c:v>
                </c:pt>
                <c:pt idx="22">
                  <c:v>981.95</c:v>
                </c:pt>
                <c:pt idx="23">
                  <c:v>985.56875000000002</c:v>
                </c:pt>
                <c:pt idx="24">
                  <c:v>989.1875</c:v>
                </c:pt>
                <c:pt idx="25">
                  <c:v>992.80624999999998</c:v>
                </c:pt>
                <c:pt idx="26">
                  <c:v>996.42499999999995</c:v>
                </c:pt>
                <c:pt idx="27">
                  <c:v>1000.04375</c:v>
                </c:pt>
                <c:pt idx="28">
                  <c:v>1003.6625</c:v>
                </c:pt>
                <c:pt idx="29">
                  <c:v>1007.28125</c:v>
                </c:pt>
                <c:pt idx="30">
                  <c:v>1010.9</c:v>
                </c:pt>
                <c:pt idx="31">
                  <c:v>1014.51875</c:v>
                </c:pt>
                <c:pt idx="32">
                  <c:v>1018.1375</c:v>
                </c:pt>
                <c:pt idx="33">
                  <c:v>1021.75625</c:v>
                </c:pt>
                <c:pt idx="34">
                  <c:v>1025.375</c:v>
                </c:pt>
                <c:pt idx="35">
                  <c:v>1028.9937500000001</c:v>
                </c:pt>
                <c:pt idx="36">
                  <c:v>1032.6125</c:v>
                </c:pt>
                <c:pt idx="37">
                  <c:v>1036.23125</c:v>
                </c:pt>
                <c:pt idx="38">
                  <c:v>1039.8499999999999</c:v>
                </c:pt>
                <c:pt idx="39">
                  <c:v>1043.46875</c:v>
                </c:pt>
                <c:pt idx="40">
                  <c:v>1047.0875000000001</c:v>
                </c:pt>
                <c:pt idx="41">
                  <c:v>1050.70625</c:v>
                </c:pt>
                <c:pt idx="42">
                  <c:v>1054.325</c:v>
                </c:pt>
                <c:pt idx="43">
                  <c:v>1057.9437499999999</c:v>
                </c:pt>
                <c:pt idx="44">
                  <c:v>1061.5625</c:v>
                </c:pt>
                <c:pt idx="45">
                  <c:v>1065.1812500000001</c:v>
                </c:pt>
                <c:pt idx="46">
                  <c:v>1068.8</c:v>
                </c:pt>
                <c:pt idx="47">
                  <c:v>1072.41875</c:v>
                </c:pt>
                <c:pt idx="48">
                  <c:v>1076.0374999999999</c:v>
                </c:pt>
                <c:pt idx="49">
                  <c:v>1079.65625</c:v>
                </c:pt>
                <c:pt idx="50">
                  <c:v>1083.2750000000001</c:v>
                </c:pt>
                <c:pt idx="51">
                  <c:v>1086.89375</c:v>
                </c:pt>
                <c:pt idx="52">
                  <c:v>1090.5125</c:v>
                </c:pt>
                <c:pt idx="53">
                  <c:v>1094.1312499999999</c:v>
                </c:pt>
                <c:pt idx="54">
                  <c:v>1097.75</c:v>
                </c:pt>
                <c:pt idx="55">
                  <c:v>1101.3687500000001</c:v>
                </c:pt>
                <c:pt idx="56">
                  <c:v>1104.9875</c:v>
                </c:pt>
                <c:pt idx="57">
                  <c:v>1108.60625</c:v>
                </c:pt>
                <c:pt idx="58">
                  <c:v>1112.2249999999999</c:v>
                </c:pt>
                <c:pt idx="59">
                  <c:v>1115.84375</c:v>
                </c:pt>
                <c:pt idx="60">
                  <c:v>1119.4625000000001</c:v>
                </c:pt>
                <c:pt idx="61">
                  <c:v>1123.08125</c:v>
                </c:pt>
                <c:pt idx="62">
                  <c:v>1126.7</c:v>
                </c:pt>
                <c:pt idx="63">
                  <c:v>1130.3187499999999</c:v>
                </c:pt>
                <c:pt idx="64">
                  <c:v>1133.9375</c:v>
                </c:pt>
                <c:pt idx="65">
                  <c:v>1137.5562500000001</c:v>
                </c:pt>
                <c:pt idx="66">
                  <c:v>1141.175</c:v>
                </c:pt>
                <c:pt idx="67">
                  <c:v>1144.79375</c:v>
                </c:pt>
                <c:pt idx="68">
                  <c:v>1148.4124999999999</c:v>
                </c:pt>
                <c:pt idx="69">
                  <c:v>1152.03125</c:v>
                </c:pt>
                <c:pt idx="70">
                  <c:v>1155.6500000000001</c:v>
                </c:pt>
                <c:pt idx="71">
                  <c:v>1159.26875</c:v>
                </c:pt>
                <c:pt idx="72">
                  <c:v>1162.8875</c:v>
                </c:pt>
                <c:pt idx="73">
                  <c:v>1166.5062499999999</c:v>
                </c:pt>
                <c:pt idx="74">
                  <c:v>1170.125</c:v>
                </c:pt>
                <c:pt idx="75">
                  <c:v>1173.7437500000001</c:v>
                </c:pt>
                <c:pt idx="76">
                  <c:v>1177.3625</c:v>
                </c:pt>
                <c:pt idx="77">
                  <c:v>1180.98125</c:v>
                </c:pt>
                <c:pt idx="78">
                  <c:v>1184.5999999999999</c:v>
                </c:pt>
                <c:pt idx="79">
                  <c:v>1188.21875</c:v>
                </c:pt>
                <c:pt idx="80">
                  <c:v>1191.8375000000001</c:v>
                </c:pt>
                <c:pt idx="81">
                  <c:v>1195.45625</c:v>
                </c:pt>
                <c:pt idx="82">
                  <c:v>1199.075</c:v>
                </c:pt>
                <c:pt idx="83">
                  <c:v>1202.6937499999999</c:v>
                </c:pt>
                <c:pt idx="84">
                  <c:v>1206.3125</c:v>
                </c:pt>
                <c:pt idx="85">
                  <c:v>1209.9312500000001</c:v>
                </c:pt>
                <c:pt idx="86">
                  <c:v>1213.55</c:v>
                </c:pt>
                <c:pt idx="87">
                  <c:v>1217.16875</c:v>
                </c:pt>
                <c:pt idx="88">
                  <c:v>1220.7874999999999</c:v>
                </c:pt>
                <c:pt idx="89">
                  <c:v>1224.40625</c:v>
                </c:pt>
                <c:pt idx="90">
                  <c:v>1228.0250000000001</c:v>
                </c:pt>
                <c:pt idx="91">
                  <c:v>1231.64375</c:v>
                </c:pt>
                <c:pt idx="92">
                  <c:v>1235.2625</c:v>
                </c:pt>
                <c:pt idx="93">
                  <c:v>1238.8812499999999</c:v>
                </c:pt>
                <c:pt idx="94">
                  <c:v>1242.5</c:v>
                </c:pt>
                <c:pt idx="95">
                  <c:v>1246.1187500000001</c:v>
                </c:pt>
                <c:pt idx="96">
                  <c:v>1249.7375</c:v>
                </c:pt>
                <c:pt idx="97">
                  <c:v>1253.35625</c:v>
                </c:pt>
                <c:pt idx="98">
                  <c:v>1256.9749999999999</c:v>
                </c:pt>
                <c:pt idx="99">
                  <c:v>1260.59375</c:v>
                </c:pt>
                <c:pt idx="100">
                  <c:v>1264.2125000000001</c:v>
                </c:pt>
                <c:pt idx="101">
                  <c:v>1267.83125</c:v>
                </c:pt>
                <c:pt idx="102">
                  <c:v>1271.45</c:v>
                </c:pt>
                <c:pt idx="103">
                  <c:v>1275.0687499999999</c:v>
                </c:pt>
                <c:pt idx="104">
                  <c:v>1278.6875</c:v>
                </c:pt>
                <c:pt idx="105">
                  <c:v>1282.3062500000001</c:v>
                </c:pt>
                <c:pt idx="106">
                  <c:v>1285.9250000000002</c:v>
                </c:pt>
                <c:pt idx="107">
                  <c:v>1289.54375</c:v>
                </c:pt>
                <c:pt idx="108">
                  <c:v>1293.1624999999999</c:v>
                </c:pt>
                <c:pt idx="109">
                  <c:v>1296.78125</c:v>
                </c:pt>
                <c:pt idx="110">
                  <c:v>1300.4000000000001</c:v>
                </c:pt>
                <c:pt idx="111">
                  <c:v>1304.0187500000002</c:v>
                </c:pt>
                <c:pt idx="112">
                  <c:v>1307.6375</c:v>
                </c:pt>
                <c:pt idx="113">
                  <c:v>1311.2562499999999</c:v>
                </c:pt>
                <c:pt idx="114">
                  <c:v>1314.875</c:v>
                </c:pt>
                <c:pt idx="115">
                  <c:v>1318.4937500000001</c:v>
                </c:pt>
                <c:pt idx="116">
                  <c:v>1322.1125000000002</c:v>
                </c:pt>
                <c:pt idx="117">
                  <c:v>1325.73125</c:v>
                </c:pt>
                <c:pt idx="118">
                  <c:v>1329.35</c:v>
                </c:pt>
                <c:pt idx="119">
                  <c:v>1332.96875</c:v>
                </c:pt>
                <c:pt idx="120">
                  <c:v>1336.5875000000001</c:v>
                </c:pt>
                <c:pt idx="121">
                  <c:v>1340.2062500000002</c:v>
                </c:pt>
                <c:pt idx="122">
                  <c:v>1343.825</c:v>
                </c:pt>
                <c:pt idx="123">
                  <c:v>1347.4437499999999</c:v>
                </c:pt>
                <c:pt idx="124">
                  <c:v>1351.0625</c:v>
                </c:pt>
                <c:pt idx="125">
                  <c:v>1354.6812500000001</c:v>
                </c:pt>
                <c:pt idx="126">
                  <c:v>1358.3000000000002</c:v>
                </c:pt>
                <c:pt idx="127">
                  <c:v>1361.91875</c:v>
                </c:pt>
                <c:pt idx="128">
                  <c:v>1365.5374999999999</c:v>
                </c:pt>
                <c:pt idx="129">
                  <c:v>1369.15625</c:v>
                </c:pt>
                <c:pt idx="130">
                  <c:v>1372.7750000000001</c:v>
                </c:pt>
                <c:pt idx="131">
                  <c:v>1376.3937500000002</c:v>
                </c:pt>
                <c:pt idx="132">
                  <c:v>1380.0125</c:v>
                </c:pt>
                <c:pt idx="133">
                  <c:v>1383.6312499999999</c:v>
                </c:pt>
                <c:pt idx="134">
                  <c:v>1387.25</c:v>
                </c:pt>
                <c:pt idx="135">
                  <c:v>1390.8687500000001</c:v>
                </c:pt>
                <c:pt idx="136">
                  <c:v>1394.4875000000002</c:v>
                </c:pt>
                <c:pt idx="137">
                  <c:v>1398.10625</c:v>
                </c:pt>
                <c:pt idx="138">
                  <c:v>1401.7249999999999</c:v>
                </c:pt>
                <c:pt idx="139">
                  <c:v>1405.34375</c:v>
                </c:pt>
                <c:pt idx="140">
                  <c:v>1408.9625000000001</c:v>
                </c:pt>
                <c:pt idx="141">
                  <c:v>1412.5812500000002</c:v>
                </c:pt>
                <c:pt idx="142">
                  <c:v>1416.2</c:v>
                </c:pt>
                <c:pt idx="143">
                  <c:v>1419.8187499999999</c:v>
                </c:pt>
                <c:pt idx="144">
                  <c:v>1423.4375</c:v>
                </c:pt>
                <c:pt idx="145">
                  <c:v>1427.0562500000001</c:v>
                </c:pt>
                <c:pt idx="146">
                  <c:v>1430.6750000000002</c:v>
                </c:pt>
                <c:pt idx="147">
                  <c:v>1434.29375</c:v>
                </c:pt>
                <c:pt idx="148">
                  <c:v>1437.9124999999999</c:v>
                </c:pt>
                <c:pt idx="149">
                  <c:v>1441.53125</c:v>
                </c:pt>
                <c:pt idx="150">
                  <c:v>1445.15</c:v>
                </c:pt>
                <c:pt idx="151">
                  <c:v>1448.7687500000002</c:v>
                </c:pt>
                <c:pt idx="152">
                  <c:v>1452.3875</c:v>
                </c:pt>
                <c:pt idx="153">
                  <c:v>1456.0062499999999</c:v>
                </c:pt>
                <c:pt idx="154">
                  <c:v>1459.625</c:v>
                </c:pt>
                <c:pt idx="155">
                  <c:v>1463.2437500000001</c:v>
                </c:pt>
                <c:pt idx="156">
                  <c:v>1466.8625000000002</c:v>
                </c:pt>
                <c:pt idx="157">
                  <c:v>1470.48125</c:v>
                </c:pt>
                <c:pt idx="158">
                  <c:v>1474.1</c:v>
                </c:pt>
                <c:pt idx="159">
                  <c:v>1477.71875</c:v>
                </c:pt>
                <c:pt idx="160">
                  <c:v>1481.3375000000001</c:v>
                </c:pt>
                <c:pt idx="161">
                  <c:v>1484.9562500000002</c:v>
                </c:pt>
                <c:pt idx="162">
                  <c:v>1488.575</c:v>
                </c:pt>
                <c:pt idx="163">
                  <c:v>1492.1937499999999</c:v>
                </c:pt>
                <c:pt idx="164">
                  <c:v>1495.8125</c:v>
                </c:pt>
                <c:pt idx="165">
                  <c:v>1499.4312500000001</c:v>
                </c:pt>
                <c:pt idx="166">
                  <c:v>1503.0500000000002</c:v>
                </c:pt>
                <c:pt idx="167">
                  <c:v>1506.66875</c:v>
                </c:pt>
                <c:pt idx="168">
                  <c:v>1510.2874999999999</c:v>
                </c:pt>
                <c:pt idx="169">
                  <c:v>1513.90625</c:v>
                </c:pt>
                <c:pt idx="170">
                  <c:v>1517.5250000000001</c:v>
                </c:pt>
                <c:pt idx="171">
                  <c:v>1521.1437500000002</c:v>
                </c:pt>
                <c:pt idx="172">
                  <c:v>1524.7625</c:v>
                </c:pt>
                <c:pt idx="173">
                  <c:v>1528.3812499999999</c:v>
                </c:pt>
                <c:pt idx="174">
                  <c:v>1532</c:v>
                </c:pt>
                <c:pt idx="175">
                  <c:v>1535.6187500000001</c:v>
                </c:pt>
                <c:pt idx="176">
                  <c:v>1539.2375000000002</c:v>
                </c:pt>
                <c:pt idx="177">
                  <c:v>1542.85625</c:v>
                </c:pt>
                <c:pt idx="178">
                  <c:v>1546.4749999999999</c:v>
                </c:pt>
                <c:pt idx="179">
                  <c:v>1550.09375</c:v>
                </c:pt>
                <c:pt idx="180">
                  <c:v>1553.7125000000001</c:v>
                </c:pt>
                <c:pt idx="181">
                  <c:v>1557.3312500000002</c:v>
                </c:pt>
                <c:pt idx="182">
                  <c:v>1560.95</c:v>
                </c:pt>
                <c:pt idx="183">
                  <c:v>1564.5687499999999</c:v>
                </c:pt>
                <c:pt idx="184">
                  <c:v>1568.1875</c:v>
                </c:pt>
                <c:pt idx="185">
                  <c:v>1571.8062500000001</c:v>
                </c:pt>
                <c:pt idx="186">
                  <c:v>1575.4250000000002</c:v>
                </c:pt>
                <c:pt idx="187">
                  <c:v>1579.04375</c:v>
                </c:pt>
                <c:pt idx="188">
                  <c:v>1582.6624999999999</c:v>
                </c:pt>
                <c:pt idx="189">
                  <c:v>1586.28125</c:v>
                </c:pt>
                <c:pt idx="190">
                  <c:v>1589.9</c:v>
                </c:pt>
                <c:pt idx="191">
                  <c:v>1593.5187500000002</c:v>
                </c:pt>
                <c:pt idx="192">
                  <c:v>1597.1375</c:v>
                </c:pt>
                <c:pt idx="193">
                  <c:v>1600.7562499999999</c:v>
                </c:pt>
                <c:pt idx="194">
                  <c:v>1604.375</c:v>
                </c:pt>
                <c:pt idx="195">
                  <c:v>1607.9937500000001</c:v>
                </c:pt>
                <c:pt idx="196">
                  <c:v>1611.6125000000002</c:v>
                </c:pt>
                <c:pt idx="197">
                  <c:v>1615.23125</c:v>
                </c:pt>
                <c:pt idx="198">
                  <c:v>1618.85</c:v>
                </c:pt>
                <c:pt idx="199">
                  <c:v>1622.46875</c:v>
                </c:pt>
                <c:pt idx="200">
                  <c:v>1626.0875000000001</c:v>
                </c:pt>
                <c:pt idx="201">
                  <c:v>1629.7062500000002</c:v>
                </c:pt>
                <c:pt idx="202">
                  <c:v>1633.325</c:v>
                </c:pt>
                <c:pt idx="203">
                  <c:v>1636.9437499999999</c:v>
                </c:pt>
                <c:pt idx="204">
                  <c:v>1640.5625</c:v>
                </c:pt>
                <c:pt idx="205">
                  <c:v>1644.1812500000001</c:v>
                </c:pt>
                <c:pt idx="206">
                  <c:v>1647.8000000000002</c:v>
                </c:pt>
                <c:pt idx="207">
                  <c:v>1651.41875</c:v>
                </c:pt>
                <c:pt idx="208">
                  <c:v>1655.0374999999999</c:v>
                </c:pt>
                <c:pt idx="209">
                  <c:v>1658.65625</c:v>
                </c:pt>
                <c:pt idx="210">
                  <c:v>1662.2750000000001</c:v>
                </c:pt>
                <c:pt idx="211">
                  <c:v>1665.8937500000002</c:v>
                </c:pt>
                <c:pt idx="212">
                  <c:v>1669.5125</c:v>
                </c:pt>
                <c:pt idx="213">
                  <c:v>1673.1312499999999</c:v>
                </c:pt>
                <c:pt idx="214">
                  <c:v>1676.75</c:v>
                </c:pt>
                <c:pt idx="215">
                  <c:v>1680.3687500000001</c:v>
                </c:pt>
                <c:pt idx="216">
                  <c:v>1683.9875000000002</c:v>
                </c:pt>
                <c:pt idx="217">
                  <c:v>1687.60625</c:v>
                </c:pt>
                <c:pt idx="218">
                  <c:v>1691.2249999999999</c:v>
                </c:pt>
                <c:pt idx="219">
                  <c:v>1694.84375</c:v>
                </c:pt>
                <c:pt idx="220">
                  <c:v>1698.4625000000001</c:v>
                </c:pt>
                <c:pt idx="221">
                  <c:v>1702.0812500000002</c:v>
                </c:pt>
                <c:pt idx="222">
                  <c:v>1705.7</c:v>
                </c:pt>
                <c:pt idx="223">
                  <c:v>1709.3187499999999</c:v>
                </c:pt>
              </c:numCache>
            </c:numRef>
          </c:xVal>
          <c:yVal>
            <c:numRef>
              <c:f>Analysis!$K$42:$K$265</c:f>
              <c:numCache>
                <c:formatCode>0.000</c:formatCode>
                <c:ptCount val="224"/>
                <c:pt idx="0">
                  <c:v>0.98737054811821168</c:v>
                </c:pt>
                <c:pt idx="1">
                  <c:v>0.98634294385432475</c:v>
                </c:pt>
                <c:pt idx="2">
                  <c:v>0.98456868201366055</c:v>
                </c:pt>
                <c:pt idx="3">
                  <c:v>0.98456477732793524</c:v>
                </c:pt>
                <c:pt idx="4">
                  <c:v>0.98430379746835439</c:v>
                </c:pt>
                <c:pt idx="5">
                  <c:v>0.98506329113924052</c:v>
                </c:pt>
                <c:pt idx="6">
                  <c:v>0.98607594936708864</c:v>
                </c:pt>
                <c:pt idx="7">
                  <c:v>0.98633257403189067</c:v>
                </c:pt>
                <c:pt idx="8">
                  <c:v>0.98709187547456345</c:v>
                </c:pt>
                <c:pt idx="9">
                  <c:v>0.98709840627371614</c:v>
                </c:pt>
                <c:pt idx="10">
                  <c:v>0.98861336032388669</c:v>
                </c:pt>
                <c:pt idx="11">
                  <c:v>0.98988110295977738</c:v>
                </c:pt>
                <c:pt idx="12">
                  <c:v>0.98963861511245899</c:v>
                </c:pt>
                <c:pt idx="13">
                  <c:v>0.99090449722081864</c:v>
                </c:pt>
                <c:pt idx="14">
                  <c:v>0.99191919191919187</c:v>
                </c:pt>
                <c:pt idx="15">
                  <c:v>0.99268231138026752</c:v>
                </c:pt>
                <c:pt idx="16">
                  <c:v>0.99319041614123582</c:v>
                </c:pt>
                <c:pt idx="17">
                  <c:v>0.99344758064516125</c:v>
                </c:pt>
                <c:pt idx="18">
                  <c:v>0.99395313681027964</c:v>
                </c:pt>
                <c:pt idx="19">
                  <c:v>0.9944598337950139</c:v>
                </c:pt>
                <c:pt idx="20">
                  <c:v>0.99421092373521269</c:v>
                </c:pt>
                <c:pt idx="21">
                  <c:v>0.99471565173628584</c:v>
                </c:pt>
                <c:pt idx="22">
                  <c:v>0.99497108373145582</c:v>
                </c:pt>
                <c:pt idx="23">
                  <c:v>0.99472229203317419</c:v>
                </c:pt>
                <c:pt idx="24">
                  <c:v>0.99522493088715758</c:v>
                </c:pt>
                <c:pt idx="25">
                  <c:v>0.99547852298417483</c:v>
                </c:pt>
                <c:pt idx="26">
                  <c:v>0.99572971615172068</c:v>
                </c:pt>
                <c:pt idx="27">
                  <c:v>0.99573186040672856</c:v>
                </c:pt>
                <c:pt idx="28">
                  <c:v>0.99573400250941024</c:v>
                </c:pt>
                <c:pt idx="29">
                  <c:v>0.99598595082789765</c:v>
                </c:pt>
                <c:pt idx="30">
                  <c:v>0.9957372116349047</c:v>
                </c:pt>
                <c:pt idx="31">
                  <c:v>0.99623965906242162</c:v>
                </c:pt>
                <c:pt idx="32">
                  <c:v>0.99674185463659148</c:v>
                </c:pt>
                <c:pt idx="33">
                  <c:v>0.99599198396793587</c:v>
                </c:pt>
                <c:pt idx="34">
                  <c:v>0.99599298772852496</c:v>
                </c:pt>
                <c:pt idx="35">
                  <c:v>0.99624342599549209</c:v>
                </c:pt>
                <c:pt idx="36">
                  <c:v>0.9964947421131698</c:v>
                </c:pt>
                <c:pt idx="37">
                  <c:v>0.99649649649649652</c:v>
                </c:pt>
                <c:pt idx="38">
                  <c:v>0.99674756067050285</c:v>
                </c:pt>
                <c:pt idx="39">
                  <c:v>0.99674918729682416</c:v>
                </c:pt>
                <c:pt idx="40">
                  <c:v>0.99700074981254683</c:v>
                </c:pt>
                <c:pt idx="41">
                  <c:v>0.99700149925037485</c:v>
                </c:pt>
                <c:pt idx="42">
                  <c:v>0.99700149925037485</c:v>
                </c:pt>
                <c:pt idx="43">
                  <c:v>0.99675243567324512</c:v>
                </c:pt>
                <c:pt idx="44">
                  <c:v>0.99700299700299699</c:v>
                </c:pt>
                <c:pt idx="45">
                  <c:v>0.99700374531835201</c:v>
                </c:pt>
                <c:pt idx="46">
                  <c:v>0.99700449326010987</c:v>
                </c:pt>
                <c:pt idx="47">
                  <c:v>0.99700449326010987</c:v>
                </c:pt>
                <c:pt idx="48">
                  <c:v>0.99725480409283751</c:v>
                </c:pt>
                <c:pt idx="49">
                  <c:v>0.99725480409283751</c:v>
                </c:pt>
                <c:pt idx="50">
                  <c:v>0.997504367357125</c:v>
                </c:pt>
                <c:pt idx="51">
                  <c:v>0.99775393062141249</c:v>
                </c:pt>
                <c:pt idx="52">
                  <c:v>0.99825305714998758</c:v>
                </c:pt>
                <c:pt idx="53">
                  <c:v>0.99800399201596801</c:v>
                </c:pt>
                <c:pt idx="54">
                  <c:v>0.99875156054931336</c:v>
                </c:pt>
                <c:pt idx="55">
                  <c:v>0.99875187219171246</c:v>
                </c:pt>
                <c:pt idx="56">
                  <c:v>0.99875218367856256</c:v>
                </c:pt>
                <c:pt idx="57">
                  <c:v>0.99925112331502741</c:v>
                </c:pt>
                <c:pt idx="58">
                  <c:v>0.99975037443834247</c:v>
                </c:pt>
                <c:pt idx="59">
                  <c:v>0.99950074887668494</c:v>
                </c:pt>
                <c:pt idx="60">
                  <c:v>0.99925131020713753</c:v>
                </c:pt>
                <c:pt idx="61">
                  <c:v>0.99975037443834247</c:v>
                </c:pt>
                <c:pt idx="62">
                  <c:v>0.99975043673571251</c:v>
                </c:pt>
                <c:pt idx="63">
                  <c:v>1</c:v>
                </c:pt>
                <c:pt idx="64">
                  <c:v>1.0002496255616575</c:v>
                </c:pt>
                <c:pt idx="65">
                  <c:v>1</c:v>
                </c:pt>
                <c:pt idx="66">
                  <c:v>0.99975043673571251</c:v>
                </c:pt>
                <c:pt idx="67">
                  <c:v>0.99975043673571251</c:v>
                </c:pt>
                <c:pt idx="68">
                  <c:v>0.99975043673571251</c:v>
                </c:pt>
                <c:pt idx="69">
                  <c:v>1.0002496255616575</c:v>
                </c:pt>
                <c:pt idx="70">
                  <c:v>1.0002496255616575</c:v>
                </c:pt>
                <c:pt idx="71">
                  <c:v>1.0002496255616575</c:v>
                </c:pt>
                <c:pt idx="72">
                  <c:v>0.99975043673571251</c:v>
                </c:pt>
                <c:pt idx="73">
                  <c:v>0.99975043673571251</c:v>
                </c:pt>
                <c:pt idx="74">
                  <c:v>1</c:v>
                </c:pt>
                <c:pt idx="75">
                  <c:v>0.99975043673571251</c:v>
                </c:pt>
                <c:pt idx="76">
                  <c:v>1.0002496255616575</c:v>
                </c:pt>
                <c:pt idx="77">
                  <c:v>0.99975043673571251</c:v>
                </c:pt>
                <c:pt idx="78">
                  <c:v>1</c:v>
                </c:pt>
                <c:pt idx="79">
                  <c:v>0.99975043673571251</c:v>
                </c:pt>
                <c:pt idx="80">
                  <c:v>0.99975043673571251</c:v>
                </c:pt>
                <c:pt idx="81">
                  <c:v>1</c:v>
                </c:pt>
                <c:pt idx="82">
                  <c:v>0.99975043673571251</c:v>
                </c:pt>
                <c:pt idx="83">
                  <c:v>1</c:v>
                </c:pt>
                <c:pt idx="84">
                  <c:v>0.99975043673571251</c:v>
                </c:pt>
                <c:pt idx="85">
                  <c:v>1.0002496255616575</c:v>
                </c:pt>
                <c:pt idx="86">
                  <c:v>1.0002496255616575</c:v>
                </c:pt>
                <c:pt idx="87">
                  <c:v>1</c:v>
                </c:pt>
                <c:pt idx="88">
                  <c:v>1</c:v>
                </c:pt>
                <c:pt idx="89">
                  <c:v>0.99975043673571251</c:v>
                </c:pt>
                <c:pt idx="90">
                  <c:v>1.0002496255616575</c:v>
                </c:pt>
                <c:pt idx="91">
                  <c:v>1</c:v>
                </c:pt>
                <c:pt idx="92">
                  <c:v>1</c:v>
                </c:pt>
                <c:pt idx="93">
                  <c:v>1.0002496878901372</c:v>
                </c:pt>
                <c:pt idx="94">
                  <c:v>1</c:v>
                </c:pt>
                <c:pt idx="95">
                  <c:v>1</c:v>
                </c:pt>
                <c:pt idx="96">
                  <c:v>0.99975043673571251</c:v>
                </c:pt>
                <c:pt idx="97">
                  <c:v>1.0002496255616575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0.99975043673571251</c:v>
                </c:pt>
                <c:pt idx="103">
                  <c:v>1</c:v>
                </c:pt>
                <c:pt idx="104">
                  <c:v>0.99975043673571251</c:v>
                </c:pt>
                <c:pt idx="105">
                  <c:v>1.0002496255616575</c:v>
                </c:pt>
                <c:pt idx="106">
                  <c:v>0.99975043673571251</c:v>
                </c:pt>
                <c:pt idx="107">
                  <c:v>1</c:v>
                </c:pt>
                <c:pt idx="108">
                  <c:v>1.0002496255616575</c:v>
                </c:pt>
                <c:pt idx="109">
                  <c:v>1.0002496255616575</c:v>
                </c:pt>
                <c:pt idx="110">
                  <c:v>1.0002496255616575</c:v>
                </c:pt>
                <c:pt idx="111">
                  <c:v>1</c:v>
                </c:pt>
                <c:pt idx="112">
                  <c:v>1.0002496255616575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1.0002496255616575</c:v>
                </c:pt>
                <c:pt idx="120">
                  <c:v>1</c:v>
                </c:pt>
                <c:pt idx="121">
                  <c:v>1.0002496255616575</c:v>
                </c:pt>
                <c:pt idx="122">
                  <c:v>0.99975043673571251</c:v>
                </c:pt>
                <c:pt idx="123">
                  <c:v>1.0002496255616575</c:v>
                </c:pt>
                <c:pt idx="124">
                  <c:v>1.0002496255616575</c:v>
                </c:pt>
                <c:pt idx="125">
                  <c:v>1</c:v>
                </c:pt>
                <c:pt idx="126">
                  <c:v>1</c:v>
                </c:pt>
                <c:pt idx="127">
                  <c:v>1.0002496255616575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0.99975043673571251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1.0002496878901372</c:v>
                </c:pt>
                <c:pt idx="138">
                  <c:v>0.99975043673571251</c:v>
                </c:pt>
                <c:pt idx="139">
                  <c:v>1</c:v>
                </c:pt>
                <c:pt idx="140">
                  <c:v>1.0002496255616575</c:v>
                </c:pt>
                <c:pt idx="141">
                  <c:v>1.0002496255616575</c:v>
                </c:pt>
                <c:pt idx="142">
                  <c:v>1</c:v>
                </c:pt>
                <c:pt idx="143">
                  <c:v>1.0002496255616575</c:v>
                </c:pt>
                <c:pt idx="144">
                  <c:v>1.0002496255616575</c:v>
                </c:pt>
                <c:pt idx="145">
                  <c:v>0.99975043673571251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0.99975043673571251</c:v>
                </c:pt>
                <c:pt idx="155">
                  <c:v>1</c:v>
                </c:pt>
                <c:pt idx="156">
                  <c:v>1</c:v>
                </c:pt>
                <c:pt idx="157">
                  <c:v>0.99975043673571251</c:v>
                </c:pt>
                <c:pt idx="158">
                  <c:v>1</c:v>
                </c:pt>
                <c:pt idx="159">
                  <c:v>0.99975043673571251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0.99975043673571251</c:v>
                </c:pt>
                <c:pt idx="169">
                  <c:v>0.99975043673571251</c:v>
                </c:pt>
                <c:pt idx="170">
                  <c:v>1</c:v>
                </c:pt>
                <c:pt idx="171">
                  <c:v>1.0002496255616575</c:v>
                </c:pt>
                <c:pt idx="172">
                  <c:v>1.0002496255616575</c:v>
                </c:pt>
                <c:pt idx="173">
                  <c:v>1</c:v>
                </c:pt>
                <c:pt idx="174">
                  <c:v>1</c:v>
                </c:pt>
                <c:pt idx="175">
                  <c:v>0.99975043673571251</c:v>
                </c:pt>
                <c:pt idx="176">
                  <c:v>1</c:v>
                </c:pt>
                <c:pt idx="177">
                  <c:v>1</c:v>
                </c:pt>
                <c:pt idx="178">
                  <c:v>1.0002496255616575</c:v>
                </c:pt>
                <c:pt idx="179">
                  <c:v>1</c:v>
                </c:pt>
                <c:pt idx="180">
                  <c:v>1</c:v>
                </c:pt>
                <c:pt idx="181">
                  <c:v>1.0002496255616575</c:v>
                </c:pt>
                <c:pt idx="182">
                  <c:v>0.99975043673571251</c:v>
                </c:pt>
                <c:pt idx="183">
                  <c:v>1.0002495009980039</c:v>
                </c:pt>
                <c:pt idx="184">
                  <c:v>1</c:v>
                </c:pt>
                <c:pt idx="185">
                  <c:v>1.0002496255616575</c:v>
                </c:pt>
                <c:pt idx="186">
                  <c:v>0.99975043673571251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0.99975043673571251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0.99975043673571251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1.0002496255616575</c:v>
                </c:pt>
                <c:pt idx="210">
                  <c:v>1.0002496255616575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0.99975043673571251</c:v>
                </c:pt>
                <c:pt idx="215">
                  <c:v>1</c:v>
                </c:pt>
                <c:pt idx="216">
                  <c:v>0.99975043673571251</c:v>
                </c:pt>
                <c:pt idx="217">
                  <c:v>1.0002496255616575</c:v>
                </c:pt>
                <c:pt idx="218">
                  <c:v>1</c:v>
                </c:pt>
                <c:pt idx="219">
                  <c:v>1</c:v>
                </c:pt>
                <c:pt idx="220">
                  <c:v>0.99975043673571251</c:v>
                </c:pt>
                <c:pt idx="221">
                  <c:v>1.0002496255616575</c:v>
                </c:pt>
                <c:pt idx="222">
                  <c:v>0.99975043673571251</c:v>
                </c:pt>
                <c:pt idx="223">
                  <c:v>0.99975037443834247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15-464E-8B55-A5A9C11FDFD5}"/>
            </c:ext>
          </c:extLst>
        </c:ser>
        <c:ser>
          <c:idx val="0"/>
          <c:order val="2"/>
          <c:tx>
            <c:v>MWIR_High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Analysis!$U$34:$U$256</c:f>
              <c:numCache>
                <c:formatCode>General</c:formatCode>
                <c:ptCount val="223"/>
                <c:pt idx="0">
                  <c:v>1560.03125</c:v>
                </c:pt>
                <c:pt idx="1">
                  <c:v>1566.734375</c:v>
                </c:pt>
                <c:pt idx="2">
                  <c:v>1573.4375</c:v>
                </c:pt>
                <c:pt idx="3">
                  <c:v>1580.140625</c:v>
                </c:pt>
                <c:pt idx="4">
                  <c:v>1586.84375</c:v>
                </c:pt>
                <c:pt idx="5">
                  <c:v>1593.546875</c:v>
                </c:pt>
                <c:pt idx="6">
                  <c:v>1600.25</c:v>
                </c:pt>
                <c:pt idx="7">
                  <c:v>1606.953125</c:v>
                </c:pt>
                <c:pt idx="8">
                  <c:v>1613.65625</c:v>
                </c:pt>
                <c:pt idx="9">
                  <c:v>1620.359375</c:v>
                </c:pt>
                <c:pt idx="10">
                  <c:v>1627.0625</c:v>
                </c:pt>
                <c:pt idx="11">
                  <c:v>1633.765625</c:v>
                </c:pt>
                <c:pt idx="12">
                  <c:v>1640.46875</c:v>
                </c:pt>
                <c:pt idx="13">
                  <c:v>1647.171875</c:v>
                </c:pt>
                <c:pt idx="14">
                  <c:v>1653.875</c:v>
                </c:pt>
                <c:pt idx="15">
                  <c:v>1660.578125</c:v>
                </c:pt>
                <c:pt idx="16">
                  <c:v>1667.28125</c:v>
                </c:pt>
                <c:pt idx="17">
                  <c:v>1673.984375</c:v>
                </c:pt>
                <c:pt idx="18">
                  <c:v>1680.6875</c:v>
                </c:pt>
                <c:pt idx="19">
                  <c:v>1687.390625</c:v>
                </c:pt>
                <c:pt idx="20">
                  <c:v>1694.09375</c:v>
                </c:pt>
                <c:pt idx="21">
                  <c:v>1700.796875</c:v>
                </c:pt>
                <c:pt idx="22">
                  <c:v>1707.5</c:v>
                </c:pt>
                <c:pt idx="23">
                  <c:v>1714.203125</c:v>
                </c:pt>
                <c:pt idx="24">
                  <c:v>1720.90625</c:v>
                </c:pt>
                <c:pt idx="25">
                  <c:v>1727.609375</c:v>
                </c:pt>
                <c:pt idx="26">
                  <c:v>1734.3125</c:v>
                </c:pt>
                <c:pt idx="27">
                  <c:v>1741.015625</c:v>
                </c:pt>
                <c:pt idx="28">
                  <c:v>1747.71875</c:v>
                </c:pt>
                <c:pt idx="29">
                  <c:v>1754.421875</c:v>
                </c:pt>
                <c:pt idx="30">
                  <c:v>1761.125</c:v>
                </c:pt>
                <c:pt idx="31">
                  <c:v>1767.828125</c:v>
                </c:pt>
                <c:pt idx="32">
                  <c:v>1774.53125</c:v>
                </c:pt>
                <c:pt idx="33">
                  <c:v>1781.234375</c:v>
                </c:pt>
                <c:pt idx="34">
                  <c:v>1787.9375</c:v>
                </c:pt>
                <c:pt idx="35">
                  <c:v>1794.640625</c:v>
                </c:pt>
                <c:pt idx="36">
                  <c:v>1801.34375</c:v>
                </c:pt>
                <c:pt idx="37">
                  <c:v>1808.046875</c:v>
                </c:pt>
                <c:pt idx="38">
                  <c:v>1814.75</c:v>
                </c:pt>
                <c:pt idx="39">
                  <c:v>1821.453125</c:v>
                </c:pt>
                <c:pt idx="40">
                  <c:v>1828.15625</c:v>
                </c:pt>
                <c:pt idx="41">
                  <c:v>1834.859375</c:v>
                </c:pt>
                <c:pt idx="42">
                  <c:v>1841.5625</c:v>
                </c:pt>
                <c:pt idx="43">
                  <c:v>1848.265625</c:v>
                </c:pt>
                <c:pt idx="44">
                  <c:v>1854.96875</c:v>
                </c:pt>
                <c:pt idx="45">
                  <c:v>1861.671875</c:v>
                </c:pt>
                <c:pt idx="46">
                  <c:v>1868.375</c:v>
                </c:pt>
                <c:pt idx="47">
                  <c:v>1875.078125</c:v>
                </c:pt>
                <c:pt idx="48">
                  <c:v>1881.78125</c:v>
                </c:pt>
                <c:pt idx="49">
                  <c:v>1888.484375</c:v>
                </c:pt>
                <c:pt idx="50">
                  <c:v>1895.1875</c:v>
                </c:pt>
                <c:pt idx="51">
                  <c:v>1901.890625</c:v>
                </c:pt>
                <c:pt idx="52">
                  <c:v>1908.59375</c:v>
                </c:pt>
                <c:pt idx="53">
                  <c:v>1915.296875</c:v>
                </c:pt>
                <c:pt idx="54">
                  <c:v>1922</c:v>
                </c:pt>
                <c:pt idx="55">
                  <c:v>1928.703125</c:v>
                </c:pt>
                <c:pt idx="56">
                  <c:v>1935.40625</c:v>
                </c:pt>
                <c:pt idx="57">
                  <c:v>1942.109375</c:v>
                </c:pt>
                <c:pt idx="58">
                  <c:v>1948.8125</c:v>
                </c:pt>
                <c:pt idx="59">
                  <c:v>1955.515625</c:v>
                </c:pt>
                <c:pt idx="60">
                  <c:v>1962.21875</c:v>
                </c:pt>
                <c:pt idx="61">
                  <c:v>1968.921875</c:v>
                </c:pt>
                <c:pt idx="62">
                  <c:v>1975.625</c:v>
                </c:pt>
                <c:pt idx="63">
                  <c:v>1982.328125</c:v>
                </c:pt>
                <c:pt idx="64">
                  <c:v>1989.03125</c:v>
                </c:pt>
                <c:pt idx="65">
                  <c:v>1995.734375</c:v>
                </c:pt>
                <c:pt idx="66">
                  <c:v>2002.4375</c:v>
                </c:pt>
                <c:pt idx="67">
                  <c:v>2009.140625</c:v>
                </c:pt>
                <c:pt idx="68">
                  <c:v>2015.84375</c:v>
                </c:pt>
                <c:pt idx="69">
                  <c:v>2022.546875</c:v>
                </c:pt>
                <c:pt idx="70">
                  <c:v>2029.25</c:v>
                </c:pt>
                <c:pt idx="71">
                  <c:v>2035.953125</c:v>
                </c:pt>
                <c:pt idx="72">
                  <c:v>2042.65625</c:v>
                </c:pt>
                <c:pt idx="73">
                  <c:v>2049.359375</c:v>
                </c:pt>
                <c:pt idx="74">
                  <c:v>2056.0625</c:v>
                </c:pt>
                <c:pt idx="75">
                  <c:v>2062.765625</c:v>
                </c:pt>
                <c:pt idx="76">
                  <c:v>2069.46875</c:v>
                </c:pt>
                <c:pt idx="77">
                  <c:v>2076.171875</c:v>
                </c:pt>
                <c:pt idx="78">
                  <c:v>2082.875</c:v>
                </c:pt>
                <c:pt idx="79">
                  <c:v>2089.578125</c:v>
                </c:pt>
                <c:pt idx="80">
                  <c:v>2096.28125</c:v>
                </c:pt>
                <c:pt idx="81">
                  <c:v>2102.984375</c:v>
                </c:pt>
                <c:pt idx="82">
                  <c:v>2109.6875</c:v>
                </c:pt>
                <c:pt idx="83">
                  <c:v>2116.390625</c:v>
                </c:pt>
                <c:pt idx="84">
                  <c:v>2123.09375</c:v>
                </c:pt>
                <c:pt idx="85">
                  <c:v>2129.796875</c:v>
                </c:pt>
                <c:pt idx="86">
                  <c:v>2136.5</c:v>
                </c:pt>
                <c:pt idx="87">
                  <c:v>2143.203125</c:v>
                </c:pt>
                <c:pt idx="88">
                  <c:v>2149.90625</c:v>
                </c:pt>
                <c:pt idx="89">
                  <c:v>2156.609375</c:v>
                </c:pt>
                <c:pt idx="90">
                  <c:v>2163.3125</c:v>
                </c:pt>
                <c:pt idx="91">
                  <c:v>2170.015625</c:v>
                </c:pt>
                <c:pt idx="92">
                  <c:v>2176.71875</c:v>
                </c:pt>
                <c:pt idx="93">
                  <c:v>2183.421875</c:v>
                </c:pt>
                <c:pt idx="94">
                  <c:v>2190.125</c:v>
                </c:pt>
                <c:pt idx="95">
                  <c:v>2196.828125</c:v>
                </c:pt>
                <c:pt idx="96">
                  <c:v>2203.53125</c:v>
                </c:pt>
                <c:pt idx="97">
                  <c:v>2210.234375</c:v>
                </c:pt>
                <c:pt idx="98">
                  <c:v>2216.9375</c:v>
                </c:pt>
                <c:pt idx="99">
                  <c:v>2223.640625</c:v>
                </c:pt>
                <c:pt idx="100">
                  <c:v>2230.34375</c:v>
                </c:pt>
                <c:pt idx="101">
                  <c:v>2237.046875</c:v>
                </c:pt>
                <c:pt idx="102">
                  <c:v>2243.75</c:v>
                </c:pt>
                <c:pt idx="103">
                  <c:v>2250.453125</c:v>
                </c:pt>
                <c:pt idx="104">
                  <c:v>2257.15625</c:v>
                </c:pt>
                <c:pt idx="105">
                  <c:v>2263.859375</c:v>
                </c:pt>
                <c:pt idx="106">
                  <c:v>2270.5625</c:v>
                </c:pt>
                <c:pt idx="107">
                  <c:v>2277.265625</c:v>
                </c:pt>
                <c:pt idx="108">
                  <c:v>2283.96875</c:v>
                </c:pt>
                <c:pt idx="109">
                  <c:v>2290.671875</c:v>
                </c:pt>
                <c:pt idx="110">
                  <c:v>2297.375</c:v>
                </c:pt>
                <c:pt idx="111">
                  <c:v>2304.078125</c:v>
                </c:pt>
                <c:pt idx="112">
                  <c:v>2310.78125</c:v>
                </c:pt>
                <c:pt idx="113">
                  <c:v>2317.484375</c:v>
                </c:pt>
                <c:pt idx="114">
                  <c:v>2324.1875</c:v>
                </c:pt>
                <c:pt idx="115">
                  <c:v>2330.890625</c:v>
                </c:pt>
                <c:pt idx="116">
                  <c:v>2337.59375</c:v>
                </c:pt>
                <c:pt idx="117">
                  <c:v>2344.296875</c:v>
                </c:pt>
                <c:pt idx="118">
                  <c:v>2351</c:v>
                </c:pt>
                <c:pt idx="119">
                  <c:v>2357.703125</c:v>
                </c:pt>
                <c:pt idx="120">
                  <c:v>2364.40625</c:v>
                </c:pt>
                <c:pt idx="121">
                  <c:v>2371.109375</c:v>
                </c:pt>
                <c:pt idx="122">
                  <c:v>2377.8125</c:v>
                </c:pt>
                <c:pt idx="123">
                  <c:v>2384.515625</c:v>
                </c:pt>
                <c:pt idx="124">
                  <c:v>2391.21875</c:v>
                </c:pt>
                <c:pt idx="125">
                  <c:v>2397.921875</c:v>
                </c:pt>
                <c:pt idx="126">
                  <c:v>2404.625</c:v>
                </c:pt>
                <c:pt idx="127">
                  <c:v>2411.328125</c:v>
                </c:pt>
                <c:pt idx="128">
                  <c:v>2418.03125</c:v>
                </c:pt>
                <c:pt idx="129">
                  <c:v>2424.734375</c:v>
                </c:pt>
                <c:pt idx="130">
                  <c:v>2431.4375</c:v>
                </c:pt>
                <c:pt idx="131">
                  <c:v>2438.140625</c:v>
                </c:pt>
                <c:pt idx="132">
                  <c:v>2444.84375</c:v>
                </c:pt>
                <c:pt idx="133">
                  <c:v>2451.546875</c:v>
                </c:pt>
                <c:pt idx="134">
                  <c:v>2458.25</c:v>
                </c:pt>
                <c:pt idx="135">
                  <c:v>2464.953125</c:v>
                </c:pt>
                <c:pt idx="136">
                  <c:v>2471.65625</c:v>
                </c:pt>
                <c:pt idx="137">
                  <c:v>2478.359375</c:v>
                </c:pt>
                <c:pt idx="138">
                  <c:v>2485.0625</c:v>
                </c:pt>
                <c:pt idx="139">
                  <c:v>2491.765625</c:v>
                </c:pt>
                <c:pt idx="140">
                  <c:v>2498.46875</c:v>
                </c:pt>
                <c:pt idx="141">
                  <c:v>2505.171875</c:v>
                </c:pt>
                <c:pt idx="142">
                  <c:v>2511.875</c:v>
                </c:pt>
                <c:pt idx="143">
                  <c:v>2518.578125</c:v>
                </c:pt>
                <c:pt idx="144">
                  <c:v>2525.28125</c:v>
                </c:pt>
                <c:pt idx="145">
                  <c:v>2531.984375</c:v>
                </c:pt>
                <c:pt idx="146">
                  <c:v>2538.6875</c:v>
                </c:pt>
                <c:pt idx="147">
                  <c:v>2545.390625</c:v>
                </c:pt>
                <c:pt idx="148">
                  <c:v>2552.09375</c:v>
                </c:pt>
                <c:pt idx="149">
                  <c:v>2558.796875</c:v>
                </c:pt>
                <c:pt idx="150">
                  <c:v>2565.5</c:v>
                </c:pt>
                <c:pt idx="151">
                  <c:v>2572.203125</c:v>
                </c:pt>
                <c:pt idx="152">
                  <c:v>2578.90625</c:v>
                </c:pt>
                <c:pt idx="153">
                  <c:v>2585.609375</c:v>
                </c:pt>
                <c:pt idx="154">
                  <c:v>2592.3125</c:v>
                </c:pt>
                <c:pt idx="155">
                  <c:v>2599.015625</c:v>
                </c:pt>
                <c:pt idx="156">
                  <c:v>2605.71875</c:v>
                </c:pt>
                <c:pt idx="157">
                  <c:v>2612.421875</c:v>
                </c:pt>
                <c:pt idx="158">
                  <c:v>2619.125</c:v>
                </c:pt>
                <c:pt idx="159">
                  <c:v>2625.828125</c:v>
                </c:pt>
                <c:pt idx="160">
                  <c:v>2632.53125</c:v>
                </c:pt>
                <c:pt idx="161">
                  <c:v>2639.234375</c:v>
                </c:pt>
                <c:pt idx="162">
                  <c:v>2645.9375</c:v>
                </c:pt>
                <c:pt idx="163">
                  <c:v>2652.640625</c:v>
                </c:pt>
                <c:pt idx="164">
                  <c:v>2659.34375</c:v>
                </c:pt>
                <c:pt idx="165">
                  <c:v>2666.046875</c:v>
                </c:pt>
                <c:pt idx="166">
                  <c:v>2672.75</c:v>
                </c:pt>
                <c:pt idx="167">
                  <c:v>2679.453125</c:v>
                </c:pt>
                <c:pt idx="168">
                  <c:v>2686.15625</c:v>
                </c:pt>
                <c:pt idx="169">
                  <c:v>2692.859375</c:v>
                </c:pt>
                <c:pt idx="170">
                  <c:v>2699.5625</c:v>
                </c:pt>
                <c:pt idx="171">
                  <c:v>2706.265625</c:v>
                </c:pt>
                <c:pt idx="172">
                  <c:v>2712.96875</c:v>
                </c:pt>
                <c:pt idx="173">
                  <c:v>2719.671875</c:v>
                </c:pt>
                <c:pt idx="174">
                  <c:v>2726.375</c:v>
                </c:pt>
                <c:pt idx="175">
                  <c:v>2733.078125</c:v>
                </c:pt>
                <c:pt idx="176">
                  <c:v>2739.78125</c:v>
                </c:pt>
                <c:pt idx="177">
                  <c:v>2746.484375</c:v>
                </c:pt>
                <c:pt idx="178">
                  <c:v>2753.1875</c:v>
                </c:pt>
                <c:pt idx="179">
                  <c:v>2759.890625</c:v>
                </c:pt>
                <c:pt idx="180">
                  <c:v>2766.59375</c:v>
                </c:pt>
                <c:pt idx="181">
                  <c:v>2773.296875</c:v>
                </c:pt>
                <c:pt idx="182">
                  <c:v>2780</c:v>
                </c:pt>
                <c:pt idx="183">
                  <c:v>2786.703125</c:v>
                </c:pt>
                <c:pt idx="184">
                  <c:v>2793.40625</c:v>
                </c:pt>
                <c:pt idx="185">
                  <c:v>2800.109375</c:v>
                </c:pt>
                <c:pt idx="186">
                  <c:v>2806.8125</c:v>
                </c:pt>
                <c:pt idx="187">
                  <c:v>2813.515625</c:v>
                </c:pt>
                <c:pt idx="188">
                  <c:v>2820.21875</c:v>
                </c:pt>
                <c:pt idx="189">
                  <c:v>2826.921875</c:v>
                </c:pt>
                <c:pt idx="190">
                  <c:v>2833.625</c:v>
                </c:pt>
                <c:pt idx="191">
                  <c:v>2840.328125</c:v>
                </c:pt>
                <c:pt idx="192">
                  <c:v>2847.03125</c:v>
                </c:pt>
                <c:pt idx="193">
                  <c:v>2853.734375</c:v>
                </c:pt>
                <c:pt idx="194">
                  <c:v>2860.4375</c:v>
                </c:pt>
                <c:pt idx="195">
                  <c:v>2867.140625</c:v>
                </c:pt>
                <c:pt idx="196">
                  <c:v>2873.84375</c:v>
                </c:pt>
                <c:pt idx="197">
                  <c:v>2880.546875</c:v>
                </c:pt>
                <c:pt idx="198">
                  <c:v>2887.25</c:v>
                </c:pt>
                <c:pt idx="199">
                  <c:v>2893.953125</c:v>
                </c:pt>
                <c:pt idx="200">
                  <c:v>2900.65625</c:v>
                </c:pt>
                <c:pt idx="201">
                  <c:v>2907.359375</c:v>
                </c:pt>
                <c:pt idx="202">
                  <c:v>2914.0625</c:v>
                </c:pt>
                <c:pt idx="203">
                  <c:v>2920.765625</c:v>
                </c:pt>
                <c:pt idx="204">
                  <c:v>2927.46875</c:v>
                </c:pt>
                <c:pt idx="205">
                  <c:v>2934.171875</c:v>
                </c:pt>
                <c:pt idx="206">
                  <c:v>2940.875</c:v>
                </c:pt>
                <c:pt idx="207">
                  <c:v>2947.578125</c:v>
                </c:pt>
                <c:pt idx="208">
                  <c:v>2954.28125</c:v>
                </c:pt>
                <c:pt idx="209">
                  <c:v>2960.984375</c:v>
                </c:pt>
                <c:pt idx="210">
                  <c:v>2967.6875</c:v>
                </c:pt>
                <c:pt idx="211">
                  <c:v>2974.390625</c:v>
                </c:pt>
                <c:pt idx="212">
                  <c:v>2981.09375</c:v>
                </c:pt>
                <c:pt idx="213">
                  <c:v>2987.796875</c:v>
                </c:pt>
                <c:pt idx="214">
                  <c:v>2994.5</c:v>
                </c:pt>
                <c:pt idx="215">
                  <c:v>3001.203125</c:v>
                </c:pt>
                <c:pt idx="216">
                  <c:v>3007.90625</c:v>
                </c:pt>
                <c:pt idx="217">
                  <c:v>3014.609375</c:v>
                </c:pt>
                <c:pt idx="218">
                  <c:v>3021.3125</c:v>
                </c:pt>
                <c:pt idx="219">
                  <c:v>3028.015625</c:v>
                </c:pt>
                <c:pt idx="220">
                  <c:v>3034.71875</c:v>
                </c:pt>
                <c:pt idx="221">
                  <c:v>3041.421875</c:v>
                </c:pt>
                <c:pt idx="222">
                  <c:v>3048.125</c:v>
                </c:pt>
              </c:numCache>
            </c:numRef>
          </c:xVal>
          <c:yVal>
            <c:numRef>
              <c:f>Analysis!$V$34:$V$256</c:f>
              <c:numCache>
                <c:formatCode>General</c:formatCode>
                <c:ptCount val="2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1.0008012820512822</c:v>
                </c:pt>
                <c:pt idx="4">
                  <c:v>1</c:v>
                </c:pt>
                <c:pt idx="5">
                  <c:v>1</c:v>
                </c:pt>
                <c:pt idx="6">
                  <c:v>1.0004426737494467</c:v>
                </c:pt>
                <c:pt idx="7">
                  <c:v>1</c:v>
                </c:pt>
                <c:pt idx="8">
                  <c:v>1.0003598416696653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1.000281848928974</c:v>
                </c:pt>
                <c:pt idx="13">
                  <c:v>1</c:v>
                </c:pt>
                <c:pt idx="14">
                  <c:v>1.0002740476842971</c:v>
                </c:pt>
                <c:pt idx="15">
                  <c:v>1</c:v>
                </c:pt>
                <c:pt idx="16">
                  <c:v>1.0002710761724045</c:v>
                </c:pt>
                <c:pt idx="17">
                  <c:v>0.99972972972972973</c:v>
                </c:pt>
                <c:pt idx="18">
                  <c:v>0.99973024008632316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1.0002702702702704</c:v>
                </c:pt>
                <c:pt idx="25">
                  <c:v>1.000270197243988</c:v>
                </c:pt>
                <c:pt idx="26">
                  <c:v>1.0002705627705628</c:v>
                </c:pt>
                <c:pt idx="27">
                  <c:v>1.000271002710027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0.99972459377581935</c:v>
                </c:pt>
                <c:pt idx="36">
                  <c:v>1.0002761668047502</c:v>
                </c:pt>
                <c:pt idx="37">
                  <c:v>1.0002767017155507</c:v>
                </c:pt>
                <c:pt idx="38">
                  <c:v>0.9997223764575236</c:v>
                </c:pt>
                <c:pt idx="39">
                  <c:v>1</c:v>
                </c:pt>
                <c:pt idx="40">
                  <c:v>1.0002795638803466</c:v>
                </c:pt>
                <c:pt idx="41">
                  <c:v>1</c:v>
                </c:pt>
                <c:pt idx="42">
                  <c:v>0.99971894322653176</c:v>
                </c:pt>
                <c:pt idx="43">
                  <c:v>0.99971791255289144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0.99970768781058172</c:v>
                </c:pt>
                <c:pt idx="51">
                  <c:v>1</c:v>
                </c:pt>
                <c:pt idx="52">
                  <c:v>0.99970414201183433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1.0003210272873195</c:v>
                </c:pt>
                <c:pt idx="63">
                  <c:v>1</c:v>
                </c:pt>
                <c:pt idx="64">
                  <c:v>0.99967298888162193</c:v>
                </c:pt>
                <c:pt idx="65">
                  <c:v>0.99967040210942648</c:v>
                </c:pt>
                <c:pt idx="66">
                  <c:v>1.000332778702163</c:v>
                </c:pt>
                <c:pt idx="67">
                  <c:v>1</c:v>
                </c:pt>
                <c:pt idx="68">
                  <c:v>1.0003392130257802</c:v>
                </c:pt>
                <c:pt idx="69">
                  <c:v>1</c:v>
                </c:pt>
                <c:pt idx="70">
                  <c:v>0.99965576592082617</c:v>
                </c:pt>
                <c:pt idx="71">
                  <c:v>1</c:v>
                </c:pt>
                <c:pt idx="72">
                  <c:v>1.0003478260869565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1.0003524850193868</c:v>
                </c:pt>
                <c:pt idx="82">
                  <c:v>1</c:v>
                </c:pt>
                <c:pt idx="83">
                  <c:v>1.0003511235955056</c:v>
                </c:pt>
                <c:pt idx="84">
                  <c:v>1</c:v>
                </c:pt>
                <c:pt idx="85">
                  <c:v>1</c:v>
                </c:pt>
                <c:pt idx="86">
                  <c:v>0.99965168930686177</c:v>
                </c:pt>
                <c:pt idx="87">
                  <c:v>0.99965193177862866</c:v>
                </c:pt>
                <c:pt idx="88">
                  <c:v>1</c:v>
                </c:pt>
                <c:pt idx="89">
                  <c:v>1.0003461405330565</c:v>
                </c:pt>
                <c:pt idx="90">
                  <c:v>1</c:v>
                </c:pt>
                <c:pt idx="91">
                  <c:v>0.99965505346671268</c:v>
                </c:pt>
                <c:pt idx="92">
                  <c:v>0.99965576592082617</c:v>
                </c:pt>
                <c:pt idx="93">
                  <c:v>1.0003442340791739</c:v>
                </c:pt>
                <c:pt idx="94">
                  <c:v>1.0003441156228492</c:v>
                </c:pt>
                <c:pt idx="95">
                  <c:v>0.99965647543799385</c:v>
                </c:pt>
                <c:pt idx="96">
                  <c:v>1.0003430531732418</c:v>
                </c:pt>
                <c:pt idx="97">
                  <c:v>1</c:v>
                </c:pt>
                <c:pt idx="98">
                  <c:v>1</c:v>
                </c:pt>
                <c:pt idx="99">
                  <c:v>1.0003430531732418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1.0003442340791739</c:v>
                </c:pt>
                <c:pt idx="106">
                  <c:v>0.99965541006202618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1.0003462603878117</c:v>
                </c:pt>
                <c:pt idx="112">
                  <c:v>1</c:v>
                </c:pt>
                <c:pt idx="113">
                  <c:v>1.0003471017007983</c:v>
                </c:pt>
                <c:pt idx="114">
                  <c:v>0.99965253648366925</c:v>
                </c:pt>
                <c:pt idx="115">
                  <c:v>0.99965193177862866</c:v>
                </c:pt>
                <c:pt idx="116">
                  <c:v>1.0003480682213715</c:v>
                </c:pt>
                <c:pt idx="117">
                  <c:v>1</c:v>
                </c:pt>
                <c:pt idx="118">
                  <c:v>0.99965120334844781</c:v>
                </c:pt>
                <c:pt idx="119">
                  <c:v>1</c:v>
                </c:pt>
                <c:pt idx="120">
                  <c:v>1</c:v>
                </c:pt>
                <c:pt idx="121">
                  <c:v>0.99965071603213418</c:v>
                </c:pt>
                <c:pt idx="122">
                  <c:v>1</c:v>
                </c:pt>
                <c:pt idx="123">
                  <c:v>1.0003486750348676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0.99965229485396379</c:v>
                </c:pt>
                <c:pt idx="128">
                  <c:v>1.0003463803255974</c:v>
                </c:pt>
                <c:pt idx="129">
                  <c:v>0.99965469613259672</c:v>
                </c:pt>
                <c:pt idx="130">
                  <c:v>1</c:v>
                </c:pt>
                <c:pt idx="131">
                  <c:v>1.0003429355281208</c:v>
                </c:pt>
                <c:pt idx="132">
                  <c:v>1</c:v>
                </c:pt>
                <c:pt idx="133">
                  <c:v>1.0003404834865508</c:v>
                </c:pt>
                <c:pt idx="134">
                  <c:v>1</c:v>
                </c:pt>
                <c:pt idx="135">
                  <c:v>1</c:v>
                </c:pt>
                <c:pt idx="136">
                  <c:v>1.0003378378378378</c:v>
                </c:pt>
                <c:pt idx="137">
                  <c:v>0.99966341299225847</c:v>
                </c:pt>
                <c:pt idx="138">
                  <c:v>1.0003351206434317</c:v>
                </c:pt>
                <c:pt idx="139">
                  <c:v>1.0003343363423605</c:v>
                </c:pt>
                <c:pt idx="140">
                  <c:v>1</c:v>
                </c:pt>
                <c:pt idx="141">
                  <c:v>1.0003325573661457</c:v>
                </c:pt>
                <c:pt idx="142">
                  <c:v>0.99966865473823729</c:v>
                </c:pt>
                <c:pt idx="143">
                  <c:v>1.0003306878306879</c:v>
                </c:pt>
                <c:pt idx="144">
                  <c:v>0.99966996699669963</c:v>
                </c:pt>
                <c:pt idx="145">
                  <c:v>1.0003292723081989</c:v>
                </c:pt>
                <c:pt idx="146">
                  <c:v>1</c:v>
                </c:pt>
                <c:pt idx="147">
                  <c:v>0.99967180833606828</c:v>
                </c:pt>
                <c:pt idx="148">
                  <c:v>1</c:v>
                </c:pt>
                <c:pt idx="149">
                  <c:v>0.99967256057629339</c:v>
                </c:pt>
                <c:pt idx="150">
                  <c:v>1</c:v>
                </c:pt>
                <c:pt idx="151">
                  <c:v>0.99967341606792948</c:v>
                </c:pt>
                <c:pt idx="152">
                  <c:v>1</c:v>
                </c:pt>
                <c:pt idx="153">
                  <c:v>0.99967437316834906</c:v>
                </c:pt>
                <c:pt idx="154">
                  <c:v>1.0003250975292588</c:v>
                </c:pt>
                <c:pt idx="155">
                  <c:v>0.99967564060979563</c:v>
                </c:pt>
                <c:pt idx="156">
                  <c:v>0.99902723735408561</c:v>
                </c:pt>
                <c:pt idx="157">
                  <c:v>0.99870256243918265</c:v>
                </c:pt>
                <c:pt idx="158">
                  <c:v>0.99805699481865284</c:v>
                </c:pt>
                <c:pt idx="159">
                  <c:v>0.99838240051763183</c:v>
                </c:pt>
                <c:pt idx="160">
                  <c:v>0.99806201550387597</c:v>
                </c:pt>
                <c:pt idx="161">
                  <c:v>0.99774484536082475</c:v>
                </c:pt>
                <c:pt idx="162">
                  <c:v>0.99742433998712166</c:v>
                </c:pt>
                <c:pt idx="163">
                  <c:v>0.99710796915167099</c:v>
                </c:pt>
                <c:pt idx="164">
                  <c:v>0.99679178697465509</c:v>
                </c:pt>
                <c:pt idx="165">
                  <c:v>0.99743671900032038</c:v>
                </c:pt>
                <c:pt idx="166">
                  <c:v>0.99680715197956582</c:v>
                </c:pt>
                <c:pt idx="167">
                  <c:v>0.99744735162731335</c:v>
                </c:pt>
                <c:pt idx="168">
                  <c:v>0.9971355824315723</c:v>
                </c:pt>
                <c:pt idx="169">
                  <c:v>0.99777707208637667</c:v>
                </c:pt>
                <c:pt idx="170">
                  <c:v>0.99778340721975933</c:v>
                </c:pt>
                <c:pt idx="171">
                  <c:v>0.99810665825181444</c:v>
                </c:pt>
                <c:pt idx="172">
                  <c:v>0.99842569269521408</c:v>
                </c:pt>
                <c:pt idx="173">
                  <c:v>0.99874608150470223</c:v>
                </c:pt>
                <c:pt idx="174">
                  <c:v>0.99906425452276981</c:v>
                </c:pt>
                <c:pt idx="175">
                  <c:v>0.99968953741074196</c:v>
                </c:pt>
                <c:pt idx="176">
                  <c:v>0.9996908809891808</c:v>
                </c:pt>
                <c:pt idx="177">
                  <c:v>1</c:v>
                </c:pt>
                <c:pt idx="178">
                  <c:v>1</c:v>
                </c:pt>
                <c:pt idx="179">
                  <c:v>0.99969512195121957</c:v>
                </c:pt>
                <c:pt idx="180">
                  <c:v>1</c:v>
                </c:pt>
                <c:pt idx="181">
                  <c:v>0.99969879518072291</c:v>
                </c:pt>
                <c:pt idx="182">
                  <c:v>0.99970095693779903</c:v>
                </c:pt>
                <c:pt idx="183">
                  <c:v>1</c:v>
                </c:pt>
                <c:pt idx="184">
                  <c:v>1</c:v>
                </c:pt>
                <c:pt idx="185">
                  <c:v>0.99970596883269625</c:v>
                </c:pt>
                <c:pt idx="186">
                  <c:v>1.0002920560747663</c:v>
                </c:pt>
                <c:pt idx="187">
                  <c:v>1.0002901073397157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0.99971558589306031</c:v>
                </c:pt>
                <c:pt idx="192">
                  <c:v>1</c:v>
                </c:pt>
                <c:pt idx="193">
                  <c:v>1.000280662363177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1.0002747252747253</c:v>
                </c:pt>
                <c:pt idx="199">
                  <c:v>1.0002738225629793</c:v>
                </c:pt>
                <c:pt idx="200">
                  <c:v>1.0002728512960437</c:v>
                </c:pt>
                <c:pt idx="201">
                  <c:v>1</c:v>
                </c:pt>
                <c:pt idx="202">
                  <c:v>1.0002711496746204</c:v>
                </c:pt>
                <c:pt idx="203">
                  <c:v>1</c:v>
                </c:pt>
                <c:pt idx="204">
                  <c:v>0.99973067600323184</c:v>
                </c:pt>
                <c:pt idx="205">
                  <c:v>0.99973154362416106</c:v>
                </c:pt>
                <c:pt idx="206">
                  <c:v>1.000267881060809</c:v>
                </c:pt>
                <c:pt idx="207">
                  <c:v>1</c:v>
                </c:pt>
                <c:pt idx="208">
                  <c:v>1.0002663825253064</c:v>
                </c:pt>
                <c:pt idx="209">
                  <c:v>1.0002657454158916</c:v>
                </c:pt>
                <c:pt idx="210">
                  <c:v>1.0002653223666755</c:v>
                </c:pt>
                <c:pt idx="211">
                  <c:v>1.0002647603918453</c:v>
                </c:pt>
                <c:pt idx="212">
                  <c:v>0.99973614775725594</c:v>
                </c:pt>
                <c:pt idx="213">
                  <c:v>1</c:v>
                </c:pt>
                <c:pt idx="214">
                  <c:v>1.0002632964718272</c:v>
                </c:pt>
                <c:pt idx="215">
                  <c:v>0.99973698053655968</c:v>
                </c:pt>
                <c:pt idx="216">
                  <c:v>1.0002626050420169</c:v>
                </c:pt>
                <c:pt idx="217">
                  <c:v>1</c:v>
                </c:pt>
                <c:pt idx="218">
                  <c:v>1</c:v>
                </c:pt>
                <c:pt idx="219">
                  <c:v>1.0002626740215392</c:v>
                </c:pt>
                <c:pt idx="220">
                  <c:v>0.99973732597846077</c:v>
                </c:pt>
                <c:pt idx="221">
                  <c:v>1.0002623983206507</c:v>
                </c:pt>
                <c:pt idx="2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5-464E-8B55-A5A9C11FDFD5}"/>
            </c:ext>
          </c:extLst>
        </c:ser>
        <c:ser>
          <c:idx val="1"/>
          <c:order val="3"/>
          <c:tx>
            <c:v>MWIR_Med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Analysis!$U$34:$U$256</c:f>
              <c:numCache>
                <c:formatCode>General</c:formatCode>
                <c:ptCount val="223"/>
                <c:pt idx="0">
                  <c:v>1560.03125</c:v>
                </c:pt>
                <c:pt idx="1">
                  <c:v>1566.734375</c:v>
                </c:pt>
                <c:pt idx="2">
                  <c:v>1573.4375</c:v>
                </c:pt>
                <c:pt idx="3">
                  <c:v>1580.140625</c:v>
                </c:pt>
                <c:pt idx="4">
                  <c:v>1586.84375</c:v>
                </c:pt>
                <c:pt idx="5">
                  <c:v>1593.546875</c:v>
                </c:pt>
                <c:pt idx="6">
                  <c:v>1600.25</c:v>
                </c:pt>
                <c:pt idx="7">
                  <c:v>1606.953125</c:v>
                </c:pt>
                <c:pt idx="8">
                  <c:v>1613.65625</c:v>
                </c:pt>
                <c:pt idx="9">
                  <c:v>1620.359375</c:v>
                </c:pt>
                <c:pt idx="10">
                  <c:v>1627.0625</c:v>
                </c:pt>
                <c:pt idx="11">
                  <c:v>1633.765625</c:v>
                </c:pt>
                <c:pt idx="12">
                  <c:v>1640.46875</c:v>
                </c:pt>
                <c:pt idx="13">
                  <c:v>1647.171875</c:v>
                </c:pt>
                <c:pt idx="14">
                  <c:v>1653.875</c:v>
                </c:pt>
                <c:pt idx="15">
                  <c:v>1660.578125</c:v>
                </c:pt>
                <c:pt idx="16">
                  <c:v>1667.28125</c:v>
                </c:pt>
                <c:pt idx="17">
                  <c:v>1673.984375</c:v>
                </c:pt>
                <c:pt idx="18">
                  <c:v>1680.6875</c:v>
                </c:pt>
                <c:pt idx="19">
                  <c:v>1687.390625</c:v>
                </c:pt>
                <c:pt idx="20">
                  <c:v>1694.09375</c:v>
                </c:pt>
                <c:pt idx="21">
                  <c:v>1700.796875</c:v>
                </c:pt>
                <c:pt idx="22">
                  <c:v>1707.5</c:v>
                </c:pt>
                <c:pt idx="23">
                  <c:v>1714.203125</c:v>
                </c:pt>
                <c:pt idx="24">
                  <c:v>1720.90625</c:v>
                </c:pt>
                <c:pt idx="25">
                  <c:v>1727.609375</c:v>
                </c:pt>
                <c:pt idx="26">
                  <c:v>1734.3125</c:v>
                </c:pt>
                <c:pt idx="27">
                  <c:v>1741.015625</c:v>
                </c:pt>
                <c:pt idx="28">
                  <c:v>1747.71875</c:v>
                </c:pt>
                <c:pt idx="29">
                  <c:v>1754.421875</c:v>
                </c:pt>
                <c:pt idx="30">
                  <c:v>1761.125</c:v>
                </c:pt>
                <c:pt idx="31">
                  <c:v>1767.828125</c:v>
                </c:pt>
                <c:pt idx="32">
                  <c:v>1774.53125</c:v>
                </c:pt>
                <c:pt idx="33">
                  <c:v>1781.234375</c:v>
                </c:pt>
                <c:pt idx="34">
                  <c:v>1787.9375</c:v>
                </c:pt>
                <c:pt idx="35">
                  <c:v>1794.640625</c:v>
                </c:pt>
                <c:pt idx="36">
                  <c:v>1801.34375</c:v>
                </c:pt>
                <c:pt idx="37">
                  <c:v>1808.046875</c:v>
                </c:pt>
                <c:pt idx="38">
                  <c:v>1814.75</c:v>
                </c:pt>
                <c:pt idx="39">
                  <c:v>1821.453125</c:v>
                </c:pt>
                <c:pt idx="40">
                  <c:v>1828.15625</c:v>
                </c:pt>
                <c:pt idx="41">
                  <c:v>1834.859375</c:v>
                </c:pt>
                <c:pt idx="42">
                  <c:v>1841.5625</c:v>
                </c:pt>
                <c:pt idx="43">
                  <c:v>1848.265625</c:v>
                </c:pt>
                <c:pt idx="44">
                  <c:v>1854.96875</c:v>
                </c:pt>
                <c:pt idx="45">
                  <c:v>1861.671875</c:v>
                </c:pt>
                <c:pt idx="46">
                  <c:v>1868.375</c:v>
                </c:pt>
                <c:pt idx="47">
                  <c:v>1875.078125</c:v>
                </c:pt>
                <c:pt idx="48">
                  <c:v>1881.78125</c:v>
                </c:pt>
                <c:pt idx="49">
                  <c:v>1888.484375</c:v>
                </c:pt>
                <c:pt idx="50">
                  <c:v>1895.1875</c:v>
                </c:pt>
                <c:pt idx="51">
                  <c:v>1901.890625</c:v>
                </c:pt>
                <c:pt idx="52">
                  <c:v>1908.59375</c:v>
                </c:pt>
                <c:pt idx="53">
                  <c:v>1915.296875</c:v>
                </c:pt>
                <c:pt idx="54">
                  <c:v>1922</c:v>
                </c:pt>
                <c:pt idx="55">
                  <c:v>1928.703125</c:v>
                </c:pt>
                <c:pt idx="56">
                  <c:v>1935.40625</c:v>
                </c:pt>
                <c:pt idx="57">
                  <c:v>1942.109375</c:v>
                </c:pt>
                <c:pt idx="58">
                  <c:v>1948.8125</c:v>
                </c:pt>
                <c:pt idx="59">
                  <c:v>1955.515625</c:v>
                </c:pt>
                <c:pt idx="60">
                  <c:v>1962.21875</c:v>
                </c:pt>
                <c:pt idx="61">
                  <c:v>1968.921875</c:v>
                </c:pt>
                <c:pt idx="62">
                  <c:v>1975.625</c:v>
                </c:pt>
                <c:pt idx="63">
                  <c:v>1982.328125</c:v>
                </c:pt>
                <c:pt idx="64">
                  <c:v>1989.03125</c:v>
                </c:pt>
                <c:pt idx="65">
                  <c:v>1995.734375</c:v>
                </c:pt>
                <c:pt idx="66">
                  <c:v>2002.4375</c:v>
                </c:pt>
                <c:pt idx="67">
                  <c:v>2009.140625</c:v>
                </c:pt>
                <c:pt idx="68">
                  <c:v>2015.84375</c:v>
                </c:pt>
                <c:pt idx="69">
                  <c:v>2022.546875</c:v>
                </c:pt>
                <c:pt idx="70">
                  <c:v>2029.25</c:v>
                </c:pt>
                <c:pt idx="71">
                  <c:v>2035.953125</c:v>
                </c:pt>
                <c:pt idx="72">
                  <c:v>2042.65625</c:v>
                </c:pt>
                <c:pt idx="73">
                  <c:v>2049.359375</c:v>
                </c:pt>
                <c:pt idx="74">
                  <c:v>2056.0625</c:v>
                </c:pt>
                <c:pt idx="75">
                  <c:v>2062.765625</c:v>
                </c:pt>
                <c:pt idx="76">
                  <c:v>2069.46875</c:v>
                </c:pt>
                <c:pt idx="77">
                  <c:v>2076.171875</c:v>
                </c:pt>
                <c:pt idx="78">
                  <c:v>2082.875</c:v>
                </c:pt>
                <c:pt idx="79">
                  <c:v>2089.578125</c:v>
                </c:pt>
                <c:pt idx="80">
                  <c:v>2096.28125</c:v>
                </c:pt>
                <c:pt idx="81">
                  <c:v>2102.984375</c:v>
                </c:pt>
                <c:pt idx="82">
                  <c:v>2109.6875</c:v>
                </c:pt>
                <c:pt idx="83">
                  <c:v>2116.390625</c:v>
                </c:pt>
                <c:pt idx="84">
                  <c:v>2123.09375</c:v>
                </c:pt>
                <c:pt idx="85">
                  <c:v>2129.796875</c:v>
                </c:pt>
                <c:pt idx="86">
                  <c:v>2136.5</c:v>
                </c:pt>
                <c:pt idx="87">
                  <c:v>2143.203125</c:v>
                </c:pt>
                <c:pt idx="88">
                  <c:v>2149.90625</c:v>
                </c:pt>
                <c:pt idx="89">
                  <c:v>2156.609375</c:v>
                </c:pt>
                <c:pt idx="90">
                  <c:v>2163.3125</c:v>
                </c:pt>
                <c:pt idx="91">
                  <c:v>2170.015625</c:v>
                </c:pt>
                <c:pt idx="92">
                  <c:v>2176.71875</c:v>
                </c:pt>
                <c:pt idx="93">
                  <c:v>2183.421875</c:v>
                </c:pt>
                <c:pt idx="94">
                  <c:v>2190.125</c:v>
                </c:pt>
                <c:pt idx="95">
                  <c:v>2196.828125</c:v>
                </c:pt>
                <c:pt idx="96">
                  <c:v>2203.53125</c:v>
                </c:pt>
                <c:pt idx="97">
                  <c:v>2210.234375</c:v>
                </c:pt>
                <c:pt idx="98">
                  <c:v>2216.9375</c:v>
                </c:pt>
                <c:pt idx="99">
                  <c:v>2223.640625</c:v>
                </c:pt>
                <c:pt idx="100">
                  <c:v>2230.34375</c:v>
                </c:pt>
                <c:pt idx="101">
                  <c:v>2237.046875</c:v>
                </c:pt>
                <c:pt idx="102">
                  <c:v>2243.75</c:v>
                </c:pt>
                <c:pt idx="103">
                  <c:v>2250.453125</c:v>
                </c:pt>
                <c:pt idx="104">
                  <c:v>2257.15625</c:v>
                </c:pt>
                <c:pt idx="105">
                  <c:v>2263.859375</c:v>
                </c:pt>
                <c:pt idx="106">
                  <c:v>2270.5625</c:v>
                </c:pt>
                <c:pt idx="107">
                  <c:v>2277.265625</c:v>
                </c:pt>
                <c:pt idx="108">
                  <c:v>2283.96875</c:v>
                </c:pt>
                <c:pt idx="109">
                  <c:v>2290.671875</c:v>
                </c:pt>
                <c:pt idx="110">
                  <c:v>2297.375</c:v>
                </c:pt>
                <c:pt idx="111">
                  <c:v>2304.078125</c:v>
                </c:pt>
                <c:pt idx="112">
                  <c:v>2310.78125</c:v>
                </c:pt>
                <c:pt idx="113">
                  <c:v>2317.484375</c:v>
                </c:pt>
                <c:pt idx="114">
                  <c:v>2324.1875</c:v>
                </c:pt>
                <c:pt idx="115">
                  <c:v>2330.890625</c:v>
                </c:pt>
                <c:pt idx="116">
                  <c:v>2337.59375</c:v>
                </c:pt>
                <c:pt idx="117">
                  <c:v>2344.296875</c:v>
                </c:pt>
                <c:pt idx="118">
                  <c:v>2351</c:v>
                </c:pt>
                <c:pt idx="119">
                  <c:v>2357.703125</c:v>
                </c:pt>
                <c:pt idx="120">
                  <c:v>2364.40625</c:v>
                </c:pt>
                <c:pt idx="121">
                  <c:v>2371.109375</c:v>
                </c:pt>
                <c:pt idx="122">
                  <c:v>2377.8125</c:v>
                </c:pt>
                <c:pt idx="123">
                  <c:v>2384.515625</c:v>
                </c:pt>
                <c:pt idx="124">
                  <c:v>2391.21875</c:v>
                </c:pt>
                <c:pt idx="125">
                  <c:v>2397.921875</c:v>
                </c:pt>
                <c:pt idx="126">
                  <c:v>2404.625</c:v>
                </c:pt>
                <c:pt idx="127">
                  <c:v>2411.328125</c:v>
                </c:pt>
                <c:pt idx="128">
                  <c:v>2418.03125</c:v>
                </c:pt>
                <c:pt idx="129">
                  <c:v>2424.734375</c:v>
                </c:pt>
                <c:pt idx="130">
                  <c:v>2431.4375</c:v>
                </c:pt>
                <c:pt idx="131">
                  <c:v>2438.140625</c:v>
                </c:pt>
                <c:pt idx="132">
                  <c:v>2444.84375</c:v>
                </c:pt>
                <c:pt idx="133">
                  <c:v>2451.546875</c:v>
                </c:pt>
                <c:pt idx="134">
                  <c:v>2458.25</c:v>
                </c:pt>
                <c:pt idx="135">
                  <c:v>2464.953125</c:v>
                </c:pt>
                <c:pt idx="136">
                  <c:v>2471.65625</c:v>
                </c:pt>
                <c:pt idx="137">
                  <c:v>2478.359375</c:v>
                </c:pt>
                <c:pt idx="138">
                  <c:v>2485.0625</c:v>
                </c:pt>
                <c:pt idx="139">
                  <c:v>2491.765625</c:v>
                </c:pt>
                <c:pt idx="140">
                  <c:v>2498.46875</c:v>
                </c:pt>
                <c:pt idx="141">
                  <c:v>2505.171875</c:v>
                </c:pt>
                <c:pt idx="142">
                  <c:v>2511.875</c:v>
                </c:pt>
                <c:pt idx="143">
                  <c:v>2518.578125</c:v>
                </c:pt>
                <c:pt idx="144">
                  <c:v>2525.28125</c:v>
                </c:pt>
                <c:pt idx="145">
                  <c:v>2531.984375</c:v>
                </c:pt>
                <c:pt idx="146">
                  <c:v>2538.6875</c:v>
                </c:pt>
                <c:pt idx="147">
                  <c:v>2545.390625</c:v>
                </c:pt>
                <c:pt idx="148">
                  <c:v>2552.09375</c:v>
                </c:pt>
                <c:pt idx="149">
                  <c:v>2558.796875</c:v>
                </c:pt>
                <c:pt idx="150">
                  <c:v>2565.5</c:v>
                </c:pt>
                <c:pt idx="151">
                  <c:v>2572.203125</c:v>
                </c:pt>
                <c:pt idx="152">
                  <c:v>2578.90625</c:v>
                </c:pt>
                <c:pt idx="153">
                  <c:v>2585.609375</c:v>
                </c:pt>
                <c:pt idx="154">
                  <c:v>2592.3125</c:v>
                </c:pt>
                <c:pt idx="155">
                  <c:v>2599.015625</c:v>
                </c:pt>
                <c:pt idx="156">
                  <c:v>2605.71875</c:v>
                </c:pt>
                <c:pt idx="157">
                  <c:v>2612.421875</c:v>
                </c:pt>
                <c:pt idx="158">
                  <c:v>2619.125</c:v>
                </c:pt>
                <c:pt idx="159">
                  <c:v>2625.828125</c:v>
                </c:pt>
                <c:pt idx="160">
                  <c:v>2632.53125</c:v>
                </c:pt>
                <c:pt idx="161">
                  <c:v>2639.234375</c:v>
                </c:pt>
                <c:pt idx="162">
                  <c:v>2645.9375</c:v>
                </c:pt>
                <c:pt idx="163">
                  <c:v>2652.640625</c:v>
                </c:pt>
                <c:pt idx="164">
                  <c:v>2659.34375</c:v>
                </c:pt>
                <c:pt idx="165">
                  <c:v>2666.046875</c:v>
                </c:pt>
                <c:pt idx="166">
                  <c:v>2672.75</c:v>
                </c:pt>
                <c:pt idx="167">
                  <c:v>2679.453125</c:v>
                </c:pt>
                <c:pt idx="168">
                  <c:v>2686.15625</c:v>
                </c:pt>
                <c:pt idx="169">
                  <c:v>2692.859375</c:v>
                </c:pt>
                <c:pt idx="170">
                  <c:v>2699.5625</c:v>
                </c:pt>
                <c:pt idx="171">
                  <c:v>2706.265625</c:v>
                </c:pt>
                <c:pt idx="172">
                  <c:v>2712.96875</c:v>
                </c:pt>
                <c:pt idx="173">
                  <c:v>2719.671875</c:v>
                </c:pt>
                <c:pt idx="174">
                  <c:v>2726.375</c:v>
                </c:pt>
                <c:pt idx="175">
                  <c:v>2733.078125</c:v>
                </c:pt>
                <c:pt idx="176">
                  <c:v>2739.78125</c:v>
                </c:pt>
                <c:pt idx="177">
                  <c:v>2746.484375</c:v>
                </c:pt>
                <c:pt idx="178">
                  <c:v>2753.1875</c:v>
                </c:pt>
                <c:pt idx="179">
                  <c:v>2759.890625</c:v>
                </c:pt>
                <c:pt idx="180">
                  <c:v>2766.59375</c:v>
                </c:pt>
                <c:pt idx="181">
                  <c:v>2773.296875</c:v>
                </c:pt>
                <c:pt idx="182">
                  <c:v>2780</c:v>
                </c:pt>
                <c:pt idx="183">
                  <c:v>2786.703125</c:v>
                </c:pt>
                <c:pt idx="184">
                  <c:v>2793.40625</c:v>
                </c:pt>
                <c:pt idx="185">
                  <c:v>2800.109375</c:v>
                </c:pt>
                <c:pt idx="186">
                  <c:v>2806.8125</c:v>
                </c:pt>
                <c:pt idx="187">
                  <c:v>2813.515625</c:v>
                </c:pt>
                <c:pt idx="188">
                  <c:v>2820.21875</c:v>
                </c:pt>
                <c:pt idx="189">
                  <c:v>2826.921875</c:v>
                </c:pt>
                <c:pt idx="190">
                  <c:v>2833.625</c:v>
                </c:pt>
                <c:pt idx="191">
                  <c:v>2840.328125</c:v>
                </c:pt>
                <c:pt idx="192">
                  <c:v>2847.03125</c:v>
                </c:pt>
                <c:pt idx="193">
                  <c:v>2853.734375</c:v>
                </c:pt>
                <c:pt idx="194">
                  <c:v>2860.4375</c:v>
                </c:pt>
                <c:pt idx="195">
                  <c:v>2867.140625</c:v>
                </c:pt>
                <c:pt idx="196">
                  <c:v>2873.84375</c:v>
                </c:pt>
                <c:pt idx="197">
                  <c:v>2880.546875</c:v>
                </c:pt>
                <c:pt idx="198">
                  <c:v>2887.25</c:v>
                </c:pt>
                <c:pt idx="199">
                  <c:v>2893.953125</c:v>
                </c:pt>
                <c:pt idx="200">
                  <c:v>2900.65625</c:v>
                </c:pt>
                <c:pt idx="201">
                  <c:v>2907.359375</c:v>
                </c:pt>
                <c:pt idx="202">
                  <c:v>2914.0625</c:v>
                </c:pt>
                <c:pt idx="203">
                  <c:v>2920.765625</c:v>
                </c:pt>
                <c:pt idx="204">
                  <c:v>2927.46875</c:v>
                </c:pt>
                <c:pt idx="205">
                  <c:v>2934.171875</c:v>
                </c:pt>
                <c:pt idx="206">
                  <c:v>2940.875</c:v>
                </c:pt>
                <c:pt idx="207">
                  <c:v>2947.578125</c:v>
                </c:pt>
                <c:pt idx="208">
                  <c:v>2954.28125</c:v>
                </c:pt>
                <c:pt idx="209">
                  <c:v>2960.984375</c:v>
                </c:pt>
                <c:pt idx="210">
                  <c:v>2967.6875</c:v>
                </c:pt>
                <c:pt idx="211">
                  <c:v>2974.390625</c:v>
                </c:pt>
                <c:pt idx="212">
                  <c:v>2981.09375</c:v>
                </c:pt>
                <c:pt idx="213">
                  <c:v>2987.796875</c:v>
                </c:pt>
                <c:pt idx="214">
                  <c:v>2994.5</c:v>
                </c:pt>
                <c:pt idx="215">
                  <c:v>3001.203125</c:v>
                </c:pt>
                <c:pt idx="216">
                  <c:v>3007.90625</c:v>
                </c:pt>
                <c:pt idx="217">
                  <c:v>3014.609375</c:v>
                </c:pt>
                <c:pt idx="218">
                  <c:v>3021.3125</c:v>
                </c:pt>
                <c:pt idx="219">
                  <c:v>3028.015625</c:v>
                </c:pt>
                <c:pt idx="220">
                  <c:v>3034.71875</c:v>
                </c:pt>
                <c:pt idx="221">
                  <c:v>3041.421875</c:v>
                </c:pt>
                <c:pt idx="222">
                  <c:v>3048.125</c:v>
                </c:pt>
              </c:numCache>
            </c:numRef>
          </c:xVal>
          <c:yVal>
            <c:numRef>
              <c:f>Analysis!$W$34:$W$256</c:f>
              <c:numCache>
                <c:formatCode>General</c:formatCode>
                <c:ptCount val="223"/>
                <c:pt idx="0">
                  <c:v>0.81162540365984925</c:v>
                </c:pt>
                <c:pt idx="1">
                  <c:v>0.81073170731707322</c:v>
                </c:pt>
                <c:pt idx="2">
                  <c:v>0.81313598519888997</c:v>
                </c:pt>
                <c:pt idx="3">
                  <c:v>0.81125226860254085</c:v>
                </c:pt>
                <c:pt idx="4">
                  <c:v>0.81090909090909091</c:v>
                </c:pt>
                <c:pt idx="5">
                  <c:v>0.81244364292155091</c:v>
                </c:pt>
                <c:pt idx="6">
                  <c:v>0.81364829396325455</c:v>
                </c:pt>
                <c:pt idx="7">
                  <c:v>0.81596638655462184</c:v>
                </c:pt>
                <c:pt idx="8">
                  <c:v>0.81709265175718848</c:v>
                </c:pt>
                <c:pt idx="9">
                  <c:v>0.81954887218045114</c:v>
                </c:pt>
                <c:pt idx="10">
                  <c:v>0.82496513249651326</c:v>
                </c:pt>
                <c:pt idx="11">
                  <c:v>0.83143219264892265</c:v>
                </c:pt>
                <c:pt idx="12">
                  <c:v>0.8360748723766307</c:v>
                </c:pt>
                <c:pt idx="13">
                  <c:v>0.84122287968441811</c:v>
                </c:pt>
                <c:pt idx="14">
                  <c:v>0.84783522488440521</c:v>
                </c:pt>
                <c:pt idx="15">
                  <c:v>0.85457112601482532</c:v>
                </c:pt>
                <c:pt idx="16">
                  <c:v>0.88030888030888033</c:v>
                </c:pt>
                <c:pt idx="17">
                  <c:v>0.92319547906498844</c:v>
                </c:pt>
                <c:pt idx="18">
                  <c:v>0.99316282603190686</c:v>
                </c:pt>
                <c:pt idx="19">
                  <c:v>0.99571680524061479</c:v>
                </c:pt>
                <c:pt idx="20">
                  <c:v>0.99648329565435823</c:v>
                </c:pt>
                <c:pt idx="21">
                  <c:v>0.99724241664577584</c:v>
                </c:pt>
                <c:pt idx="22">
                  <c:v>0.99724655819774721</c:v>
                </c:pt>
                <c:pt idx="23">
                  <c:v>0.9977488744372186</c:v>
                </c:pt>
                <c:pt idx="24">
                  <c:v>0.99874937468734371</c:v>
                </c:pt>
                <c:pt idx="25">
                  <c:v>0.9997498749374687</c:v>
                </c:pt>
                <c:pt idx="26">
                  <c:v>1</c:v>
                </c:pt>
                <c:pt idx="27">
                  <c:v>1.0002501876407306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0.99974981235926941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1.000250501002004</c:v>
                </c:pt>
                <c:pt idx="44">
                  <c:v>1</c:v>
                </c:pt>
                <c:pt idx="45">
                  <c:v>1</c:v>
                </c:pt>
                <c:pt idx="46">
                  <c:v>1.0002505637684791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0.99974918485076503</c:v>
                </c:pt>
                <c:pt idx="55">
                  <c:v>1</c:v>
                </c:pt>
                <c:pt idx="56">
                  <c:v>0.99974905897114175</c:v>
                </c:pt>
                <c:pt idx="57">
                  <c:v>1</c:v>
                </c:pt>
                <c:pt idx="58">
                  <c:v>1</c:v>
                </c:pt>
                <c:pt idx="59">
                  <c:v>0.99974899598393574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0.99974868057300825</c:v>
                </c:pt>
                <c:pt idx="64">
                  <c:v>1</c:v>
                </c:pt>
                <c:pt idx="65">
                  <c:v>1.000251509054326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0.99974804736709499</c:v>
                </c:pt>
                <c:pt idx="75">
                  <c:v>1</c:v>
                </c:pt>
                <c:pt idx="76">
                  <c:v>0.99949609473418999</c:v>
                </c:pt>
                <c:pt idx="77">
                  <c:v>1</c:v>
                </c:pt>
                <c:pt idx="78">
                  <c:v>0.99974804736709499</c:v>
                </c:pt>
                <c:pt idx="79">
                  <c:v>1.0002520161290323</c:v>
                </c:pt>
                <c:pt idx="80">
                  <c:v>1</c:v>
                </c:pt>
                <c:pt idx="81">
                  <c:v>1</c:v>
                </c:pt>
                <c:pt idx="82">
                  <c:v>0.99974804736709499</c:v>
                </c:pt>
                <c:pt idx="83">
                  <c:v>0.99974804736709499</c:v>
                </c:pt>
                <c:pt idx="84">
                  <c:v>1.0002520161290323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0.99974817426340967</c:v>
                </c:pt>
                <c:pt idx="90">
                  <c:v>0.99974811083123427</c:v>
                </c:pt>
                <c:pt idx="91">
                  <c:v>0.99949622166246854</c:v>
                </c:pt>
                <c:pt idx="92">
                  <c:v>0.99874087131704858</c:v>
                </c:pt>
                <c:pt idx="93">
                  <c:v>0.99899244332493697</c:v>
                </c:pt>
                <c:pt idx="94">
                  <c:v>0.99874055415617125</c:v>
                </c:pt>
                <c:pt idx="95">
                  <c:v>0.99874055415617125</c:v>
                </c:pt>
                <c:pt idx="96">
                  <c:v>0.99798488664987406</c:v>
                </c:pt>
                <c:pt idx="97">
                  <c:v>0.9974811083123426</c:v>
                </c:pt>
                <c:pt idx="98">
                  <c:v>0.99697732997481103</c:v>
                </c:pt>
                <c:pt idx="99">
                  <c:v>0.9974811083123426</c:v>
                </c:pt>
                <c:pt idx="100">
                  <c:v>0.99874055415617125</c:v>
                </c:pt>
                <c:pt idx="101">
                  <c:v>0.99949622166246854</c:v>
                </c:pt>
                <c:pt idx="102">
                  <c:v>0.99974811083123427</c:v>
                </c:pt>
                <c:pt idx="103">
                  <c:v>1</c:v>
                </c:pt>
                <c:pt idx="104">
                  <c:v>1</c:v>
                </c:pt>
                <c:pt idx="105">
                  <c:v>0.99974811083123427</c:v>
                </c:pt>
                <c:pt idx="106">
                  <c:v>0.99974804736709499</c:v>
                </c:pt>
                <c:pt idx="107">
                  <c:v>0.99949622166246854</c:v>
                </c:pt>
                <c:pt idx="108">
                  <c:v>0.99949622166246854</c:v>
                </c:pt>
                <c:pt idx="109">
                  <c:v>0.99899218946837998</c:v>
                </c:pt>
                <c:pt idx="110">
                  <c:v>0.99848866498740552</c:v>
                </c:pt>
                <c:pt idx="111">
                  <c:v>0.99848866498740552</c:v>
                </c:pt>
                <c:pt idx="112">
                  <c:v>0.99773299748110833</c:v>
                </c:pt>
                <c:pt idx="113">
                  <c:v>0.99722991689750695</c:v>
                </c:pt>
                <c:pt idx="114">
                  <c:v>0.99697656840513982</c:v>
                </c:pt>
                <c:pt idx="115">
                  <c:v>0.99672461577223481</c:v>
                </c:pt>
                <c:pt idx="116">
                  <c:v>0.99647355163727958</c:v>
                </c:pt>
                <c:pt idx="117">
                  <c:v>0.9962207105064248</c:v>
                </c:pt>
                <c:pt idx="118">
                  <c:v>0.99571572580645162</c:v>
                </c:pt>
                <c:pt idx="119">
                  <c:v>0.99521289997480478</c:v>
                </c:pt>
                <c:pt idx="120">
                  <c:v>0.99471032745591936</c:v>
                </c:pt>
                <c:pt idx="121">
                  <c:v>0.99420362903225812</c:v>
                </c:pt>
                <c:pt idx="122">
                  <c:v>0.99344923154446962</c:v>
                </c:pt>
                <c:pt idx="123">
                  <c:v>0.99218946837994459</c:v>
                </c:pt>
                <c:pt idx="124">
                  <c:v>0.99143145161290325</c:v>
                </c:pt>
                <c:pt idx="125">
                  <c:v>0.99017384731670444</c:v>
                </c:pt>
                <c:pt idx="126">
                  <c:v>0.98891687657430727</c:v>
                </c:pt>
                <c:pt idx="127">
                  <c:v>0.98740236835474926</c:v>
                </c:pt>
                <c:pt idx="128">
                  <c:v>0.9846308893927942</c:v>
                </c:pt>
                <c:pt idx="129">
                  <c:v>0.97959697732997486</c:v>
                </c:pt>
                <c:pt idx="130">
                  <c:v>0.96246851385390431</c:v>
                </c:pt>
                <c:pt idx="131">
                  <c:v>0.85638566380615855</c:v>
                </c:pt>
                <c:pt idx="132">
                  <c:v>0.73969137364027326</c:v>
                </c:pt>
                <c:pt idx="133">
                  <c:v>0.63280853224987299</c:v>
                </c:pt>
                <c:pt idx="134">
                  <c:v>0.53687165093136002</c:v>
                </c:pt>
                <c:pt idx="135">
                  <c:v>0.46296774193548385</c:v>
                </c:pt>
                <c:pt idx="136">
                  <c:v>0.43537414965986393</c:v>
                </c:pt>
                <c:pt idx="137">
                  <c:v>0.43868232224396608</c:v>
                </c:pt>
                <c:pt idx="138">
                  <c:v>0.43958099513655069</c:v>
                </c:pt>
                <c:pt idx="139">
                  <c:v>0.44164172723386064</c:v>
                </c:pt>
                <c:pt idx="140">
                  <c:v>0.44570024570024569</c:v>
                </c:pt>
                <c:pt idx="141">
                  <c:v>0.4533106960950764</c:v>
                </c:pt>
                <c:pt idx="142">
                  <c:v>0.46013071895424834</c:v>
                </c:pt>
                <c:pt idx="143">
                  <c:v>0.46581517655897819</c:v>
                </c:pt>
                <c:pt idx="144">
                  <c:v>0.47540983606557374</c:v>
                </c:pt>
                <c:pt idx="145">
                  <c:v>0.48675171736997058</c:v>
                </c:pt>
                <c:pt idx="146">
                  <c:v>0.49668874172185429</c:v>
                </c:pt>
                <c:pt idx="147">
                  <c:v>0.50735294117647056</c:v>
                </c:pt>
                <c:pt idx="148">
                  <c:v>0.52162162162162162</c:v>
                </c:pt>
                <c:pt idx="149">
                  <c:v>0.53333333333333333</c:v>
                </c:pt>
                <c:pt idx="150">
                  <c:v>0.551219512195122</c:v>
                </c:pt>
                <c:pt idx="151">
                  <c:v>0.56382978723404253</c:v>
                </c:pt>
                <c:pt idx="152">
                  <c:v>0.57499999999999996</c:v>
                </c:pt>
                <c:pt idx="153">
                  <c:v>0.59043659043659047</c:v>
                </c:pt>
                <c:pt idx="154">
                  <c:v>0.6049107142857143</c:v>
                </c:pt>
                <c:pt idx="155">
                  <c:v>0.61792452830188682</c:v>
                </c:pt>
                <c:pt idx="156">
                  <c:v>0.6216216216216216</c:v>
                </c:pt>
                <c:pt idx="157">
                  <c:v>0.63171355498721227</c:v>
                </c:pt>
                <c:pt idx="158">
                  <c:v>0.64456233421750664</c:v>
                </c:pt>
                <c:pt idx="159">
                  <c:v>0.64850136239782019</c:v>
                </c:pt>
                <c:pt idx="160">
                  <c:v>0.66016713091922008</c:v>
                </c:pt>
                <c:pt idx="161">
                  <c:v>0.66572237960339942</c:v>
                </c:pt>
                <c:pt idx="162">
                  <c:v>0.67251461988304095</c:v>
                </c:pt>
                <c:pt idx="163">
                  <c:v>0.68562874251497008</c:v>
                </c:pt>
                <c:pt idx="164">
                  <c:v>0.69512195121951215</c:v>
                </c:pt>
                <c:pt idx="165">
                  <c:v>0.71207430340557276</c:v>
                </c:pt>
                <c:pt idx="166">
                  <c:v>0.71562499999999996</c:v>
                </c:pt>
                <c:pt idx="167">
                  <c:v>0.72413793103448276</c:v>
                </c:pt>
                <c:pt idx="168">
                  <c:v>0.72585669781931461</c:v>
                </c:pt>
                <c:pt idx="169">
                  <c:v>0.73374613003095979</c:v>
                </c:pt>
                <c:pt idx="170">
                  <c:v>0.74143302180685355</c:v>
                </c:pt>
                <c:pt idx="171">
                  <c:v>0.74223602484472051</c:v>
                </c:pt>
                <c:pt idx="172">
                  <c:v>0.75</c:v>
                </c:pt>
                <c:pt idx="173">
                  <c:v>0.75075987841945291</c:v>
                </c:pt>
                <c:pt idx="174">
                  <c:v>0.75449101796407181</c:v>
                </c:pt>
                <c:pt idx="175">
                  <c:v>0.75811209439528027</c:v>
                </c:pt>
                <c:pt idx="176">
                  <c:v>0.76231884057971011</c:v>
                </c:pt>
                <c:pt idx="177">
                  <c:v>0.76770538243626063</c:v>
                </c:pt>
                <c:pt idx="178">
                  <c:v>0.77285318559556782</c:v>
                </c:pt>
                <c:pt idx="179">
                  <c:v>0.77567567567567564</c:v>
                </c:pt>
                <c:pt idx="180">
                  <c:v>0.77894736842105261</c:v>
                </c:pt>
                <c:pt idx="181">
                  <c:v>0.78205128205128205</c:v>
                </c:pt>
                <c:pt idx="182">
                  <c:v>0.78024691358024689</c:v>
                </c:pt>
                <c:pt idx="183">
                  <c:v>0.78281622911694515</c:v>
                </c:pt>
                <c:pt idx="184">
                  <c:v>0.78718535469107553</c:v>
                </c:pt>
                <c:pt idx="185">
                  <c:v>0.78774617067833697</c:v>
                </c:pt>
                <c:pt idx="186">
                  <c:v>0.78496868475991655</c:v>
                </c:pt>
                <c:pt idx="187">
                  <c:v>0.78873239436619713</c:v>
                </c:pt>
                <c:pt idx="188">
                  <c:v>0.78916827852998062</c:v>
                </c:pt>
                <c:pt idx="189">
                  <c:v>0.78810408921933084</c:v>
                </c:pt>
                <c:pt idx="190">
                  <c:v>0.7871198568872988</c:v>
                </c:pt>
                <c:pt idx="191">
                  <c:v>0.78756476683937826</c:v>
                </c:pt>
                <c:pt idx="192">
                  <c:v>0.78535773710482526</c:v>
                </c:pt>
                <c:pt idx="193">
                  <c:v>0.78559999999999997</c:v>
                </c:pt>
                <c:pt idx="194">
                  <c:v>0.78549382716049387</c:v>
                </c:pt>
                <c:pt idx="195">
                  <c:v>0.78138847858197935</c:v>
                </c:pt>
                <c:pt idx="196">
                  <c:v>0.78359264497878356</c:v>
                </c:pt>
                <c:pt idx="197">
                  <c:v>0.78032345013477089</c:v>
                </c:pt>
                <c:pt idx="198">
                  <c:v>0.78249678249678245</c:v>
                </c:pt>
                <c:pt idx="199">
                  <c:v>0.77764127764127766</c:v>
                </c:pt>
                <c:pt idx="200">
                  <c:v>0.7767332549941246</c:v>
                </c:pt>
                <c:pt idx="201">
                  <c:v>0.77564825253664038</c:v>
                </c:pt>
                <c:pt idx="202">
                  <c:v>0.77429805615550751</c:v>
                </c:pt>
                <c:pt idx="203">
                  <c:v>0.77456049638055846</c:v>
                </c:pt>
                <c:pt idx="204">
                  <c:v>0.77120315581854049</c:v>
                </c:pt>
                <c:pt idx="205">
                  <c:v>0.77161654135338342</c:v>
                </c:pt>
                <c:pt idx="206">
                  <c:v>0.7701252236135957</c:v>
                </c:pt>
                <c:pt idx="207">
                  <c:v>0.76843910806174953</c:v>
                </c:pt>
                <c:pt idx="208">
                  <c:v>0.76683087027914609</c:v>
                </c:pt>
                <c:pt idx="209">
                  <c:v>0.76442687747035576</c:v>
                </c:pt>
                <c:pt idx="210">
                  <c:v>0.76452599388379205</c:v>
                </c:pt>
                <c:pt idx="211">
                  <c:v>0.76374442793462105</c:v>
                </c:pt>
                <c:pt idx="212">
                  <c:v>0.76334776334776333</c:v>
                </c:pt>
                <c:pt idx="213">
                  <c:v>0.76507713884992989</c:v>
                </c:pt>
                <c:pt idx="214">
                  <c:v>0.76514635806671205</c:v>
                </c:pt>
                <c:pt idx="215">
                  <c:v>0.76190476190476186</c:v>
                </c:pt>
                <c:pt idx="216">
                  <c:v>0.76273372018052865</c:v>
                </c:pt>
                <c:pt idx="217">
                  <c:v>0.76029962546816476</c:v>
                </c:pt>
                <c:pt idx="218">
                  <c:v>0.75859987929993966</c:v>
                </c:pt>
                <c:pt idx="219">
                  <c:v>0.75526932084309129</c:v>
                </c:pt>
                <c:pt idx="220">
                  <c:v>0.7531285551763367</c:v>
                </c:pt>
                <c:pt idx="221">
                  <c:v>0.75124653739612191</c:v>
                </c:pt>
                <c:pt idx="222">
                  <c:v>0.74986522911051212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15-464E-8B55-A5A9C11FDFD5}"/>
            </c:ext>
          </c:extLst>
        </c:ser>
        <c:ser>
          <c:idx val="2"/>
          <c:order val="4"/>
          <c:tx>
            <c:v>MWIR_Low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Analysis!$U$34:$U$256</c:f>
              <c:numCache>
                <c:formatCode>General</c:formatCode>
                <c:ptCount val="223"/>
                <c:pt idx="0">
                  <c:v>1560.03125</c:v>
                </c:pt>
                <c:pt idx="1">
                  <c:v>1566.734375</c:v>
                </c:pt>
                <c:pt idx="2">
                  <c:v>1573.4375</c:v>
                </c:pt>
                <c:pt idx="3">
                  <c:v>1580.140625</c:v>
                </c:pt>
                <c:pt idx="4">
                  <c:v>1586.84375</c:v>
                </c:pt>
                <c:pt idx="5">
                  <c:v>1593.546875</c:v>
                </c:pt>
                <c:pt idx="6">
                  <c:v>1600.25</c:v>
                </c:pt>
                <c:pt idx="7">
                  <c:v>1606.953125</c:v>
                </c:pt>
                <c:pt idx="8">
                  <c:v>1613.65625</c:v>
                </c:pt>
                <c:pt idx="9">
                  <c:v>1620.359375</c:v>
                </c:pt>
                <c:pt idx="10">
                  <c:v>1627.0625</c:v>
                </c:pt>
                <c:pt idx="11">
                  <c:v>1633.765625</c:v>
                </c:pt>
                <c:pt idx="12">
                  <c:v>1640.46875</c:v>
                </c:pt>
                <c:pt idx="13">
                  <c:v>1647.171875</c:v>
                </c:pt>
                <c:pt idx="14">
                  <c:v>1653.875</c:v>
                </c:pt>
                <c:pt idx="15">
                  <c:v>1660.578125</c:v>
                </c:pt>
                <c:pt idx="16">
                  <c:v>1667.28125</c:v>
                </c:pt>
                <c:pt idx="17">
                  <c:v>1673.984375</c:v>
                </c:pt>
                <c:pt idx="18">
                  <c:v>1680.6875</c:v>
                </c:pt>
                <c:pt idx="19">
                  <c:v>1687.390625</c:v>
                </c:pt>
                <c:pt idx="20">
                  <c:v>1694.09375</c:v>
                </c:pt>
                <c:pt idx="21">
                  <c:v>1700.796875</c:v>
                </c:pt>
                <c:pt idx="22">
                  <c:v>1707.5</c:v>
                </c:pt>
                <c:pt idx="23">
                  <c:v>1714.203125</c:v>
                </c:pt>
                <c:pt idx="24">
                  <c:v>1720.90625</c:v>
                </c:pt>
                <c:pt idx="25">
                  <c:v>1727.609375</c:v>
                </c:pt>
                <c:pt idx="26">
                  <c:v>1734.3125</c:v>
                </c:pt>
                <c:pt idx="27">
                  <c:v>1741.015625</c:v>
                </c:pt>
                <c:pt idx="28">
                  <c:v>1747.71875</c:v>
                </c:pt>
                <c:pt idx="29">
                  <c:v>1754.421875</c:v>
                </c:pt>
                <c:pt idx="30">
                  <c:v>1761.125</c:v>
                </c:pt>
                <c:pt idx="31">
                  <c:v>1767.828125</c:v>
                </c:pt>
                <c:pt idx="32">
                  <c:v>1774.53125</c:v>
                </c:pt>
                <c:pt idx="33">
                  <c:v>1781.234375</c:v>
                </c:pt>
                <c:pt idx="34">
                  <c:v>1787.9375</c:v>
                </c:pt>
                <c:pt idx="35">
                  <c:v>1794.640625</c:v>
                </c:pt>
                <c:pt idx="36">
                  <c:v>1801.34375</c:v>
                </c:pt>
                <c:pt idx="37">
                  <c:v>1808.046875</c:v>
                </c:pt>
                <c:pt idx="38">
                  <c:v>1814.75</c:v>
                </c:pt>
                <c:pt idx="39">
                  <c:v>1821.453125</c:v>
                </c:pt>
                <c:pt idx="40">
                  <c:v>1828.15625</c:v>
                </c:pt>
                <c:pt idx="41">
                  <c:v>1834.859375</c:v>
                </c:pt>
                <c:pt idx="42">
                  <c:v>1841.5625</c:v>
                </c:pt>
                <c:pt idx="43">
                  <c:v>1848.265625</c:v>
                </c:pt>
                <c:pt idx="44">
                  <c:v>1854.96875</c:v>
                </c:pt>
                <c:pt idx="45">
                  <c:v>1861.671875</c:v>
                </c:pt>
                <c:pt idx="46">
                  <c:v>1868.375</c:v>
                </c:pt>
                <c:pt idx="47">
                  <c:v>1875.078125</c:v>
                </c:pt>
                <c:pt idx="48">
                  <c:v>1881.78125</c:v>
                </c:pt>
                <c:pt idx="49">
                  <c:v>1888.484375</c:v>
                </c:pt>
                <c:pt idx="50">
                  <c:v>1895.1875</c:v>
                </c:pt>
                <c:pt idx="51">
                  <c:v>1901.890625</c:v>
                </c:pt>
                <c:pt idx="52">
                  <c:v>1908.59375</c:v>
                </c:pt>
                <c:pt idx="53">
                  <c:v>1915.296875</c:v>
                </c:pt>
                <c:pt idx="54">
                  <c:v>1922</c:v>
                </c:pt>
                <c:pt idx="55">
                  <c:v>1928.703125</c:v>
                </c:pt>
                <c:pt idx="56">
                  <c:v>1935.40625</c:v>
                </c:pt>
                <c:pt idx="57">
                  <c:v>1942.109375</c:v>
                </c:pt>
                <c:pt idx="58">
                  <c:v>1948.8125</c:v>
                </c:pt>
                <c:pt idx="59">
                  <c:v>1955.515625</c:v>
                </c:pt>
                <c:pt idx="60">
                  <c:v>1962.21875</c:v>
                </c:pt>
                <c:pt idx="61">
                  <c:v>1968.921875</c:v>
                </c:pt>
                <c:pt idx="62">
                  <c:v>1975.625</c:v>
                </c:pt>
                <c:pt idx="63">
                  <c:v>1982.328125</c:v>
                </c:pt>
                <c:pt idx="64">
                  <c:v>1989.03125</c:v>
                </c:pt>
                <c:pt idx="65">
                  <c:v>1995.734375</c:v>
                </c:pt>
                <c:pt idx="66">
                  <c:v>2002.4375</c:v>
                </c:pt>
                <c:pt idx="67">
                  <c:v>2009.140625</c:v>
                </c:pt>
                <c:pt idx="68">
                  <c:v>2015.84375</c:v>
                </c:pt>
                <c:pt idx="69">
                  <c:v>2022.546875</c:v>
                </c:pt>
                <c:pt idx="70">
                  <c:v>2029.25</c:v>
                </c:pt>
                <c:pt idx="71">
                  <c:v>2035.953125</c:v>
                </c:pt>
                <c:pt idx="72">
                  <c:v>2042.65625</c:v>
                </c:pt>
                <c:pt idx="73">
                  <c:v>2049.359375</c:v>
                </c:pt>
                <c:pt idx="74">
                  <c:v>2056.0625</c:v>
                </c:pt>
                <c:pt idx="75">
                  <c:v>2062.765625</c:v>
                </c:pt>
                <c:pt idx="76">
                  <c:v>2069.46875</c:v>
                </c:pt>
                <c:pt idx="77">
                  <c:v>2076.171875</c:v>
                </c:pt>
                <c:pt idx="78">
                  <c:v>2082.875</c:v>
                </c:pt>
                <c:pt idx="79">
                  <c:v>2089.578125</c:v>
                </c:pt>
                <c:pt idx="80">
                  <c:v>2096.28125</c:v>
                </c:pt>
                <c:pt idx="81">
                  <c:v>2102.984375</c:v>
                </c:pt>
                <c:pt idx="82">
                  <c:v>2109.6875</c:v>
                </c:pt>
                <c:pt idx="83">
                  <c:v>2116.390625</c:v>
                </c:pt>
                <c:pt idx="84">
                  <c:v>2123.09375</c:v>
                </c:pt>
                <c:pt idx="85">
                  <c:v>2129.796875</c:v>
                </c:pt>
                <c:pt idx="86">
                  <c:v>2136.5</c:v>
                </c:pt>
                <c:pt idx="87">
                  <c:v>2143.203125</c:v>
                </c:pt>
                <c:pt idx="88">
                  <c:v>2149.90625</c:v>
                </c:pt>
                <c:pt idx="89">
                  <c:v>2156.609375</c:v>
                </c:pt>
                <c:pt idx="90">
                  <c:v>2163.3125</c:v>
                </c:pt>
                <c:pt idx="91">
                  <c:v>2170.015625</c:v>
                </c:pt>
                <c:pt idx="92">
                  <c:v>2176.71875</c:v>
                </c:pt>
                <c:pt idx="93">
                  <c:v>2183.421875</c:v>
                </c:pt>
                <c:pt idx="94">
                  <c:v>2190.125</c:v>
                </c:pt>
                <c:pt idx="95">
                  <c:v>2196.828125</c:v>
                </c:pt>
                <c:pt idx="96">
                  <c:v>2203.53125</c:v>
                </c:pt>
                <c:pt idx="97">
                  <c:v>2210.234375</c:v>
                </c:pt>
                <c:pt idx="98">
                  <c:v>2216.9375</c:v>
                </c:pt>
                <c:pt idx="99">
                  <c:v>2223.640625</c:v>
                </c:pt>
                <c:pt idx="100">
                  <c:v>2230.34375</c:v>
                </c:pt>
                <c:pt idx="101">
                  <c:v>2237.046875</c:v>
                </c:pt>
                <c:pt idx="102">
                  <c:v>2243.75</c:v>
                </c:pt>
                <c:pt idx="103">
                  <c:v>2250.453125</c:v>
                </c:pt>
                <c:pt idx="104">
                  <c:v>2257.15625</c:v>
                </c:pt>
                <c:pt idx="105">
                  <c:v>2263.859375</c:v>
                </c:pt>
                <c:pt idx="106">
                  <c:v>2270.5625</c:v>
                </c:pt>
                <c:pt idx="107">
                  <c:v>2277.265625</c:v>
                </c:pt>
                <c:pt idx="108">
                  <c:v>2283.96875</c:v>
                </c:pt>
                <c:pt idx="109">
                  <c:v>2290.671875</c:v>
                </c:pt>
                <c:pt idx="110">
                  <c:v>2297.375</c:v>
                </c:pt>
                <c:pt idx="111">
                  <c:v>2304.078125</c:v>
                </c:pt>
                <c:pt idx="112">
                  <c:v>2310.78125</c:v>
                </c:pt>
                <c:pt idx="113">
                  <c:v>2317.484375</c:v>
                </c:pt>
                <c:pt idx="114">
                  <c:v>2324.1875</c:v>
                </c:pt>
                <c:pt idx="115">
                  <c:v>2330.890625</c:v>
                </c:pt>
                <c:pt idx="116">
                  <c:v>2337.59375</c:v>
                </c:pt>
                <c:pt idx="117">
                  <c:v>2344.296875</c:v>
                </c:pt>
                <c:pt idx="118">
                  <c:v>2351</c:v>
                </c:pt>
                <c:pt idx="119">
                  <c:v>2357.703125</c:v>
                </c:pt>
                <c:pt idx="120">
                  <c:v>2364.40625</c:v>
                </c:pt>
                <c:pt idx="121">
                  <c:v>2371.109375</c:v>
                </c:pt>
                <c:pt idx="122">
                  <c:v>2377.8125</c:v>
                </c:pt>
                <c:pt idx="123">
                  <c:v>2384.515625</c:v>
                </c:pt>
                <c:pt idx="124">
                  <c:v>2391.21875</c:v>
                </c:pt>
                <c:pt idx="125">
                  <c:v>2397.921875</c:v>
                </c:pt>
                <c:pt idx="126">
                  <c:v>2404.625</c:v>
                </c:pt>
                <c:pt idx="127">
                  <c:v>2411.328125</c:v>
                </c:pt>
                <c:pt idx="128">
                  <c:v>2418.03125</c:v>
                </c:pt>
                <c:pt idx="129">
                  <c:v>2424.734375</c:v>
                </c:pt>
                <c:pt idx="130">
                  <c:v>2431.4375</c:v>
                </c:pt>
                <c:pt idx="131">
                  <c:v>2438.140625</c:v>
                </c:pt>
                <c:pt idx="132">
                  <c:v>2444.84375</c:v>
                </c:pt>
                <c:pt idx="133">
                  <c:v>2451.546875</c:v>
                </c:pt>
                <c:pt idx="134">
                  <c:v>2458.25</c:v>
                </c:pt>
                <c:pt idx="135">
                  <c:v>2464.953125</c:v>
                </c:pt>
                <c:pt idx="136">
                  <c:v>2471.65625</c:v>
                </c:pt>
                <c:pt idx="137">
                  <c:v>2478.359375</c:v>
                </c:pt>
                <c:pt idx="138">
                  <c:v>2485.0625</c:v>
                </c:pt>
                <c:pt idx="139">
                  <c:v>2491.765625</c:v>
                </c:pt>
                <c:pt idx="140">
                  <c:v>2498.46875</c:v>
                </c:pt>
                <c:pt idx="141">
                  <c:v>2505.171875</c:v>
                </c:pt>
                <c:pt idx="142">
                  <c:v>2511.875</c:v>
                </c:pt>
                <c:pt idx="143">
                  <c:v>2518.578125</c:v>
                </c:pt>
                <c:pt idx="144">
                  <c:v>2525.28125</c:v>
                </c:pt>
                <c:pt idx="145">
                  <c:v>2531.984375</c:v>
                </c:pt>
                <c:pt idx="146">
                  <c:v>2538.6875</c:v>
                </c:pt>
                <c:pt idx="147">
                  <c:v>2545.390625</c:v>
                </c:pt>
                <c:pt idx="148">
                  <c:v>2552.09375</c:v>
                </c:pt>
                <c:pt idx="149">
                  <c:v>2558.796875</c:v>
                </c:pt>
                <c:pt idx="150">
                  <c:v>2565.5</c:v>
                </c:pt>
                <c:pt idx="151">
                  <c:v>2572.203125</c:v>
                </c:pt>
                <c:pt idx="152">
                  <c:v>2578.90625</c:v>
                </c:pt>
                <c:pt idx="153">
                  <c:v>2585.609375</c:v>
                </c:pt>
                <c:pt idx="154">
                  <c:v>2592.3125</c:v>
                </c:pt>
                <c:pt idx="155">
                  <c:v>2599.015625</c:v>
                </c:pt>
                <c:pt idx="156">
                  <c:v>2605.71875</c:v>
                </c:pt>
                <c:pt idx="157">
                  <c:v>2612.421875</c:v>
                </c:pt>
                <c:pt idx="158">
                  <c:v>2619.125</c:v>
                </c:pt>
                <c:pt idx="159">
                  <c:v>2625.828125</c:v>
                </c:pt>
                <c:pt idx="160">
                  <c:v>2632.53125</c:v>
                </c:pt>
                <c:pt idx="161">
                  <c:v>2639.234375</c:v>
                </c:pt>
                <c:pt idx="162">
                  <c:v>2645.9375</c:v>
                </c:pt>
                <c:pt idx="163">
                  <c:v>2652.640625</c:v>
                </c:pt>
                <c:pt idx="164">
                  <c:v>2659.34375</c:v>
                </c:pt>
                <c:pt idx="165">
                  <c:v>2666.046875</c:v>
                </c:pt>
                <c:pt idx="166">
                  <c:v>2672.75</c:v>
                </c:pt>
                <c:pt idx="167">
                  <c:v>2679.453125</c:v>
                </c:pt>
                <c:pt idx="168">
                  <c:v>2686.15625</c:v>
                </c:pt>
                <c:pt idx="169">
                  <c:v>2692.859375</c:v>
                </c:pt>
                <c:pt idx="170">
                  <c:v>2699.5625</c:v>
                </c:pt>
                <c:pt idx="171">
                  <c:v>2706.265625</c:v>
                </c:pt>
                <c:pt idx="172">
                  <c:v>2712.96875</c:v>
                </c:pt>
                <c:pt idx="173">
                  <c:v>2719.671875</c:v>
                </c:pt>
                <c:pt idx="174">
                  <c:v>2726.375</c:v>
                </c:pt>
                <c:pt idx="175">
                  <c:v>2733.078125</c:v>
                </c:pt>
                <c:pt idx="176">
                  <c:v>2739.78125</c:v>
                </c:pt>
                <c:pt idx="177">
                  <c:v>2746.484375</c:v>
                </c:pt>
                <c:pt idx="178">
                  <c:v>2753.1875</c:v>
                </c:pt>
                <c:pt idx="179">
                  <c:v>2759.890625</c:v>
                </c:pt>
                <c:pt idx="180">
                  <c:v>2766.59375</c:v>
                </c:pt>
                <c:pt idx="181">
                  <c:v>2773.296875</c:v>
                </c:pt>
                <c:pt idx="182">
                  <c:v>2780</c:v>
                </c:pt>
                <c:pt idx="183">
                  <c:v>2786.703125</c:v>
                </c:pt>
                <c:pt idx="184">
                  <c:v>2793.40625</c:v>
                </c:pt>
                <c:pt idx="185">
                  <c:v>2800.109375</c:v>
                </c:pt>
                <c:pt idx="186">
                  <c:v>2806.8125</c:v>
                </c:pt>
                <c:pt idx="187">
                  <c:v>2813.515625</c:v>
                </c:pt>
                <c:pt idx="188">
                  <c:v>2820.21875</c:v>
                </c:pt>
                <c:pt idx="189">
                  <c:v>2826.921875</c:v>
                </c:pt>
                <c:pt idx="190">
                  <c:v>2833.625</c:v>
                </c:pt>
                <c:pt idx="191">
                  <c:v>2840.328125</c:v>
                </c:pt>
                <c:pt idx="192">
                  <c:v>2847.03125</c:v>
                </c:pt>
                <c:pt idx="193">
                  <c:v>2853.734375</c:v>
                </c:pt>
                <c:pt idx="194">
                  <c:v>2860.4375</c:v>
                </c:pt>
                <c:pt idx="195">
                  <c:v>2867.140625</c:v>
                </c:pt>
                <c:pt idx="196">
                  <c:v>2873.84375</c:v>
                </c:pt>
                <c:pt idx="197">
                  <c:v>2880.546875</c:v>
                </c:pt>
                <c:pt idx="198">
                  <c:v>2887.25</c:v>
                </c:pt>
                <c:pt idx="199">
                  <c:v>2893.953125</c:v>
                </c:pt>
                <c:pt idx="200">
                  <c:v>2900.65625</c:v>
                </c:pt>
                <c:pt idx="201">
                  <c:v>2907.359375</c:v>
                </c:pt>
                <c:pt idx="202">
                  <c:v>2914.0625</c:v>
                </c:pt>
                <c:pt idx="203">
                  <c:v>2920.765625</c:v>
                </c:pt>
                <c:pt idx="204">
                  <c:v>2927.46875</c:v>
                </c:pt>
                <c:pt idx="205">
                  <c:v>2934.171875</c:v>
                </c:pt>
                <c:pt idx="206">
                  <c:v>2940.875</c:v>
                </c:pt>
                <c:pt idx="207">
                  <c:v>2947.578125</c:v>
                </c:pt>
                <c:pt idx="208">
                  <c:v>2954.28125</c:v>
                </c:pt>
                <c:pt idx="209">
                  <c:v>2960.984375</c:v>
                </c:pt>
                <c:pt idx="210">
                  <c:v>2967.6875</c:v>
                </c:pt>
                <c:pt idx="211">
                  <c:v>2974.390625</c:v>
                </c:pt>
                <c:pt idx="212">
                  <c:v>2981.09375</c:v>
                </c:pt>
                <c:pt idx="213">
                  <c:v>2987.796875</c:v>
                </c:pt>
                <c:pt idx="214">
                  <c:v>2994.5</c:v>
                </c:pt>
                <c:pt idx="215">
                  <c:v>3001.203125</c:v>
                </c:pt>
                <c:pt idx="216">
                  <c:v>3007.90625</c:v>
                </c:pt>
                <c:pt idx="217">
                  <c:v>3014.609375</c:v>
                </c:pt>
                <c:pt idx="218">
                  <c:v>3021.3125</c:v>
                </c:pt>
                <c:pt idx="219">
                  <c:v>3028.015625</c:v>
                </c:pt>
                <c:pt idx="220">
                  <c:v>3034.71875</c:v>
                </c:pt>
                <c:pt idx="221">
                  <c:v>3041.421875</c:v>
                </c:pt>
                <c:pt idx="222">
                  <c:v>3048.125</c:v>
                </c:pt>
              </c:numCache>
            </c:numRef>
          </c:xVal>
          <c:yVal>
            <c:numRef>
              <c:f>Analysis!$X$34:$X$256</c:f>
              <c:numCache>
                <c:formatCode>General</c:formatCode>
                <c:ptCount val="223"/>
                <c:pt idx="0">
                  <c:v>0.71875</c:v>
                </c:pt>
                <c:pt idx="1">
                  <c:v>0.77777777777777779</c:v>
                </c:pt>
                <c:pt idx="2">
                  <c:v>0.78947368421052633</c:v>
                </c:pt>
                <c:pt idx="3">
                  <c:v>0.82051282051282048</c:v>
                </c:pt>
                <c:pt idx="4">
                  <c:v>0.81578947368421051</c:v>
                </c:pt>
                <c:pt idx="5">
                  <c:v>0.81081081081081086</c:v>
                </c:pt>
                <c:pt idx="6">
                  <c:v>0.82499999999999996</c:v>
                </c:pt>
                <c:pt idx="7">
                  <c:v>0.8</c:v>
                </c:pt>
                <c:pt idx="8">
                  <c:v>0.79069767441860461</c:v>
                </c:pt>
                <c:pt idx="9">
                  <c:v>0.80434782608695654</c:v>
                </c:pt>
                <c:pt idx="10">
                  <c:v>0.83333333333333337</c:v>
                </c:pt>
                <c:pt idx="11">
                  <c:v>0.82692307692307687</c:v>
                </c:pt>
                <c:pt idx="12">
                  <c:v>0.83333333333333337</c:v>
                </c:pt>
                <c:pt idx="13">
                  <c:v>0.84057971014492749</c:v>
                </c:pt>
                <c:pt idx="14">
                  <c:v>0.82499999999999996</c:v>
                </c:pt>
                <c:pt idx="15">
                  <c:v>0.85263157894736841</c:v>
                </c:pt>
                <c:pt idx="16">
                  <c:v>0.88695652173913042</c:v>
                </c:pt>
                <c:pt idx="17">
                  <c:v>0.88970588235294112</c:v>
                </c:pt>
                <c:pt idx="18">
                  <c:v>0.87573964497041423</c:v>
                </c:pt>
                <c:pt idx="19">
                  <c:v>0.87437185929648242</c:v>
                </c:pt>
                <c:pt idx="20">
                  <c:v>0.86086956521739133</c:v>
                </c:pt>
                <c:pt idx="21">
                  <c:v>0.85882352941176465</c:v>
                </c:pt>
                <c:pt idx="22">
                  <c:v>0.85765124555160144</c:v>
                </c:pt>
                <c:pt idx="23">
                  <c:v>0.84210526315789469</c:v>
                </c:pt>
                <c:pt idx="24">
                  <c:v>0.84472049689440998</c:v>
                </c:pt>
                <c:pt idx="25">
                  <c:v>0.84750733137829914</c:v>
                </c:pt>
                <c:pt idx="26">
                  <c:v>0.83827493261455521</c:v>
                </c:pt>
                <c:pt idx="27">
                  <c:v>0.84367245657568235</c:v>
                </c:pt>
                <c:pt idx="28">
                  <c:v>0.83595505617977528</c:v>
                </c:pt>
                <c:pt idx="29">
                  <c:v>0.82991803278688525</c:v>
                </c:pt>
                <c:pt idx="30">
                  <c:v>0.8294573643410853</c:v>
                </c:pt>
                <c:pt idx="31">
                  <c:v>0.82706766917293228</c:v>
                </c:pt>
                <c:pt idx="32">
                  <c:v>0.8243992606284658</c:v>
                </c:pt>
                <c:pt idx="33">
                  <c:v>0.8201834862385321</c:v>
                </c:pt>
                <c:pt idx="34">
                  <c:v>0.81569343065693434</c:v>
                </c:pt>
                <c:pt idx="35">
                  <c:v>0.81521739130434778</c:v>
                </c:pt>
                <c:pt idx="36">
                  <c:v>0.80755395683453235</c:v>
                </c:pt>
                <c:pt idx="37">
                  <c:v>0.80392156862745101</c:v>
                </c:pt>
                <c:pt idx="38">
                  <c:v>0.80319148936170215</c:v>
                </c:pt>
                <c:pt idx="39">
                  <c:v>0.7971781305114638</c:v>
                </c:pt>
                <c:pt idx="40">
                  <c:v>0.79432624113475181</c:v>
                </c:pt>
                <c:pt idx="41">
                  <c:v>0.79181494661921703</c:v>
                </c:pt>
                <c:pt idx="42">
                  <c:v>0.79347826086956519</c:v>
                </c:pt>
                <c:pt idx="43">
                  <c:v>0.78832116788321172</c:v>
                </c:pt>
                <c:pt idx="44">
                  <c:v>0.79035250463821893</c:v>
                </c:pt>
                <c:pt idx="45">
                  <c:v>0.79368029739776946</c:v>
                </c:pt>
                <c:pt idx="46">
                  <c:v>0.79291044776119401</c:v>
                </c:pt>
                <c:pt idx="47">
                  <c:v>0.79065420560747668</c:v>
                </c:pt>
                <c:pt idx="48">
                  <c:v>0.78383458646616544</c:v>
                </c:pt>
                <c:pt idx="49">
                  <c:v>0.77631578947368418</c:v>
                </c:pt>
                <c:pt idx="50">
                  <c:v>0.7634011090573013</c:v>
                </c:pt>
                <c:pt idx="51">
                  <c:v>0.74502712477396027</c:v>
                </c:pt>
                <c:pt idx="52">
                  <c:v>0.72531418312387796</c:v>
                </c:pt>
                <c:pt idx="53">
                  <c:v>0.71351351351351355</c:v>
                </c:pt>
                <c:pt idx="54">
                  <c:v>0.69927536231884058</c:v>
                </c:pt>
                <c:pt idx="55">
                  <c:v>0.69691470054446458</c:v>
                </c:pt>
                <c:pt idx="56">
                  <c:v>0.69801084990958406</c:v>
                </c:pt>
                <c:pt idx="57">
                  <c:v>0.69534050179211471</c:v>
                </c:pt>
                <c:pt idx="58">
                  <c:v>0.69518716577540107</c:v>
                </c:pt>
                <c:pt idx="59">
                  <c:v>0.69148936170212771</c:v>
                </c:pt>
                <c:pt idx="60">
                  <c:v>0.69611307420494695</c:v>
                </c:pt>
                <c:pt idx="61">
                  <c:v>0.69841269841269837</c:v>
                </c:pt>
                <c:pt idx="62">
                  <c:v>0.70671378091872794</c:v>
                </c:pt>
                <c:pt idx="63">
                  <c:v>0.70774647887323938</c:v>
                </c:pt>
                <c:pt idx="64">
                  <c:v>0.70774647887323938</c:v>
                </c:pt>
                <c:pt idx="65">
                  <c:v>0.71478873239436624</c:v>
                </c:pt>
                <c:pt idx="66">
                  <c:v>0.71754385964912282</c:v>
                </c:pt>
                <c:pt idx="67">
                  <c:v>0.7172774869109948</c:v>
                </c:pt>
                <c:pt idx="68">
                  <c:v>0.71777003484320556</c:v>
                </c:pt>
                <c:pt idx="69">
                  <c:v>0.72125435540069682</c:v>
                </c:pt>
                <c:pt idx="70">
                  <c:v>0.72270363951473138</c:v>
                </c:pt>
                <c:pt idx="71">
                  <c:v>0.72270363951473138</c:v>
                </c:pt>
                <c:pt idx="72">
                  <c:v>0.71896551724137936</c:v>
                </c:pt>
                <c:pt idx="73">
                  <c:v>0.71675302245250427</c:v>
                </c:pt>
                <c:pt idx="74">
                  <c:v>0.71206896551724141</c:v>
                </c:pt>
                <c:pt idx="75">
                  <c:v>0.71034482758620687</c:v>
                </c:pt>
                <c:pt idx="76">
                  <c:v>0.70710571923743504</c:v>
                </c:pt>
                <c:pt idx="77">
                  <c:v>0.69791666666666663</c:v>
                </c:pt>
                <c:pt idx="78">
                  <c:v>0.6928446771378709</c:v>
                </c:pt>
                <c:pt idx="79">
                  <c:v>0.68531468531468531</c:v>
                </c:pt>
                <c:pt idx="80">
                  <c:v>0.67894736842105263</c:v>
                </c:pt>
                <c:pt idx="81">
                  <c:v>0.67077464788732399</c:v>
                </c:pt>
                <c:pt idx="82">
                  <c:v>0.66371681415929207</c:v>
                </c:pt>
                <c:pt idx="83">
                  <c:v>0.65364120781527535</c:v>
                </c:pt>
                <c:pt idx="84">
                  <c:v>0.64527629233511585</c:v>
                </c:pt>
                <c:pt idx="85">
                  <c:v>0.63571428571428568</c:v>
                </c:pt>
                <c:pt idx="86">
                  <c:v>0.62321428571428572</c:v>
                </c:pt>
                <c:pt idx="87">
                  <c:v>0.61071428571428577</c:v>
                </c:pt>
                <c:pt idx="88">
                  <c:v>0.59245960502692996</c:v>
                </c:pt>
                <c:pt idx="89">
                  <c:v>0.56810035842293904</c:v>
                </c:pt>
                <c:pt idx="90">
                  <c:v>0.53584229390681004</c:v>
                </c:pt>
                <c:pt idx="91">
                  <c:v>0.50899280575539574</c:v>
                </c:pt>
                <c:pt idx="92">
                  <c:v>0.49729729729729732</c:v>
                </c:pt>
                <c:pt idx="93">
                  <c:v>0.49367088607594939</c:v>
                </c:pt>
                <c:pt idx="94">
                  <c:v>0.49183303085299457</c:v>
                </c:pt>
                <c:pt idx="95">
                  <c:v>0.48628884826325414</c:v>
                </c:pt>
                <c:pt idx="96">
                  <c:v>0.47802197802197804</c:v>
                </c:pt>
                <c:pt idx="97">
                  <c:v>0.46765249537892789</c:v>
                </c:pt>
                <c:pt idx="98">
                  <c:v>0.46011131725417442</c:v>
                </c:pt>
                <c:pt idx="99">
                  <c:v>0.47201492537313433</c:v>
                </c:pt>
                <c:pt idx="100">
                  <c:v>0.5</c:v>
                </c:pt>
                <c:pt idx="101">
                  <c:v>0.5311909262759924</c:v>
                </c:pt>
                <c:pt idx="102">
                  <c:v>0.5492424242424242</c:v>
                </c:pt>
                <c:pt idx="103">
                  <c:v>0.55323193916349811</c:v>
                </c:pt>
                <c:pt idx="104">
                  <c:v>0.55258126195028678</c:v>
                </c:pt>
                <c:pt idx="105">
                  <c:v>0.55470249520153547</c:v>
                </c:pt>
                <c:pt idx="106">
                  <c:v>0.54807692307692313</c:v>
                </c:pt>
                <c:pt idx="107">
                  <c:v>0.5415860735009671</c:v>
                </c:pt>
                <c:pt idx="108">
                  <c:v>0.53771760154738879</c:v>
                </c:pt>
                <c:pt idx="109">
                  <c:v>0.53216374269005851</c:v>
                </c:pt>
                <c:pt idx="110">
                  <c:v>0.521484375</c:v>
                </c:pt>
                <c:pt idx="111">
                  <c:v>0.51372549019607838</c:v>
                </c:pt>
                <c:pt idx="112">
                  <c:v>0.50590551181102361</c:v>
                </c:pt>
                <c:pt idx="113">
                  <c:v>0.49801587301587302</c:v>
                </c:pt>
                <c:pt idx="114">
                  <c:v>0.49500998003992014</c:v>
                </c:pt>
                <c:pt idx="115">
                  <c:v>0.49090909090909091</c:v>
                </c:pt>
                <c:pt idx="116">
                  <c:v>0.48780487804878048</c:v>
                </c:pt>
                <c:pt idx="117">
                  <c:v>0.48360655737704916</c:v>
                </c:pt>
                <c:pt idx="118">
                  <c:v>0.48033126293995859</c:v>
                </c:pt>
                <c:pt idx="119">
                  <c:v>0.47578947368421054</c:v>
                </c:pt>
                <c:pt idx="120">
                  <c:v>0.46794871794871795</c:v>
                </c:pt>
                <c:pt idx="121">
                  <c:v>0.46608315098468273</c:v>
                </c:pt>
                <c:pt idx="122">
                  <c:v>0.45861297539149887</c:v>
                </c:pt>
                <c:pt idx="123">
                  <c:v>0.45517241379310347</c:v>
                </c:pt>
                <c:pt idx="124">
                  <c:v>0.45130641330166271</c:v>
                </c:pt>
                <c:pt idx="125">
                  <c:v>0.45544554455445546</c:v>
                </c:pt>
                <c:pt idx="126">
                  <c:v>0.45714285714285713</c:v>
                </c:pt>
                <c:pt idx="127">
                  <c:v>0.45528455284552843</c:v>
                </c:pt>
                <c:pt idx="128">
                  <c:v>0.4511494252873563</c:v>
                </c:pt>
                <c:pt idx="129">
                  <c:v>0.44444444444444442</c:v>
                </c:pt>
                <c:pt idx="130">
                  <c:v>0.44863013698630139</c:v>
                </c:pt>
                <c:pt idx="131">
                  <c:v>0.44827586206896552</c:v>
                </c:pt>
                <c:pt idx="132">
                  <c:v>0.43859649122807015</c:v>
                </c:pt>
                <c:pt idx="133">
                  <c:v>0.43523316062176165</c:v>
                </c:pt>
                <c:pt idx="134">
                  <c:v>0.43292682926829268</c:v>
                </c:pt>
                <c:pt idx="135">
                  <c:v>0.42753623188405798</c:v>
                </c:pt>
                <c:pt idx="136">
                  <c:v>0.43333333333333335</c:v>
                </c:pt>
                <c:pt idx="137">
                  <c:v>0.44660194174757284</c:v>
                </c:pt>
                <c:pt idx="138">
                  <c:v>0.45054945054945056</c:v>
                </c:pt>
                <c:pt idx="139">
                  <c:v>0.42857142857142855</c:v>
                </c:pt>
                <c:pt idx="140">
                  <c:v>0.44927536231884058</c:v>
                </c:pt>
                <c:pt idx="141">
                  <c:v>0.45</c:v>
                </c:pt>
                <c:pt idx="142">
                  <c:v>0.46153846153846156</c:v>
                </c:pt>
                <c:pt idx="143">
                  <c:v>0.43478260869565216</c:v>
                </c:pt>
                <c:pt idx="144">
                  <c:v>0.43902439024390244</c:v>
                </c:pt>
                <c:pt idx="145">
                  <c:v>0.47058823529411764</c:v>
                </c:pt>
                <c:pt idx="146">
                  <c:v>0.5</c:v>
                </c:pt>
                <c:pt idx="147">
                  <c:v>0.51851851851851849</c:v>
                </c:pt>
                <c:pt idx="148">
                  <c:v>0.48</c:v>
                </c:pt>
                <c:pt idx="149">
                  <c:v>0.52380952380952384</c:v>
                </c:pt>
                <c:pt idx="150">
                  <c:v>0.55000000000000004</c:v>
                </c:pt>
                <c:pt idx="151">
                  <c:v>0.63157894736842102</c:v>
                </c:pt>
                <c:pt idx="152">
                  <c:v>0.52941176470588236</c:v>
                </c:pt>
                <c:pt idx="153">
                  <c:v>0.5625</c:v>
                </c:pt>
                <c:pt idx="154">
                  <c:v>0.6428571428571429</c:v>
                </c:pt>
                <c:pt idx="155">
                  <c:v>0.66666666666666663</c:v>
                </c:pt>
                <c:pt idx="156">
                  <c:v>0.53846153846153844</c:v>
                </c:pt>
                <c:pt idx="157">
                  <c:v>0.69230769230769229</c:v>
                </c:pt>
                <c:pt idx="158">
                  <c:v>0.58333333333333337</c:v>
                </c:pt>
                <c:pt idx="159">
                  <c:v>0.66666666666666663</c:v>
                </c:pt>
                <c:pt idx="160">
                  <c:v>0.61538461538461542</c:v>
                </c:pt>
                <c:pt idx="161">
                  <c:v>0.61538461538461542</c:v>
                </c:pt>
                <c:pt idx="162">
                  <c:v>0.5</c:v>
                </c:pt>
                <c:pt idx="163">
                  <c:v>0.72727272727272729</c:v>
                </c:pt>
                <c:pt idx="164">
                  <c:v>0.54545454545454541</c:v>
                </c:pt>
                <c:pt idx="165">
                  <c:v>0.72727272727272729</c:v>
                </c:pt>
                <c:pt idx="166">
                  <c:v>0.81818181818181823</c:v>
                </c:pt>
                <c:pt idx="167">
                  <c:v>0.8</c:v>
                </c:pt>
                <c:pt idx="168">
                  <c:v>0.72727272727272729</c:v>
                </c:pt>
                <c:pt idx="169">
                  <c:v>0.72727272727272729</c:v>
                </c:pt>
                <c:pt idx="170">
                  <c:v>0.72727272727272729</c:v>
                </c:pt>
                <c:pt idx="171">
                  <c:v>0.72727272727272729</c:v>
                </c:pt>
                <c:pt idx="172">
                  <c:v>0.72727272727272729</c:v>
                </c:pt>
                <c:pt idx="173">
                  <c:v>0.81818181818181823</c:v>
                </c:pt>
                <c:pt idx="174">
                  <c:v>0.72727272727272729</c:v>
                </c:pt>
                <c:pt idx="175">
                  <c:v>0.81818181818181823</c:v>
                </c:pt>
                <c:pt idx="176">
                  <c:v>0.69230769230769229</c:v>
                </c:pt>
                <c:pt idx="177">
                  <c:v>0.81818181818181823</c:v>
                </c:pt>
                <c:pt idx="178">
                  <c:v>0.75</c:v>
                </c:pt>
                <c:pt idx="179">
                  <c:v>0.69230769230769229</c:v>
                </c:pt>
                <c:pt idx="180">
                  <c:v>0.75</c:v>
                </c:pt>
                <c:pt idx="181">
                  <c:v>0.69230769230769229</c:v>
                </c:pt>
                <c:pt idx="182">
                  <c:v>0.83333333333333337</c:v>
                </c:pt>
                <c:pt idx="183">
                  <c:v>0.7857142857142857</c:v>
                </c:pt>
                <c:pt idx="184">
                  <c:v>0.8571428571428571</c:v>
                </c:pt>
                <c:pt idx="185">
                  <c:v>0.8</c:v>
                </c:pt>
                <c:pt idx="186">
                  <c:v>0.6875</c:v>
                </c:pt>
                <c:pt idx="187">
                  <c:v>0.75</c:v>
                </c:pt>
                <c:pt idx="188">
                  <c:v>0.88235294117647056</c:v>
                </c:pt>
                <c:pt idx="189">
                  <c:v>0.83333333333333337</c:v>
                </c:pt>
                <c:pt idx="190">
                  <c:v>0.77777777777777779</c:v>
                </c:pt>
                <c:pt idx="191">
                  <c:v>0.77777777777777779</c:v>
                </c:pt>
                <c:pt idx="192">
                  <c:v>0.81818181818181823</c:v>
                </c:pt>
                <c:pt idx="193">
                  <c:v>0.8</c:v>
                </c:pt>
                <c:pt idx="194">
                  <c:v>0.8</c:v>
                </c:pt>
                <c:pt idx="195">
                  <c:v>0.77272727272727271</c:v>
                </c:pt>
                <c:pt idx="196">
                  <c:v>0.83333333333333337</c:v>
                </c:pt>
                <c:pt idx="197">
                  <c:v>0.79166666666666663</c:v>
                </c:pt>
                <c:pt idx="198">
                  <c:v>0.76</c:v>
                </c:pt>
                <c:pt idx="199">
                  <c:v>0.81481481481481477</c:v>
                </c:pt>
                <c:pt idx="200">
                  <c:v>0.81481481481481477</c:v>
                </c:pt>
                <c:pt idx="201">
                  <c:v>0.77419354838709675</c:v>
                </c:pt>
                <c:pt idx="202">
                  <c:v>0.80645161290322576</c:v>
                </c:pt>
                <c:pt idx="203">
                  <c:v>0.78125</c:v>
                </c:pt>
                <c:pt idx="204">
                  <c:v>0.75</c:v>
                </c:pt>
                <c:pt idx="205">
                  <c:v>0.72222222222222221</c:v>
                </c:pt>
                <c:pt idx="206">
                  <c:v>0.71794871794871795</c:v>
                </c:pt>
                <c:pt idx="207">
                  <c:v>0.74358974358974361</c:v>
                </c:pt>
                <c:pt idx="208">
                  <c:v>0.75</c:v>
                </c:pt>
                <c:pt idx="209">
                  <c:v>0.79545454545454541</c:v>
                </c:pt>
                <c:pt idx="210">
                  <c:v>0.7857142857142857</c:v>
                </c:pt>
                <c:pt idx="211">
                  <c:v>0.76086956521739135</c:v>
                </c:pt>
                <c:pt idx="212">
                  <c:v>0.78723404255319152</c:v>
                </c:pt>
                <c:pt idx="213">
                  <c:v>0.76</c:v>
                </c:pt>
                <c:pt idx="214">
                  <c:v>0.77551020408163263</c:v>
                </c:pt>
                <c:pt idx="215">
                  <c:v>0.79591836734693877</c:v>
                </c:pt>
                <c:pt idx="216">
                  <c:v>0.76923076923076927</c:v>
                </c:pt>
                <c:pt idx="217">
                  <c:v>0.72222222222222221</c:v>
                </c:pt>
                <c:pt idx="218">
                  <c:v>0.75862068965517238</c:v>
                </c:pt>
                <c:pt idx="219">
                  <c:v>0.76271186440677963</c:v>
                </c:pt>
                <c:pt idx="220">
                  <c:v>0.77049180327868849</c:v>
                </c:pt>
                <c:pt idx="221">
                  <c:v>0.75806451612903225</c:v>
                </c:pt>
                <c:pt idx="222">
                  <c:v>0.74193548387096775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15-464E-8B55-A5A9C11FDFD5}"/>
            </c:ext>
          </c:extLst>
        </c:ser>
        <c:ser>
          <c:idx val="5"/>
          <c:order val="5"/>
          <c:tx>
            <c:v>SWIR_Low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902.33749999999998</c:v>
                </c:pt>
                <c:pt idx="1">
                  <c:v>905.95624999999995</c:v>
                </c:pt>
                <c:pt idx="2">
                  <c:v>909.57500000000005</c:v>
                </c:pt>
                <c:pt idx="3">
                  <c:v>913.19375000000002</c:v>
                </c:pt>
                <c:pt idx="4">
                  <c:v>916.8125</c:v>
                </c:pt>
                <c:pt idx="5">
                  <c:v>920.43124999999998</c:v>
                </c:pt>
                <c:pt idx="6">
                  <c:v>924.05</c:v>
                </c:pt>
                <c:pt idx="7">
                  <c:v>927.66875000000005</c:v>
                </c:pt>
                <c:pt idx="8">
                  <c:v>931.28750000000002</c:v>
                </c:pt>
                <c:pt idx="9">
                  <c:v>934.90625</c:v>
                </c:pt>
                <c:pt idx="10">
                  <c:v>938.52499999999998</c:v>
                </c:pt>
                <c:pt idx="11">
                  <c:v>942.14374999999995</c:v>
                </c:pt>
                <c:pt idx="12">
                  <c:v>945.76250000000005</c:v>
                </c:pt>
                <c:pt idx="13">
                  <c:v>949.38125000000002</c:v>
                </c:pt>
                <c:pt idx="14">
                  <c:v>953</c:v>
                </c:pt>
                <c:pt idx="15">
                  <c:v>956.61874999999998</c:v>
                </c:pt>
                <c:pt idx="16">
                  <c:v>960.23749999999995</c:v>
                </c:pt>
                <c:pt idx="17">
                  <c:v>963.85625000000005</c:v>
                </c:pt>
                <c:pt idx="18">
                  <c:v>967.47500000000002</c:v>
                </c:pt>
                <c:pt idx="19">
                  <c:v>971.09375</c:v>
                </c:pt>
                <c:pt idx="20">
                  <c:v>974.71249999999998</c:v>
                </c:pt>
                <c:pt idx="21">
                  <c:v>978.33124999999995</c:v>
                </c:pt>
                <c:pt idx="22">
                  <c:v>981.95</c:v>
                </c:pt>
                <c:pt idx="23">
                  <c:v>985.56875000000002</c:v>
                </c:pt>
                <c:pt idx="24">
                  <c:v>989.1875</c:v>
                </c:pt>
                <c:pt idx="25">
                  <c:v>992.80624999999998</c:v>
                </c:pt>
                <c:pt idx="26">
                  <c:v>996.42499999999995</c:v>
                </c:pt>
                <c:pt idx="27">
                  <c:v>1000.04375</c:v>
                </c:pt>
                <c:pt idx="28">
                  <c:v>1003.6625</c:v>
                </c:pt>
                <c:pt idx="29">
                  <c:v>1007.28125</c:v>
                </c:pt>
                <c:pt idx="30">
                  <c:v>1010.9</c:v>
                </c:pt>
                <c:pt idx="31">
                  <c:v>1014.51875</c:v>
                </c:pt>
                <c:pt idx="32">
                  <c:v>1018.1375</c:v>
                </c:pt>
                <c:pt idx="33">
                  <c:v>1021.75625</c:v>
                </c:pt>
                <c:pt idx="34">
                  <c:v>1025.375</c:v>
                </c:pt>
                <c:pt idx="35">
                  <c:v>1028.9937500000001</c:v>
                </c:pt>
                <c:pt idx="36">
                  <c:v>1032.6125</c:v>
                </c:pt>
                <c:pt idx="37">
                  <c:v>1036.23125</c:v>
                </c:pt>
                <c:pt idx="38">
                  <c:v>1039.8499999999999</c:v>
                </c:pt>
                <c:pt idx="39">
                  <c:v>1043.46875</c:v>
                </c:pt>
                <c:pt idx="40">
                  <c:v>1047.0875000000001</c:v>
                </c:pt>
                <c:pt idx="41">
                  <c:v>1050.70625</c:v>
                </c:pt>
                <c:pt idx="42">
                  <c:v>1054.325</c:v>
                </c:pt>
                <c:pt idx="43">
                  <c:v>1057.9437499999999</c:v>
                </c:pt>
                <c:pt idx="44">
                  <c:v>1061.5625</c:v>
                </c:pt>
                <c:pt idx="45">
                  <c:v>1065.1812500000001</c:v>
                </c:pt>
                <c:pt idx="46">
                  <c:v>1068.8</c:v>
                </c:pt>
                <c:pt idx="47">
                  <c:v>1072.41875</c:v>
                </c:pt>
                <c:pt idx="48">
                  <c:v>1076.0374999999999</c:v>
                </c:pt>
                <c:pt idx="49">
                  <c:v>1079.65625</c:v>
                </c:pt>
                <c:pt idx="50">
                  <c:v>1083.2750000000001</c:v>
                </c:pt>
                <c:pt idx="51">
                  <c:v>1086.89375</c:v>
                </c:pt>
                <c:pt idx="52">
                  <c:v>1090.5125</c:v>
                </c:pt>
                <c:pt idx="53">
                  <c:v>1094.1312499999999</c:v>
                </c:pt>
                <c:pt idx="54">
                  <c:v>1097.75</c:v>
                </c:pt>
                <c:pt idx="55">
                  <c:v>1101.3687500000001</c:v>
                </c:pt>
                <c:pt idx="56">
                  <c:v>1104.9875</c:v>
                </c:pt>
                <c:pt idx="57">
                  <c:v>1108.60625</c:v>
                </c:pt>
                <c:pt idx="58">
                  <c:v>1112.2249999999999</c:v>
                </c:pt>
                <c:pt idx="59">
                  <c:v>1115.84375</c:v>
                </c:pt>
                <c:pt idx="60">
                  <c:v>1119.4625000000001</c:v>
                </c:pt>
                <c:pt idx="61">
                  <c:v>1123.08125</c:v>
                </c:pt>
                <c:pt idx="62">
                  <c:v>1126.7</c:v>
                </c:pt>
                <c:pt idx="63">
                  <c:v>1130.3187499999999</c:v>
                </c:pt>
                <c:pt idx="64">
                  <c:v>1133.9375</c:v>
                </c:pt>
                <c:pt idx="65">
                  <c:v>1137.5562500000001</c:v>
                </c:pt>
                <c:pt idx="66">
                  <c:v>1141.175</c:v>
                </c:pt>
                <c:pt idx="67">
                  <c:v>1144.79375</c:v>
                </c:pt>
                <c:pt idx="68">
                  <c:v>1148.4124999999999</c:v>
                </c:pt>
                <c:pt idx="69">
                  <c:v>1152.03125</c:v>
                </c:pt>
                <c:pt idx="70">
                  <c:v>1155.6500000000001</c:v>
                </c:pt>
                <c:pt idx="71">
                  <c:v>1159.26875</c:v>
                </c:pt>
                <c:pt idx="72">
                  <c:v>1162.8875</c:v>
                </c:pt>
                <c:pt idx="73">
                  <c:v>1166.5062499999999</c:v>
                </c:pt>
                <c:pt idx="74">
                  <c:v>1170.125</c:v>
                </c:pt>
                <c:pt idx="75">
                  <c:v>1173.7437500000001</c:v>
                </c:pt>
                <c:pt idx="76">
                  <c:v>1177.3625</c:v>
                </c:pt>
                <c:pt idx="77">
                  <c:v>1180.98125</c:v>
                </c:pt>
                <c:pt idx="78">
                  <c:v>1184.5999999999999</c:v>
                </c:pt>
                <c:pt idx="79">
                  <c:v>1188.21875</c:v>
                </c:pt>
                <c:pt idx="80">
                  <c:v>1191.8375000000001</c:v>
                </c:pt>
                <c:pt idx="81">
                  <c:v>1195.45625</c:v>
                </c:pt>
                <c:pt idx="82">
                  <c:v>1199.075</c:v>
                </c:pt>
                <c:pt idx="83">
                  <c:v>1202.6937499999999</c:v>
                </c:pt>
                <c:pt idx="84">
                  <c:v>1206.3125</c:v>
                </c:pt>
                <c:pt idx="85">
                  <c:v>1209.9312500000001</c:v>
                </c:pt>
                <c:pt idx="86">
                  <c:v>1213.55</c:v>
                </c:pt>
                <c:pt idx="87">
                  <c:v>1217.16875</c:v>
                </c:pt>
                <c:pt idx="88">
                  <c:v>1220.7874999999999</c:v>
                </c:pt>
                <c:pt idx="89">
                  <c:v>1224.40625</c:v>
                </c:pt>
                <c:pt idx="90">
                  <c:v>1228.0250000000001</c:v>
                </c:pt>
                <c:pt idx="91">
                  <c:v>1231.64375</c:v>
                </c:pt>
                <c:pt idx="92">
                  <c:v>1235.2625</c:v>
                </c:pt>
                <c:pt idx="93">
                  <c:v>1238.8812499999999</c:v>
                </c:pt>
                <c:pt idx="94">
                  <c:v>1242.5</c:v>
                </c:pt>
                <c:pt idx="95">
                  <c:v>1246.1187500000001</c:v>
                </c:pt>
                <c:pt idx="96">
                  <c:v>1249.7375</c:v>
                </c:pt>
                <c:pt idx="97">
                  <c:v>1253.35625</c:v>
                </c:pt>
                <c:pt idx="98">
                  <c:v>1256.9749999999999</c:v>
                </c:pt>
                <c:pt idx="99">
                  <c:v>1260.59375</c:v>
                </c:pt>
                <c:pt idx="100">
                  <c:v>1264.2125000000001</c:v>
                </c:pt>
                <c:pt idx="101">
                  <c:v>1267.83125</c:v>
                </c:pt>
                <c:pt idx="102">
                  <c:v>1271.45</c:v>
                </c:pt>
                <c:pt idx="103">
                  <c:v>1275.0687499999999</c:v>
                </c:pt>
                <c:pt idx="104">
                  <c:v>1278.6875</c:v>
                </c:pt>
                <c:pt idx="105">
                  <c:v>1282.3062500000001</c:v>
                </c:pt>
                <c:pt idx="106">
                  <c:v>1285.9250000000002</c:v>
                </c:pt>
                <c:pt idx="107">
                  <c:v>1289.54375</c:v>
                </c:pt>
                <c:pt idx="108">
                  <c:v>1293.1624999999999</c:v>
                </c:pt>
                <c:pt idx="109">
                  <c:v>1296.78125</c:v>
                </c:pt>
                <c:pt idx="110">
                  <c:v>1300.4000000000001</c:v>
                </c:pt>
                <c:pt idx="111">
                  <c:v>1304.0187500000002</c:v>
                </c:pt>
                <c:pt idx="112">
                  <c:v>1307.6375</c:v>
                </c:pt>
                <c:pt idx="113">
                  <c:v>1311.2562499999999</c:v>
                </c:pt>
                <c:pt idx="114">
                  <c:v>1314.875</c:v>
                </c:pt>
                <c:pt idx="115">
                  <c:v>1318.4937500000001</c:v>
                </c:pt>
                <c:pt idx="116">
                  <c:v>1322.1125000000002</c:v>
                </c:pt>
                <c:pt idx="117">
                  <c:v>1325.73125</c:v>
                </c:pt>
                <c:pt idx="118">
                  <c:v>1329.35</c:v>
                </c:pt>
                <c:pt idx="119">
                  <c:v>1332.96875</c:v>
                </c:pt>
                <c:pt idx="120">
                  <c:v>1336.5875000000001</c:v>
                </c:pt>
                <c:pt idx="121">
                  <c:v>1340.2062500000002</c:v>
                </c:pt>
                <c:pt idx="122">
                  <c:v>1343.825</c:v>
                </c:pt>
                <c:pt idx="123">
                  <c:v>1347.4437499999999</c:v>
                </c:pt>
                <c:pt idx="124">
                  <c:v>1351.0625</c:v>
                </c:pt>
                <c:pt idx="125">
                  <c:v>1354.6812500000001</c:v>
                </c:pt>
                <c:pt idx="126">
                  <c:v>1358.3000000000002</c:v>
                </c:pt>
                <c:pt idx="127">
                  <c:v>1361.91875</c:v>
                </c:pt>
                <c:pt idx="128">
                  <c:v>1365.5374999999999</c:v>
                </c:pt>
                <c:pt idx="129">
                  <c:v>1369.15625</c:v>
                </c:pt>
                <c:pt idx="130">
                  <c:v>1372.7750000000001</c:v>
                </c:pt>
                <c:pt idx="131">
                  <c:v>1376.3937500000002</c:v>
                </c:pt>
                <c:pt idx="132">
                  <c:v>1380.0125</c:v>
                </c:pt>
                <c:pt idx="133">
                  <c:v>1383.6312499999999</c:v>
                </c:pt>
                <c:pt idx="134">
                  <c:v>1387.25</c:v>
                </c:pt>
                <c:pt idx="135">
                  <c:v>1390.8687500000001</c:v>
                </c:pt>
                <c:pt idx="136">
                  <c:v>1394.4875000000002</c:v>
                </c:pt>
                <c:pt idx="137">
                  <c:v>1398.10625</c:v>
                </c:pt>
                <c:pt idx="138">
                  <c:v>1401.7249999999999</c:v>
                </c:pt>
                <c:pt idx="139">
                  <c:v>1405.34375</c:v>
                </c:pt>
                <c:pt idx="140">
                  <c:v>1408.9625000000001</c:v>
                </c:pt>
                <c:pt idx="141">
                  <c:v>1412.5812500000002</c:v>
                </c:pt>
                <c:pt idx="142">
                  <c:v>1416.2</c:v>
                </c:pt>
                <c:pt idx="143">
                  <c:v>1419.8187499999999</c:v>
                </c:pt>
                <c:pt idx="144">
                  <c:v>1423.4375</c:v>
                </c:pt>
                <c:pt idx="145">
                  <c:v>1427.0562500000001</c:v>
                </c:pt>
                <c:pt idx="146">
                  <c:v>1430.6750000000002</c:v>
                </c:pt>
                <c:pt idx="147">
                  <c:v>1434.29375</c:v>
                </c:pt>
                <c:pt idx="148">
                  <c:v>1437.9124999999999</c:v>
                </c:pt>
                <c:pt idx="149">
                  <c:v>1441.53125</c:v>
                </c:pt>
                <c:pt idx="150">
                  <c:v>1445.15</c:v>
                </c:pt>
                <c:pt idx="151">
                  <c:v>1448.7687500000002</c:v>
                </c:pt>
                <c:pt idx="152">
                  <c:v>1452.3875</c:v>
                </c:pt>
                <c:pt idx="153">
                  <c:v>1456.0062499999999</c:v>
                </c:pt>
                <c:pt idx="154">
                  <c:v>1459.625</c:v>
                </c:pt>
                <c:pt idx="155">
                  <c:v>1463.2437500000001</c:v>
                </c:pt>
                <c:pt idx="156">
                  <c:v>1466.8625000000002</c:v>
                </c:pt>
                <c:pt idx="157">
                  <c:v>1470.48125</c:v>
                </c:pt>
                <c:pt idx="158">
                  <c:v>1474.1</c:v>
                </c:pt>
                <c:pt idx="159">
                  <c:v>1477.71875</c:v>
                </c:pt>
                <c:pt idx="160">
                  <c:v>1481.3375000000001</c:v>
                </c:pt>
                <c:pt idx="161">
                  <c:v>1484.9562500000002</c:v>
                </c:pt>
                <c:pt idx="162">
                  <c:v>1488.575</c:v>
                </c:pt>
                <c:pt idx="163">
                  <c:v>1492.1937499999999</c:v>
                </c:pt>
                <c:pt idx="164">
                  <c:v>1495.8125</c:v>
                </c:pt>
                <c:pt idx="165">
                  <c:v>1499.4312500000001</c:v>
                </c:pt>
                <c:pt idx="166">
                  <c:v>1503.0500000000002</c:v>
                </c:pt>
                <c:pt idx="167">
                  <c:v>1506.66875</c:v>
                </c:pt>
                <c:pt idx="168">
                  <c:v>1510.2874999999999</c:v>
                </c:pt>
                <c:pt idx="169">
                  <c:v>1513.90625</c:v>
                </c:pt>
                <c:pt idx="170">
                  <c:v>1517.5250000000001</c:v>
                </c:pt>
                <c:pt idx="171">
                  <c:v>1521.1437500000002</c:v>
                </c:pt>
                <c:pt idx="172">
                  <c:v>1524.7625</c:v>
                </c:pt>
                <c:pt idx="173">
                  <c:v>1528.3812499999999</c:v>
                </c:pt>
                <c:pt idx="174">
                  <c:v>1532</c:v>
                </c:pt>
                <c:pt idx="175">
                  <c:v>1535.6187500000001</c:v>
                </c:pt>
                <c:pt idx="176">
                  <c:v>1539.2375000000002</c:v>
                </c:pt>
                <c:pt idx="177">
                  <c:v>1542.85625</c:v>
                </c:pt>
                <c:pt idx="178">
                  <c:v>1546.4749999999999</c:v>
                </c:pt>
                <c:pt idx="179">
                  <c:v>1550.09375</c:v>
                </c:pt>
                <c:pt idx="180">
                  <c:v>1553.7125000000001</c:v>
                </c:pt>
                <c:pt idx="181">
                  <c:v>1557.3312500000002</c:v>
                </c:pt>
                <c:pt idx="182">
                  <c:v>1560.95</c:v>
                </c:pt>
                <c:pt idx="183">
                  <c:v>1564.5687499999999</c:v>
                </c:pt>
                <c:pt idx="184">
                  <c:v>1568.1875</c:v>
                </c:pt>
                <c:pt idx="185">
                  <c:v>1571.8062500000001</c:v>
                </c:pt>
                <c:pt idx="186">
                  <c:v>1575.4250000000002</c:v>
                </c:pt>
                <c:pt idx="187">
                  <c:v>1579.04375</c:v>
                </c:pt>
                <c:pt idx="188">
                  <c:v>1582.6624999999999</c:v>
                </c:pt>
                <c:pt idx="189">
                  <c:v>1586.28125</c:v>
                </c:pt>
                <c:pt idx="190">
                  <c:v>1589.9</c:v>
                </c:pt>
                <c:pt idx="191">
                  <c:v>1593.5187500000002</c:v>
                </c:pt>
                <c:pt idx="192">
                  <c:v>1597.1375</c:v>
                </c:pt>
                <c:pt idx="193">
                  <c:v>1600.7562499999999</c:v>
                </c:pt>
                <c:pt idx="194">
                  <c:v>1604.375</c:v>
                </c:pt>
                <c:pt idx="195">
                  <c:v>1607.9937500000001</c:v>
                </c:pt>
                <c:pt idx="196">
                  <c:v>1611.6125000000002</c:v>
                </c:pt>
                <c:pt idx="197">
                  <c:v>1615.23125</c:v>
                </c:pt>
                <c:pt idx="198">
                  <c:v>1618.85</c:v>
                </c:pt>
                <c:pt idx="199">
                  <c:v>1622.46875</c:v>
                </c:pt>
                <c:pt idx="200">
                  <c:v>1626.0875000000001</c:v>
                </c:pt>
                <c:pt idx="201">
                  <c:v>1629.7062500000002</c:v>
                </c:pt>
                <c:pt idx="202">
                  <c:v>1633.325</c:v>
                </c:pt>
                <c:pt idx="203">
                  <c:v>1636.9437499999999</c:v>
                </c:pt>
                <c:pt idx="204">
                  <c:v>1640.5625</c:v>
                </c:pt>
                <c:pt idx="205">
                  <c:v>1644.1812500000001</c:v>
                </c:pt>
                <c:pt idx="206">
                  <c:v>1647.8000000000002</c:v>
                </c:pt>
                <c:pt idx="207">
                  <c:v>1651.41875</c:v>
                </c:pt>
                <c:pt idx="208">
                  <c:v>1655.0374999999999</c:v>
                </c:pt>
                <c:pt idx="209">
                  <c:v>1658.65625</c:v>
                </c:pt>
                <c:pt idx="210">
                  <c:v>1662.2750000000001</c:v>
                </c:pt>
                <c:pt idx="211">
                  <c:v>1665.8937500000002</c:v>
                </c:pt>
                <c:pt idx="212">
                  <c:v>1669.5125</c:v>
                </c:pt>
                <c:pt idx="213">
                  <c:v>1673.1312499999999</c:v>
                </c:pt>
                <c:pt idx="214">
                  <c:v>1676.75</c:v>
                </c:pt>
                <c:pt idx="215">
                  <c:v>1680.3687500000001</c:v>
                </c:pt>
                <c:pt idx="216">
                  <c:v>1683.9875000000002</c:v>
                </c:pt>
                <c:pt idx="217">
                  <c:v>1687.60625</c:v>
                </c:pt>
                <c:pt idx="218">
                  <c:v>1691.2249999999999</c:v>
                </c:pt>
                <c:pt idx="219">
                  <c:v>1694.84375</c:v>
                </c:pt>
                <c:pt idx="220">
                  <c:v>1698.4625000000001</c:v>
                </c:pt>
                <c:pt idx="221">
                  <c:v>1702.0812500000002</c:v>
                </c:pt>
                <c:pt idx="222">
                  <c:v>1705.7</c:v>
                </c:pt>
                <c:pt idx="223">
                  <c:v>1709.3187499999999</c:v>
                </c:pt>
              </c:numCache>
            </c:numRef>
          </c:xVal>
          <c:yVal>
            <c:numRef>
              <c:f>Analysis!$L$42:$L$265</c:f>
              <c:numCache>
                <c:formatCode>0.000</c:formatCode>
                <c:ptCount val="224"/>
                <c:pt idx="0">
                  <c:v>0.81871345029239762</c:v>
                </c:pt>
                <c:pt idx="1">
                  <c:v>0.81065088757396453</c:v>
                </c:pt>
                <c:pt idx="2">
                  <c:v>0.81927710843373491</c:v>
                </c:pt>
                <c:pt idx="3">
                  <c:v>0.82035928143712578</c:v>
                </c:pt>
                <c:pt idx="4">
                  <c:v>0.81707317073170727</c:v>
                </c:pt>
                <c:pt idx="5">
                  <c:v>0.82424242424242422</c:v>
                </c:pt>
                <c:pt idx="6">
                  <c:v>0.83132530120481929</c:v>
                </c:pt>
                <c:pt idx="7">
                  <c:v>0.82424242424242422</c:v>
                </c:pt>
                <c:pt idx="8">
                  <c:v>0.83132530120481929</c:v>
                </c:pt>
                <c:pt idx="9">
                  <c:v>0.83734939759036142</c:v>
                </c:pt>
                <c:pt idx="10">
                  <c:v>0.83832335329341312</c:v>
                </c:pt>
                <c:pt idx="11">
                  <c:v>0.8411764705882353</c:v>
                </c:pt>
                <c:pt idx="12">
                  <c:v>0.8411764705882353</c:v>
                </c:pt>
                <c:pt idx="13">
                  <c:v>0.84795321637426901</c:v>
                </c:pt>
                <c:pt idx="14">
                  <c:v>0.82954545454545459</c:v>
                </c:pt>
                <c:pt idx="15">
                  <c:v>0.83888888888888891</c:v>
                </c:pt>
                <c:pt idx="16">
                  <c:v>0.84065934065934067</c:v>
                </c:pt>
                <c:pt idx="17">
                  <c:v>0.83957219251336901</c:v>
                </c:pt>
                <c:pt idx="18">
                  <c:v>0.84293193717277481</c:v>
                </c:pt>
                <c:pt idx="19">
                  <c:v>0.84536082474226804</c:v>
                </c:pt>
                <c:pt idx="20">
                  <c:v>0.84693877551020413</c:v>
                </c:pt>
                <c:pt idx="21">
                  <c:v>0.84848484848484851</c:v>
                </c:pt>
                <c:pt idx="22">
                  <c:v>0.85148514851485146</c:v>
                </c:pt>
                <c:pt idx="23">
                  <c:v>0.84729064039408863</c:v>
                </c:pt>
                <c:pt idx="24">
                  <c:v>0.85576923076923073</c:v>
                </c:pt>
                <c:pt idx="25">
                  <c:v>0.85167464114832536</c:v>
                </c:pt>
                <c:pt idx="26">
                  <c:v>0.84905660377358494</c:v>
                </c:pt>
                <c:pt idx="27">
                  <c:v>0.85253456221198154</c:v>
                </c:pt>
                <c:pt idx="28">
                  <c:v>0.85</c:v>
                </c:pt>
                <c:pt idx="29">
                  <c:v>0.85333333333333339</c:v>
                </c:pt>
                <c:pt idx="30">
                  <c:v>0.84347826086956523</c:v>
                </c:pt>
                <c:pt idx="31">
                  <c:v>0.84913793103448276</c:v>
                </c:pt>
                <c:pt idx="32">
                  <c:v>0.84680851063829787</c:v>
                </c:pt>
                <c:pt idx="33">
                  <c:v>0.84518828451882844</c:v>
                </c:pt>
                <c:pt idx="34">
                  <c:v>0.85062240663900412</c:v>
                </c:pt>
                <c:pt idx="35">
                  <c:v>0.8448979591836735</c:v>
                </c:pt>
                <c:pt idx="36">
                  <c:v>0.84615384615384615</c:v>
                </c:pt>
                <c:pt idx="37">
                  <c:v>0.84920634920634919</c:v>
                </c:pt>
                <c:pt idx="38">
                  <c:v>0.8515625</c:v>
                </c:pt>
                <c:pt idx="39">
                  <c:v>0.85660377358490569</c:v>
                </c:pt>
                <c:pt idx="40">
                  <c:v>0.85239852398523985</c:v>
                </c:pt>
                <c:pt idx="41">
                  <c:v>0.85144927536231885</c:v>
                </c:pt>
                <c:pt idx="42">
                  <c:v>0.85144927536231885</c:v>
                </c:pt>
                <c:pt idx="43">
                  <c:v>0.84837545126353786</c:v>
                </c:pt>
                <c:pt idx="44">
                  <c:v>0.85053380782918153</c:v>
                </c:pt>
                <c:pt idx="45">
                  <c:v>0.84912280701754383</c:v>
                </c:pt>
                <c:pt idx="46">
                  <c:v>0.84879725085910651</c:v>
                </c:pt>
                <c:pt idx="47">
                  <c:v>0.84693877551020413</c:v>
                </c:pt>
                <c:pt idx="48">
                  <c:v>0.84563758389261745</c:v>
                </c:pt>
                <c:pt idx="49">
                  <c:v>0.84105960264900659</c:v>
                </c:pt>
                <c:pt idx="50">
                  <c:v>0.8403908794788274</c:v>
                </c:pt>
                <c:pt idx="51">
                  <c:v>0.84516129032258069</c:v>
                </c:pt>
                <c:pt idx="52">
                  <c:v>0.84076433121019112</c:v>
                </c:pt>
                <c:pt idx="53">
                  <c:v>0.84062499999999996</c:v>
                </c:pt>
                <c:pt idx="54">
                  <c:v>0.84161490683229812</c:v>
                </c:pt>
                <c:pt idx="55">
                  <c:v>0.83692307692307688</c:v>
                </c:pt>
                <c:pt idx="56">
                  <c:v>0.83939393939393936</c:v>
                </c:pt>
                <c:pt idx="57">
                  <c:v>0.84036144578313254</c:v>
                </c:pt>
                <c:pt idx="58">
                  <c:v>0.8392857142857143</c:v>
                </c:pt>
                <c:pt idx="59">
                  <c:v>0.83431952662721898</c:v>
                </c:pt>
                <c:pt idx="60">
                  <c:v>0.8299120234604106</c:v>
                </c:pt>
                <c:pt idx="61">
                  <c:v>0.83478260869565213</c:v>
                </c:pt>
                <c:pt idx="62">
                  <c:v>0.83667621776504297</c:v>
                </c:pt>
                <c:pt idx="63">
                  <c:v>0.83760683760683763</c:v>
                </c:pt>
                <c:pt idx="64">
                  <c:v>0.83943661971830985</c:v>
                </c:pt>
                <c:pt idx="65">
                  <c:v>0.83611111111111114</c:v>
                </c:pt>
                <c:pt idx="66">
                  <c:v>0.83701657458563539</c:v>
                </c:pt>
                <c:pt idx="67">
                  <c:v>0.83378746594005448</c:v>
                </c:pt>
                <c:pt idx="68">
                  <c:v>0.83695652173913049</c:v>
                </c:pt>
                <c:pt idx="69">
                  <c:v>0.83333333333333337</c:v>
                </c:pt>
                <c:pt idx="70">
                  <c:v>0.83333333333333337</c:v>
                </c:pt>
                <c:pt idx="71">
                  <c:v>0.83727034120734911</c:v>
                </c:pt>
                <c:pt idx="72">
                  <c:v>0.83812010443864227</c:v>
                </c:pt>
                <c:pt idx="73">
                  <c:v>0.84020618556701032</c:v>
                </c:pt>
                <c:pt idx="74">
                  <c:v>0.83589743589743593</c:v>
                </c:pt>
                <c:pt idx="75">
                  <c:v>0.83544303797468356</c:v>
                </c:pt>
                <c:pt idx="76">
                  <c:v>0.83879093198992438</c:v>
                </c:pt>
                <c:pt idx="77">
                  <c:v>0.83959899749373434</c:v>
                </c:pt>
                <c:pt idx="78">
                  <c:v>0.8366336633663366</c:v>
                </c:pt>
                <c:pt idx="79">
                  <c:v>0.83333333333333337</c:v>
                </c:pt>
                <c:pt idx="80">
                  <c:v>0.8365853658536585</c:v>
                </c:pt>
                <c:pt idx="81">
                  <c:v>0.83373493975903612</c:v>
                </c:pt>
                <c:pt idx="82">
                  <c:v>0.83293556085918852</c:v>
                </c:pt>
                <c:pt idx="83">
                  <c:v>0.83490566037735847</c:v>
                </c:pt>
                <c:pt idx="84">
                  <c:v>0.83568075117370888</c:v>
                </c:pt>
                <c:pt idx="85">
                  <c:v>0.83333333333333337</c:v>
                </c:pt>
                <c:pt idx="86">
                  <c:v>0.83295194508009152</c:v>
                </c:pt>
                <c:pt idx="87">
                  <c:v>0.83521444695259595</c:v>
                </c:pt>
                <c:pt idx="88">
                  <c:v>0.83296213808463249</c:v>
                </c:pt>
                <c:pt idx="89">
                  <c:v>0.8318965517241379</c:v>
                </c:pt>
                <c:pt idx="90">
                  <c:v>0.82661290322580649</c:v>
                </c:pt>
                <c:pt idx="91">
                  <c:v>0.82531194295900179</c:v>
                </c:pt>
                <c:pt idx="92">
                  <c:v>0.82495667244367421</c:v>
                </c:pt>
                <c:pt idx="93">
                  <c:v>0.82536764705882348</c:v>
                </c:pt>
                <c:pt idx="94">
                  <c:v>0.82680412371134016</c:v>
                </c:pt>
                <c:pt idx="95">
                  <c:v>0.82304526748971196</c:v>
                </c:pt>
                <c:pt idx="96">
                  <c:v>0.82377049180327866</c:v>
                </c:pt>
                <c:pt idx="97">
                  <c:v>0.82317073170731703</c:v>
                </c:pt>
                <c:pt idx="98">
                  <c:v>0.82424242424242422</c:v>
                </c:pt>
                <c:pt idx="99">
                  <c:v>0.82669322709163351</c:v>
                </c:pt>
                <c:pt idx="100">
                  <c:v>0.83101391650099399</c:v>
                </c:pt>
                <c:pt idx="101">
                  <c:v>0.83201581027667981</c:v>
                </c:pt>
                <c:pt idx="102">
                  <c:v>0.82745098039215681</c:v>
                </c:pt>
                <c:pt idx="103">
                  <c:v>0.83203125</c:v>
                </c:pt>
                <c:pt idx="104">
                  <c:v>0.83073929961089499</c:v>
                </c:pt>
                <c:pt idx="105">
                  <c:v>0.83073929961089499</c:v>
                </c:pt>
                <c:pt idx="106">
                  <c:v>0.83139534883720934</c:v>
                </c:pt>
                <c:pt idx="107">
                  <c:v>0.82658959537572252</c:v>
                </c:pt>
                <c:pt idx="108">
                  <c:v>0.82183908045977017</c:v>
                </c:pt>
                <c:pt idx="109">
                  <c:v>0.82285714285714284</c:v>
                </c:pt>
                <c:pt idx="110">
                  <c:v>0.81818181818181823</c:v>
                </c:pt>
                <c:pt idx="111">
                  <c:v>0.81474480151228734</c:v>
                </c:pt>
                <c:pt idx="112">
                  <c:v>0.81544256120527303</c:v>
                </c:pt>
                <c:pt idx="113">
                  <c:v>0.81203007518796988</c:v>
                </c:pt>
                <c:pt idx="114">
                  <c:v>0.80970149253731338</c:v>
                </c:pt>
                <c:pt idx="115">
                  <c:v>0.80783582089552242</c:v>
                </c:pt>
                <c:pt idx="116">
                  <c:v>0.80705009276437845</c:v>
                </c:pt>
                <c:pt idx="117">
                  <c:v>0.8040665434380776</c:v>
                </c:pt>
                <c:pt idx="118">
                  <c:v>0.80221811460258785</c:v>
                </c:pt>
                <c:pt idx="119">
                  <c:v>0.80036968576709799</c:v>
                </c:pt>
                <c:pt idx="120">
                  <c:v>0.80036968576709799</c:v>
                </c:pt>
                <c:pt idx="121">
                  <c:v>0.79742173112338854</c:v>
                </c:pt>
                <c:pt idx="122">
                  <c:v>0.79487179487179482</c:v>
                </c:pt>
                <c:pt idx="123">
                  <c:v>0.78937728937728935</c:v>
                </c:pt>
                <c:pt idx="124">
                  <c:v>0.78715596330275228</c:v>
                </c:pt>
                <c:pt idx="125">
                  <c:v>0.78228782287822873</c:v>
                </c:pt>
                <c:pt idx="126">
                  <c:v>0.77509293680297398</c:v>
                </c:pt>
                <c:pt idx="127">
                  <c:v>0.76579925650557623</c:v>
                </c:pt>
                <c:pt idx="128">
                  <c:v>0.76163873370577284</c:v>
                </c:pt>
                <c:pt idx="129">
                  <c:v>0.76066790352504643</c:v>
                </c:pt>
                <c:pt idx="130">
                  <c:v>0.75735294117647056</c:v>
                </c:pt>
                <c:pt idx="131">
                  <c:v>0.75045207956600357</c:v>
                </c:pt>
                <c:pt idx="132">
                  <c:v>0.74603174603174605</c:v>
                </c:pt>
                <c:pt idx="133">
                  <c:v>0.73217391304347823</c:v>
                </c:pt>
                <c:pt idx="134">
                  <c:v>0.7162629757785467</c:v>
                </c:pt>
                <c:pt idx="135">
                  <c:v>0.69723183391003463</c:v>
                </c:pt>
                <c:pt idx="136">
                  <c:v>0.67888307155322858</c:v>
                </c:pt>
                <c:pt idx="137">
                  <c:v>0.67019400352733682</c:v>
                </c:pt>
                <c:pt idx="138">
                  <c:v>0.66249999999999998</c:v>
                </c:pt>
                <c:pt idx="139">
                  <c:v>0.66249999999999998</c:v>
                </c:pt>
                <c:pt idx="140">
                  <c:v>0.66371681415929207</c:v>
                </c:pt>
                <c:pt idx="141">
                  <c:v>0.66431095406360419</c:v>
                </c:pt>
                <c:pt idx="142">
                  <c:v>0.66959578207381376</c:v>
                </c:pt>
                <c:pt idx="143">
                  <c:v>0.68006993006993011</c:v>
                </c:pt>
                <c:pt idx="144">
                  <c:v>0.71006944444444442</c:v>
                </c:pt>
                <c:pt idx="145">
                  <c:v>0.74826388888888884</c:v>
                </c:pt>
                <c:pt idx="146">
                  <c:v>0.76989619377162632</c:v>
                </c:pt>
                <c:pt idx="147">
                  <c:v>0.78178694158075601</c:v>
                </c:pt>
                <c:pt idx="148">
                  <c:v>0.79109589041095896</c:v>
                </c:pt>
                <c:pt idx="149">
                  <c:v>0.79761904761904767</c:v>
                </c:pt>
                <c:pt idx="150">
                  <c:v>0.80236486486486491</c:v>
                </c:pt>
                <c:pt idx="151">
                  <c:v>0.80847457627118646</c:v>
                </c:pt>
                <c:pt idx="152">
                  <c:v>0.8134453781512605</c:v>
                </c:pt>
                <c:pt idx="153">
                  <c:v>0.81574539363484089</c:v>
                </c:pt>
                <c:pt idx="154">
                  <c:v>0.82166666666666666</c:v>
                </c:pt>
                <c:pt idx="155">
                  <c:v>0.82119205298013243</c:v>
                </c:pt>
                <c:pt idx="156">
                  <c:v>0.82594417077175697</c:v>
                </c:pt>
                <c:pt idx="157">
                  <c:v>0.82544861337683528</c:v>
                </c:pt>
                <c:pt idx="158">
                  <c:v>0.82792207792207795</c:v>
                </c:pt>
                <c:pt idx="159">
                  <c:v>0.82820097244732582</c:v>
                </c:pt>
                <c:pt idx="160">
                  <c:v>0.82580645161290323</c:v>
                </c:pt>
                <c:pt idx="161">
                  <c:v>0.82636655948553051</c:v>
                </c:pt>
                <c:pt idx="162">
                  <c:v>0.83012820512820518</c:v>
                </c:pt>
                <c:pt idx="163">
                  <c:v>0.83173076923076927</c:v>
                </c:pt>
                <c:pt idx="164">
                  <c:v>0.83040000000000003</c:v>
                </c:pt>
                <c:pt idx="165">
                  <c:v>0.83386581469648557</c:v>
                </c:pt>
                <c:pt idx="166">
                  <c:v>0.83386581469648557</c:v>
                </c:pt>
                <c:pt idx="167">
                  <c:v>0.83280254777070062</c:v>
                </c:pt>
                <c:pt idx="168">
                  <c:v>0.83679999999999999</c:v>
                </c:pt>
                <c:pt idx="169">
                  <c:v>0.83891547049441784</c:v>
                </c:pt>
                <c:pt idx="170">
                  <c:v>0.84</c:v>
                </c:pt>
                <c:pt idx="171">
                  <c:v>0.83732057416267947</c:v>
                </c:pt>
                <c:pt idx="172">
                  <c:v>0.83706070287539935</c:v>
                </c:pt>
                <c:pt idx="173">
                  <c:v>0.83891547049441784</c:v>
                </c:pt>
                <c:pt idx="174">
                  <c:v>0.83917197452229297</c:v>
                </c:pt>
                <c:pt idx="175">
                  <c:v>0.84025559105431313</c:v>
                </c:pt>
                <c:pt idx="176">
                  <c:v>0.8410174880763116</c:v>
                </c:pt>
                <c:pt idx="177">
                  <c:v>0.84076433121019112</c:v>
                </c:pt>
                <c:pt idx="178">
                  <c:v>0.84152139461172737</c:v>
                </c:pt>
                <c:pt idx="179">
                  <c:v>0.84202211690363349</c:v>
                </c:pt>
                <c:pt idx="180">
                  <c:v>0.84012539184952983</c:v>
                </c:pt>
                <c:pt idx="181">
                  <c:v>0.84218749999999998</c:v>
                </c:pt>
                <c:pt idx="182">
                  <c:v>0.8419405320813772</c:v>
                </c:pt>
                <c:pt idx="183">
                  <c:v>0.84531250000000002</c:v>
                </c:pt>
                <c:pt idx="184">
                  <c:v>0.84267912772585674</c:v>
                </c:pt>
                <c:pt idx="185">
                  <c:v>0.84651162790697676</c:v>
                </c:pt>
                <c:pt idx="186">
                  <c:v>0.84651162790697676</c:v>
                </c:pt>
                <c:pt idx="187">
                  <c:v>0.84698608964451316</c:v>
                </c:pt>
                <c:pt idx="188">
                  <c:v>0.84923076923076923</c:v>
                </c:pt>
                <c:pt idx="189">
                  <c:v>0.84899845916795069</c:v>
                </c:pt>
                <c:pt idx="190">
                  <c:v>0.85076923076923072</c:v>
                </c:pt>
                <c:pt idx="191">
                  <c:v>0.85076923076923072</c:v>
                </c:pt>
                <c:pt idx="192">
                  <c:v>0.85053929121725735</c:v>
                </c:pt>
                <c:pt idx="193">
                  <c:v>0.85076923076923072</c:v>
                </c:pt>
                <c:pt idx="194">
                  <c:v>0.8520801232665639</c:v>
                </c:pt>
                <c:pt idx="195">
                  <c:v>0.85053929121725735</c:v>
                </c:pt>
                <c:pt idx="196">
                  <c:v>0.85030864197530864</c:v>
                </c:pt>
                <c:pt idx="197">
                  <c:v>0.85225505443234839</c:v>
                </c:pt>
                <c:pt idx="198">
                  <c:v>0.85</c:v>
                </c:pt>
                <c:pt idx="199">
                  <c:v>0.84687500000000004</c:v>
                </c:pt>
                <c:pt idx="200">
                  <c:v>0.84724409448818894</c:v>
                </c:pt>
                <c:pt idx="201">
                  <c:v>0.84761904761904761</c:v>
                </c:pt>
                <c:pt idx="202">
                  <c:v>0.84529505582137165</c:v>
                </c:pt>
                <c:pt idx="203">
                  <c:v>0.8470209339774557</c:v>
                </c:pt>
                <c:pt idx="204">
                  <c:v>0.84715447154471546</c:v>
                </c:pt>
                <c:pt idx="205">
                  <c:v>0.84729064039408863</c:v>
                </c:pt>
                <c:pt idx="206">
                  <c:v>0.84858569051580701</c:v>
                </c:pt>
                <c:pt idx="207">
                  <c:v>0.85185185185185186</c:v>
                </c:pt>
                <c:pt idx="208">
                  <c:v>0.85128205128205126</c:v>
                </c:pt>
                <c:pt idx="209">
                  <c:v>0.84991273996509598</c:v>
                </c:pt>
                <c:pt idx="210">
                  <c:v>0.8476702508960573</c:v>
                </c:pt>
                <c:pt idx="211">
                  <c:v>0.85424354243542433</c:v>
                </c:pt>
                <c:pt idx="212">
                  <c:v>0.85199240986717273</c:v>
                </c:pt>
                <c:pt idx="213">
                  <c:v>0.84931506849315064</c:v>
                </c:pt>
                <c:pt idx="214">
                  <c:v>0.84708249496981891</c:v>
                </c:pt>
                <c:pt idx="215">
                  <c:v>0.84728033472803344</c:v>
                </c:pt>
                <c:pt idx="216">
                  <c:v>0.84782608695652173</c:v>
                </c:pt>
                <c:pt idx="217">
                  <c:v>0.8510158013544018</c:v>
                </c:pt>
                <c:pt idx="218">
                  <c:v>0.852112676056338</c:v>
                </c:pt>
                <c:pt idx="219">
                  <c:v>0.84729064039408863</c:v>
                </c:pt>
                <c:pt idx="220">
                  <c:v>0.8511749347258486</c:v>
                </c:pt>
                <c:pt idx="221">
                  <c:v>0.84699453551912574</c:v>
                </c:pt>
                <c:pt idx="222">
                  <c:v>0.84943181818181823</c:v>
                </c:pt>
                <c:pt idx="223">
                  <c:v>0.84411764705882353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15-464E-8B55-A5A9C11FD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32655"/>
        <c:axId val="2051402479"/>
      </c:scatterChart>
      <c:valAx>
        <c:axId val="18245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02479"/>
        <c:crosses val="autoZero"/>
        <c:crossBetween val="midCat"/>
      </c:valAx>
      <c:valAx>
        <c:axId val="20514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53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Kaolinite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60751428762462E-2"/>
          <c:y val="5.2601071924832925E-2"/>
          <c:w val="0.92407053120615656"/>
          <c:h val="0.82553136801214866"/>
        </c:manualLayout>
      </c:layout>
      <c:scatterChart>
        <c:scatterStyle val="lineMarker"/>
        <c:varyColors val="0"/>
        <c:ser>
          <c:idx val="2"/>
          <c:order val="4"/>
          <c:tx>
            <c:v>MWIR_Low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Analysis!$U$55:$U$256</c:f>
              <c:numCache>
                <c:formatCode>General</c:formatCode>
                <c:ptCount val="202"/>
                <c:pt idx="0">
                  <c:v>1700.796875</c:v>
                </c:pt>
                <c:pt idx="1">
                  <c:v>1707.5</c:v>
                </c:pt>
                <c:pt idx="2">
                  <c:v>1714.203125</c:v>
                </c:pt>
                <c:pt idx="3">
                  <c:v>1720.90625</c:v>
                </c:pt>
                <c:pt idx="4">
                  <c:v>1727.609375</c:v>
                </c:pt>
                <c:pt idx="5">
                  <c:v>1734.3125</c:v>
                </c:pt>
                <c:pt idx="6">
                  <c:v>1741.015625</c:v>
                </c:pt>
                <c:pt idx="7">
                  <c:v>1747.71875</c:v>
                </c:pt>
                <c:pt idx="8">
                  <c:v>1754.421875</c:v>
                </c:pt>
                <c:pt idx="9">
                  <c:v>1761.125</c:v>
                </c:pt>
                <c:pt idx="10">
                  <c:v>1767.828125</c:v>
                </c:pt>
                <c:pt idx="11">
                  <c:v>1774.53125</c:v>
                </c:pt>
                <c:pt idx="12">
                  <c:v>1781.234375</c:v>
                </c:pt>
                <c:pt idx="13">
                  <c:v>1787.9375</c:v>
                </c:pt>
                <c:pt idx="14">
                  <c:v>1794.640625</c:v>
                </c:pt>
                <c:pt idx="15">
                  <c:v>1801.34375</c:v>
                </c:pt>
                <c:pt idx="16">
                  <c:v>1808.046875</c:v>
                </c:pt>
                <c:pt idx="17">
                  <c:v>1814.75</c:v>
                </c:pt>
                <c:pt idx="18">
                  <c:v>1821.453125</c:v>
                </c:pt>
                <c:pt idx="19">
                  <c:v>1828.15625</c:v>
                </c:pt>
                <c:pt idx="20">
                  <c:v>1834.859375</c:v>
                </c:pt>
                <c:pt idx="21">
                  <c:v>1841.5625</c:v>
                </c:pt>
                <c:pt idx="22">
                  <c:v>1848.265625</c:v>
                </c:pt>
                <c:pt idx="23">
                  <c:v>1854.96875</c:v>
                </c:pt>
                <c:pt idx="24">
                  <c:v>1861.671875</c:v>
                </c:pt>
                <c:pt idx="25">
                  <c:v>1868.375</c:v>
                </c:pt>
                <c:pt idx="26">
                  <c:v>1875.078125</c:v>
                </c:pt>
                <c:pt idx="27">
                  <c:v>1881.78125</c:v>
                </c:pt>
                <c:pt idx="28">
                  <c:v>1888.484375</c:v>
                </c:pt>
                <c:pt idx="29">
                  <c:v>1895.1875</c:v>
                </c:pt>
                <c:pt idx="30">
                  <c:v>1901.890625</c:v>
                </c:pt>
                <c:pt idx="31">
                  <c:v>1908.59375</c:v>
                </c:pt>
                <c:pt idx="32">
                  <c:v>1915.296875</c:v>
                </c:pt>
                <c:pt idx="33">
                  <c:v>1922</c:v>
                </c:pt>
                <c:pt idx="34">
                  <c:v>1928.703125</c:v>
                </c:pt>
                <c:pt idx="35">
                  <c:v>1935.40625</c:v>
                </c:pt>
                <c:pt idx="36">
                  <c:v>1942.109375</c:v>
                </c:pt>
                <c:pt idx="37">
                  <c:v>1948.8125</c:v>
                </c:pt>
                <c:pt idx="38">
                  <c:v>1955.515625</c:v>
                </c:pt>
                <c:pt idx="39">
                  <c:v>1962.21875</c:v>
                </c:pt>
                <c:pt idx="40">
                  <c:v>1968.921875</c:v>
                </c:pt>
                <c:pt idx="41">
                  <c:v>1975.625</c:v>
                </c:pt>
                <c:pt idx="42">
                  <c:v>1982.328125</c:v>
                </c:pt>
                <c:pt idx="43">
                  <c:v>1989.03125</c:v>
                </c:pt>
                <c:pt idx="44">
                  <c:v>1995.734375</c:v>
                </c:pt>
                <c:pt idx="45">
                  <c:v>2002.4375</c:v>
                </c:pt>
                <c:pt idx="46">
                  <c:v>2009.140625</c:v>
                </c:pt>
                <c:pt idx="47">
                  <c:v>2015.84375</c:v>
                </c:pt>
                <c:pt idx="48">
                  <c:v>2022.546875</c:v>
                </c:pt>
                <c:pt idx="49">
                  <c:v>2029.25</c:v>
                </c:pt>
                <c:pt idx="50">
                  <c:v>2035.953125</c:v>
                </c:pt>
                <c:pt idx="51">
                  <c:v>2042.65625</c:v>
                </c:pt>
                <c:pt idx="52">
                  <c:v>2049.359375</c:v>
                </c:pt>
                <c:pt idx="53">
                  <c:v>2056.0625</c:v>
                </c:pt>
                <c:pt idx="54">
                  <c:v>2062.765625</c:v>
                </c:pt>
                <c:pt idx="55">
                  <c:v>2069.46875</c:v>
                </c:pt>
                <c:pt idx="56">
                  <c:v>2076.171875</c:v>
                </c:pt>
                <c:pt idx="57">
                  <c:v>2082.875</c:v>
                </c:pt>
                <c:pt idx="58">
                  <c:v>2089.578125</c:v>
                </c:pt>
                <c:pt idx="59">
                  <c:v>2096.28125</c:v>
                </c:pt>
                <c:pt idx="60">
                  <c:v>2102.984375</c:v>
                </c:pt>
                <c:pt idx="61">
                  <c:v>2109.6875</c:v>
                </c:pt>
                <c:pt idx="62">
                  <c:v>2116.390625</c:v>
                </c:pt>
                <c:pt idx="63">
                  <c:v>2123.09375</c:v>
                </c:pt>
                <c:pt idx="64">
                  <c:v>2129.796875</c:v>
                </c:pt>
                <c:pt idx="65">
                  <c:v>2136.5</c:v>
                </c:pt>
                <c:pt idx="66">
                  <c:v>2143.203125</c:v>
                </c:pt>
                <c:pt idx="67">
                  <c:v>2149.90625</c:v>
                </c:pt>
                <c:pt idx="68">
                  <c:v>2156.609375</c:v>
                </c:pt>
                <c:pt idx="69">
                  <c:v>2163.3125</c:v>
                </c:pt>
                <c:pt idx="70">
                  <c:v>2170.015625</c:v>
                </c:pt>
                <c:pt idx="71">
                  <c:v>2176.71875</c:v>
                </c:pt>
                <c:pt idx="72">
                  <c:v>2183.421875</c:v>
                </c:pt>
                <c:pt idx="73">
                  <c:v>2190.125</c:v>
                </c:pt>
                <c:pt idx="74">
                  <c:v>2196.828125</c:v>
                </c:pt>
                <c:pt idx="75">
                  <c:v>2203.53125</c:v>
                </c:pt>
                <c:pt idx="76">
                  <c:v>2210.234375</c:v>
                </c:pt>
                <c:pt idx="77">
                  <c:v>2216.9375</c:v>
                </c:pt>
                <c:pt idx="78">
                  <c:v>2223.640625</c:v>
                </c:pt>
                <c:pt idx="79">
                  <c:v>2230.34375</c:v>
                </c:pt>
                <c:pt idx="80">
                  <c:v>2237.046875</c:v>
                </c:pt>
                <c:pt idx="81">
                  <c:v>2243.75</c:v>
                </c:pt>
                <c:pt idx="82">
                  <c:v>2250.453125</c:v>
                </c:pt>
                <c:pt idx="83">
                  <c:v>2257.15625</c:v>
                </c:pt>
                <c:pt idx="84">
                  <c:v>2263.859375</c:v>
                </c:pt>
                <c:pt idx="85">
                  <c:v>2270.5625</c:v>
                </c:pt>
                <c:pt idx="86">
                  <c:v>2277.265625</c:v>
                </c:pt>
                <c:pt idx="87">
                  <c:v>2283.96875</c:v>
                </c:pt>
                <c:pt idx="88">
                  <c:v>2290.671875</c:v>
                </c:pt>
                <c:pt idx="89">
                  <c:v>2297.375</c:v>
                </c:pt>
                <c:pt idx="90">
                  <c:v>2304.078125</c:v>
                </c:pt>
                <c:pt idx="91">
                  <c:v>2310.78125</c:v>
                </c:pt>
                <c:pt idx="92">
                  <c:v>2317.484375</c:v>
                </c:pt>
                <c:pt idx="93">
                  <c:v>2324.1875</c:v>
                </c:pt>
                <c:pt idx="94">
                  <c:v>2330.890625</c:v>
                </c:pt>
                <c:pt idx="95">
                  <c:v>2337.59375</c:v>
                </c:pt>
                <c:pt idx="96">
                  <c:v>2344.296875</c:v>
                </c:pt>
                <c:pt idx="97">
                  <c:v>2351</c:v>
                </c:pt>
                <c:pt idx="98">
                  <c:v>2357.703125</c:v>
                </c:pt>
                <c:pt idx="99">
                  <c:v>2364.40625</c:v>
                </c:pt>
                <c:pt idx="100">
                  <c:v>2371.109375</c:v>
                </c:pt>
                <c:pt idx="101">
                  <c:v>2377.8125</c:v>
                </c:pt>
                <c:pt idx="102">
                  <c:v>2384.515625</c:v>
                </c:pt>
                <c:pt idx="103">
                  <c:v>2391.21875</c:v>
                </c:pt>
                <c:pt idx="104">
                  <c:v>2397.921875</c:v>
                </c:pt>
                <c:pt idx="105">
                  <c:v>2404.625</c:v>
                </c:pt>
                <c:pt idx="106">
                  <c:v>2411.328125</c:v>
                </c:pt>
                <c:pt idx="107">
                  <c:v>2418.03125</c:v>
                </c:pt>
                <c:pt idx="108">
                  <c:v>2424.734375</c:v>
                </c:pt>
                <c:pt idx="109">
                  <c:v>2431.4375</c:v>
                </c:pt>
                <c:pt idx="110">
                  <c:v>2438.140625</c:v>
                </c:pt>
                <c:pt idx="111">
                  <c:v>2444.84375</c:v>
                </c:pt>
                <c:pt idx="112">
                  <c:v>2451.546875</c:v>
                </c:pt>
                <c:pt idx="113">
                  <c:v>2458.25</c:v>
                </c:pt>
                <c:pt idx="114">
                  <c:v>2464.953125</c:v>
                </c:pt>
                <c:pt idx="115">
                  <c:v>2471.65625</c:v>
                </c:pt>
                <c:pt idx="116">
                  <c:v>2478.359375</c:v>
                </c:pt>
                <c:pt idx="117">
                  <c:v>2485.0625</c:v>
                </c:pt>
                <c:pt idx="118">
                  <c:v>2491.765625</c:v>
                </c:pt>
                <c:pt idx="119">
                  <c:v>2498.46875</c:v>
                </c:pt>
                <c:pt idx="120">
                  <c:v>2505.171875</c:v>
                </c:pt>
                <c:pt idx="121">
                  <c:v>2511.875</c:v>
                </c:pt>
                <c:pt idx="122">
                  <c:v>2518.578125</c:v>
                </c:pt>
                <c:pt idx="123">
                  <c:v>2525.28125</c:v>
                </c:pt>
                <c:pt idx="124">
                  <c:v>2531.984375</c:v>
                </c:pt>
                <c:pt idx="125">
                  <c:v>2538.6875</c:v>
                </c:pt>
                <c:pt idx="126">
                  <c:v>2545.390625</c:v>
                </c:pt>
                <c:pt idx="127">
                  <c:v>2552.09375</c:v>
                </c:pt>
                <c:pt idx="128">
                  <c:v>2558.796875</c:v>
                </c:pt>
                <c:pt idx="129">
                  <c:v>2565.5</c:v>
                </c:pt>
                <c:pt idx="130">
                  <c:v>2572.203125</c:v>
                </c:pt>
                <c:pt idx="131">
                  <c:v>2578.90625</c:v>
                </c:pt>
                <c:pt idx="132">
                  <c:v>2585.609375</c:v>
                </c:pt>
                <c:pt idx="133">
                  <c:v>2592.3125</c:v>
                </c:pt>
                <c:pt idx="134">
                  <c:v>2599.015625</c:v>
                </c:pt>
                <c:pt idx="135">
                  <c:v>2605.71875</c:v>
                </c:pt>
                <c:pt idx="136">
                  <c:v>2612.421875</c:v>
                </c:pt>
                <c:pt idx="137">
                  <c:v>2619.125</c:v>
                </c:pt>
                <c:pt idx="138">
                  <c:v>2625.828125</c:v>
                </c:pt>
                <c:pt idx="139">
                  <c:v>2632.53125</c:v>
                </c:pt>
                <c:pt idx="140">
                  <c:v>2639.234375</c:v>
                </c:pt>
                <c:pt idx="141">
                  <c:v>2645.9375</c:v>
                </c:pt>
                <c:pt idx="142">
                  <c:v>2652.640625</c:v>
                </c:pt>
                <c:pt idx="143">
                  <c:v>2659.34375</c:v>
                </c:pt>
                <c:pt idx="144">
                  <c:v>2666.046875</c:v>
                </c:pt>
                <c:pt idx="145">
                  <c:v>2672.75</c:v>
                </c:pt>
                <c:pt idx="146">
                  <c:v>2679.453125</c:v>
                </c:pt>
                <c:pt idx="147">
                  <c:v>2686.15625</c:v>
                </c:pt>
                <c:pt idx="148">
                  <c:v>2692.859375</c:v>
                </c:pt>
                <c:pt idx="149">
                  <c:v>2699.5625</c:v>
                </c:pt>
                <c:pt idx="150">
                  <c:v>2706.265625</c:v>
                </c:pt>
                <c:pt idx="151">
                  <c:v>2712.96875</c:v>
                </c:pt>
                <c:pt idx="152">
                  <c:v>2719.671875</c:v>
                </c:pt>
                <c:pt idx="153">
                  <c:v>2726.375</c:v>
                </c:pt>
                <c:pt idx="154">
                  <c:v>2733.078125</c:v>
                </c:pt>
                <c:pt idx="155">
                  <c:v>2739.78125</c:v>
                </c:pt>
                <c:pt idx="156">
                  <c:v>2746.484375</c:v>
                </c:pt>
                <c:pt idx="157">
                  <c:v>2753.1875</c:v>
                </c:pt>
                <c:pt idx="158">
                  <c:v>2759.890625</c:v>
                </c:pt>
                <c:pt idx="159">
                  <c:v>2766.59375</c:v>
                </c:pt>
                <c:pt idx="160">
                  <c:v>2773.296875</c:v>
                </c:pt>
                <c:pt idx="161">
                  <c:v>2780</c:v>
                </c:pt>
                <c:pt idx="162">
                  <c:v>2786.703125</c:v>
                </c:pt>
                <c:pt idx="163">
                  <c:v>2793.40625</c:v>
                </c:pt>
                <c:pt idx="164">
                  <c:v>2800.109375</c:v>
                </c:pt>
                <c:pt idx="165">
                  <c:v>2806.8125</c:v>
                </c:pt>
                <c:pt idx="166">
                  <c:v>2813.515625</c:v>
                </c:pt>
                <c:pt idx="167">
                  <c:v>2820.21875</c:v>
                </c:pt>
                <c:pt idx="168">
                  <c:v>2826.921875</c:v>
                </c:pt>
                <c:pt idx="169">
                  <c:v>2833.625</c:v>
                </c:pt>
                <c:pt idx="170">
                  <c:v>2840.328125</c:v>
                </c:pt>
                <c:pt idx="171">
                  <c:v>2847.03125</c:v>
                </c:pt>
                <c:pt idx="172">
                  <c:v>2853.734375</c:v>
                </c:pt>
                <c:pt idx="173">
                  <c:v>2860.4375</c:v>
                </c:pt>
                <c:pt idx="174">
                  <c:v>2867.140625</c:v>
                </c:pt>
                <c:pt idx="175">
                  <c:v>2873.84375</c:v>
                </c:pt>
                <c:pt idx="176">
                  <c:v>2880.546875</c:v>
                </c:pt>
                <c:pt idx="177">
                  <c:v>2887.25</c:v>
                </c:pt>
                <c:pt idx="178">
                  <c:v>2893.953125</c:v>
                </c:pt>
                <c:pt idx="179">
                  <c:v>2900.65625</c:v>
                </c:pt>
                <c:pt idx="180">
                  <c:v>2907.359375</c:v>
                </c:pt>
                <c:pt idx="181">
                  <c:v>2914.0625</c:v>
                </c:pt>
                <c:pt idx="182">
                  <c:v>2920.765625</c:v>
                </c:pt>
                <c:pt idx="183">
                  <c:v>2927.46875</c:v>
                </c:pt>
                <c:pt idx="184">
                  <c:v>2934.171875</c:v>
                </c:pt>
                <c:pt idx="185">
                  <c:v>2940.875</c:v>
                </c:pt>
                <c:pt idx="186">
                  <c:v>2947.578125</c:v>
                </c:pt>
                <c:pt idx="187">
                  <c:v>2954.28125</c:v>
                </c:pt>
                <c:pt idx="188">
                  <c:v>2960.984375</c:v>
                </c:pt>
                <c:pt idx="189">
                  <c:v>2967.6875</c:v>
                </c:pt>
                <c:pt idx="190">
                  <c:v>2974.390625</c:v>
                </c:pt>
                <c:pt idx="191">
                  <c:v>2981.09375</c:v>
                </c:pt>
                <c:pt idx="192">
                  <c:v>2987.796875</c:v>
                </c:pt>
                <c:pt idx="193">
                  <c:v>2994.5</c:v>
                </c:pt>
                <c:pt idx="194">
                  <c:v>3001.203125</c:v>
                </c:pt>
                <c:pt idx="195">
                  <c:v>3007.90625</c:v>
                </c:pt>
                <c:pt idx="196">
                  <c:v>3014.609375</c:v>
                </c:pt>
                <c:pt idx="197">
                  <c:v>3021.3125</c:v>
                </c:pt>
                <c:pt idx="198">
                  <c:v>3028.015625</c:v>
                </c:pt>
                <c:pt idx="199">
                  <c:v>3034.71875</c:v>
                </c:pt>
                <c:pt idx="200">
                  <c:v>3041.421875</c:v>
                </c:pt>
                <c:pt idx="201">
                  <c:v>3048.125</c:v>
                </c:pt>
              </c:numCache>
            </c:numRef>
          </c:xVal>
          <c:yVal>
            <c:numRef>
              <c:f>Analysis!$X$55:$X$256</c:f>
              <c:numCache>
                <c:formatCode>General</c:formatCode>
                <c:ptCount val="202"/>
                <c:pt idx="0">
                  <c:v>0.85882352941176465</c:v>
                </c:pt>
                <c:pt idx="1">
                  <c:v>0.85765124555160144</c:v>
                </c:pt>
                <c:pt idx="2">
                  <c:v>0.84210526315789469</c:v>
                </c:pt>
                <c:pt idx="3">
                  <c:v>0.84472049689440998</c:v>
                </c:pt>
                <c:pt idx="4">
                  <c:v>0.84750733137829914</c:v>
                </c:pt>
                <c:pt idx="5">
                  <c:v>0.83827493261455521</c:v>
                </c:pt>
                <c:pt idx="6">
                  <c:v>0.84367245657568235</c:v>
                </c:pt>
                <c:pt idx="7">
                  <c:v>0.83595505617977528</c:v>
                </c:pt>
                <c:pt idx="8">
                  <c:v>0.82991803278688525</c:v>
                </c:pt>
                <c:pt idx="9">
                  <c:v>0.8294573643410853</c:v>
                </c:pt>
                <c:pt idx="10">
                  <c:v>0.82706766917293228</c:v>
                </c:pt>
                <c:pt idx="11">
                  <c:v>0.8243992606284658</c:v>
                </c:pt>
                <c:pt idx="12">
                  <c:v>0.8201834862385321</c:v>
                </c:pt>
                <c:pt idx="13">
                  <c:v>0.81569343065693434</c:v>
                </c:pt>
                <c:pt idx="14">
                  <c:v>0.81521739130434778</c:v>
                </c:pt>
                <c:pt idx="15">
                  <c:v>0.80755395683453235</c:v>
                </c:pt>
                <c:pt idx="16">
                  <c:v>0.80392156862745101</c:v>
                </c:pt>
                <c:pt idx="17">
                  <c:v>0.80319148936170215</c:v>
                </c:pt>
                <c:pt idx="18">
                  <c:v>0.7971781305114638</c:v>
                </c:pt>
                <c:pt idx="19">
                  <c:v>0.79432624113475181</c:v>
                </c:pt>
                <c:pt idx="20">
                  <c:v>0.79181494661921703</c:v>
                </c:pt>
                <c:pt idx="21">
                  <c:v>0.79347826086956519</c:v>
                </c:pt>
                <c:pt idx="22">
                  <c:v>0.78832116788321172</c:v>
                </c:pt>
                <c:pt idx="23">
                  <c:v>0.79035250463821893</c:v>
                </c:pt>
                <c:pt idx="24">
                  <c:v>0.79368029739776946</c:v>
                </c:pt>
                <c:pt idx="25">
                  <c:v>0.79291044776119401</c:v>
                </c:pt>
                <c:pt idx="26">
                  <c:v>0.79065420560747668</c:v>
                </c:pt>
                <c:pt idx="27">
                  <c:v>0.78383458646616544</c:v>
                </c:pt>
                <c:pt idx="28">
                  <c:v>0.77631578947368418</c:v>
                </c:pt>
                <c:pt idx="29">
                  <c:v>0.7634011090573013</c:v>
                </c:pt>
                <c:pt idx="30">
                  <c:v>0.74502712477396027</c:v>
                </c:pt>
                <c:pt idx="31">
                  <c:v>0.72531418312387796</c:v>
                </c:pt>
                <c:pt idx="32">
                  <c:v>0.71351351351351355</c:v>
                </c:pt>
                <c:pt idx="33">
                  <c:v>0.69927536231884058</c:v>
                </c:pt>
                <c:pt idx="34">
                  <c:v>0.69691470054446458</c:v>
                </c:pt>
                <c:pt idx="35">
                  <c:v>0.69801084990958406</c:v>
                </c:pt>
                <c:pt idx="36">
                  <c:v>0.69534050179211471</c:v>
                </c:pt>
                <c:pt idx="37">
                  <c:v>0.69518716577540107</c:v>
                </c:pt>
                <c:pt idx="38">
                  <c:v>0.69148936170212771</c:v>
                </c:pt>
                <c:pt idx="39">
                  <c:v>0.69611307420494695</c:v>
                </c:pt>
                <c:pt idx="40">
                  <c:v>0.69841269841269837</c:v>
                </c:pt>
                <c:pt idx="41">
                  <c:v>0.70671378091872794</c:v>
                </c:pt>
                <c:pt idx="42">
                  <c:v>0.70774647887323938</c:v>
                </c:pt>
                <c:pt idx="43">
                  <c:v>0.70774647887323938</c:v>
                </c:pt>
                <c:pt idx="44">
                  <c:v>0.71478873239436624</c:v>
                </c:pt>
                <c:pt idx="45">
                  <c:v>0.71754385964912282</c:v>
                </c:pt>
                <c:pt idx="46">
                  <c:v>0.7172774869109948</c:v>
                </c:pt>
                <c:pt idx="47">
                  <c:v>0.71777003484320556</c:v>
                </c:pt>
                <c:pt idx="48">
                  <c:v>0.72125435540069682</c:v>
                </c:pt>
                <c:pt idx="49">
                  <c:v>0.72270363951473138</c:v>
                </c:pt>
                <c:pt idx="50">
                  <c:v>0.72270363951473138</c:v>
                </c:pt>
                <c:pt idx="51">
                  <c:v>0.71896551724137936</c:v>
                </c:pt>
                <c:pt idx="52">
                  <c:v>0.71675302245250427</c:v>
                </c:pt>
                <c:pt idx="53">
                  <c:v>0.71206896551724141</c:v>
                </c:pt>
                <c:pt idx="54">
                  <c:v>0.71034482758620687</c:v>
                </c:pt>
                <c:pt idx="55">
                  <c:v>0.70710571923743504</c:v>
                </c:pt>
                <c:pt idx="56">
                  <c:v>0.69791666666666663</c:v>
                </c:pt>
                <c:pt idx="57">
                  <c:v>0.6928446771378709</c:v>
                </c:pt>
                <c:pt idx="58">
                  <c:v>0.68531468531468531</c:v>
                </c:pt>
                <c:pt idx="59">
                  <c:v>0.67894736842105263</c:v>
                </c:pt>
                <c:pt idx="60">
                  <c:v>0.67077464788732399</c:v>
                </c:pt>
                <c:pt idx="61">
                  <c:v>0.66371681415929207</c:v>
                </c:pt>
                <c:pt idx="62">
                  <c:v>0.65364120781527535</c:v>
                </c:pt>
                <c:pt idx="63">
                  <c:v>0.64527629233511585</c:v>
                </c:pt>
                <c:pt idx="64">
                  <c:v>0.63571428571428568</c:v>
                </c:pt>
                <c:pt idx="65">
                  <c:v>0.62321428571428572</c:v>
                </c:pt>
                <c:pt idx="66">
                  <c:v>0.61071428571428577</c:v>
                </c:pt>
                <c:pt idx="67">
                  <c:v>0.59245960502692996</c:v>
                </c:pt>
                <c:pt idx="68">
                  <c:v>0.56810035842293904</c:v>
                </c:pt>
                <c:pt idx="69">
                  <c:v>0.53584229390681004</c:v>
                </c:pt>
                <c:pt idx="70">
                  <c:v>0.50899280575539574</c:v>
                </c:pt>
                <c:pt idx="71">
                  <c:v>0.49729729729729732</c:v>
                </c:pt>
                <c:pt idx="72">
                  <c:v>0.49367088607594939</c:v>
                </c:pt>
                <c:pt idx="73">
                  <c:v>0.49183303085299457</c:v>
                </c:pt>
                <c:pt idx="74">
                  <c:v>0.48628884826325414</c:v>
                </c:pt>
                <c:pt idx="75">
                  <c:v>0.47802197802197804</c:v>
                </c:pt>
                <c:pt idx="76">
                  <c:v>0.46765249537892789</c:v>
                </c:pt>
                <c:pt idx="77">
                  <c:v>0.46011131725417442</c:v>
                </c:pt>
                <c:pt idx="78">
                  <c:v>0.47201492537313433</c:v>
                </c:pt>
                <c:pt idx="79">
                  <c:v>0.5</c:v>
                </c:pt>
                <c:pt idx="80">
                  <c:v>0.5311909262759924</c:v>
                </c:pt>
                <c:pt idx="81">
                  <c:v>0.5492424242424242</c:v>
                </c:pt>
                <c:pt idx="82">
                  <c:v>0.55323193916349811</c:v>
                </c:pt>
                <c:pt idx="83">
                  <c:v>0.55258126195028678</c:v>
                </c:pt>
                <c:pt idx="84">
                  <c:v>0.55470249520153547</c:v>
                </c:pt>
                <c:pt idx="85">
                  <c:v>0.54807692307692313</c:v>
                </c:pt>
                <c:pt idx="86">
                  <c:v>0.5415860735009671</c:v>
                </c:pt>
                <c:pt idx="87">
                  <c:v>0.53771760154738879</c:v>
                </c:pt>
                <c:pt idx="88">
                  <c:v>0.53216374269005851</c:v>
                </c:pt>
                <c:pt idx="89">
                  <c:v>0.521484375</c:v>
                </c:pt>
                <c:pt idx="90">
                  <c:v>0.51372549019607838</c:v>
                </c:pt>
                <c:pt idx="91">
                  <c:v>0.50590551181102361</c:v>
                </c:pt>
                <c:pt idx="92">
                  <c:v>0.49801587301587302</c:v>
                </c:pt>
                <c:pt idx="93">
                  <c:v>0.49500998003992014</c:v>
                </c:pt>
                <c:pt idx="94">
                  <c:v>0.49090909090909091</c:v>
                </c:pt>
                <c:pt idx="95">
                  <c:v>0.48780487804878048</c:v>
                </c:pt>
                <c:pt idx="96">
                  <c:v>0.48360655737704916</c:v>
                </c:pt>
                <c:pt idx="97">
                  <c:v>0.48033126293995859</c:v>
                </c:pt>
                <c:pt idx="98">
                  <c:v>0.47578947368421054</c:v>
                </c:pt>
                <c:pt idx="99">
                  <c:v>0.46794871794871795</c:v>
                </c:pt>
                <c:pt idx="100">
                  <c:v>0.46608315098468273</c:v>
                </c:pt>
                <c:pt idx="101">
                  <c:v>0.45861297539149887</c:v>
                </c:pt>
                <c:pt idx="102">
                  <c:v>0.45517241379310347</c:v>
                </c:pt>
                <c:pt idx="103">
                  <c:v>0.45130641330166271</c:v>
                </c:pt>
                <c:pt idx="104">
                  <c:v>0.45544554455445546</c:v>
                </c:pt>
                <c:pt idx="105">
                  <c:v>0.45714285714285713</c:v>
                </c:pt>
                <c:pt idx="106">
                  <c:v>0.45528455284552843</c:v>
                </c:pt>
                <c:pt idx="107">
                  <c:v>0.4511494252873563</c:v>
                </c:pt>
                <c:pt idx="108">
                  <c:v>0.44444444444444442</c:v>
                </c:pt>
                <c:pt idx="109">
                  <c:v>0.44863013698630139</c:v>
                </c:pt>
                <c:pt idx="110">
                  <c:v>0.44827586206896552</c:v>
                </c:pt>
                <c:pt idx="111">
                  <c:v>0.43859649122807015</c:v>
                </c:pt>
                <c:pt idx="112">
                  <c:v>0.43523316062176165</c:v>
                </c:pt>
                <c:pt idx="113">
                  <c:v>0.43292682926829268</c:v>
                </c:pt>
                <c:pt idx="114">
                  <c:v>0.42753623188405798</c:v>
                </c:pt>
                <c:pt idx="115">
                  <c:v>0.43333333333333335</c:v>
                </c:pt>
                <c:pt idx="116">
                  <c:v>0.44660194174757284</c:v>
                </c:pt>
                <c:pt idx="117">
                  <c:v>0.45054945054945056</c:v>
                </c:pt>
                <c:pt idx="118">
                  <c:v>0.42857142857142855</c:v>
                </c:pt>
                <c:pt idx="119">
                  <c:v>0.44927536231884058</c:v>
                </c:pt>
                <c:pt idx="120">
                  <c:v>0.45</c:v>
                </c:pt>
                <c:pt idx="121">
                  <c:v>0.46153846153846156</c:v>
                </c:pt>
                <c:pt idx="122">
                  <c:v>0.43478260869565216</c:v>
                </c:pt>
                <c:pt idx="123">
                  <c:v>0.43902439024390244</c:v>
                </c:pt>
                <c:pt idx="124">
                  <c:v>0.47058823529411764</c:v>
                </c:pt>
                <c:pt idx="125">
                  <c:v>0.5</c:v>
                </c:pt>
                <c:pt idx="126">
                  <c:v>0.51851851851851849</c:v>
                </c:pt>
                <c:pt idx="127">
                  <c:v>0.48</c:v>
                </c:pt>
                <c:pt idx="128">
                  <c:v>0.52380952380952384</c:v>
                </c:pt>
                <c:pt idx="129">
                  <c:v>0.55000000000000004</c:v>
                </c:pt>
                <c:pt idx="130">
                  <c:v>0.63157894736842102</c:v>
                </c:pt>
                <c:pt idx="131">
                  <c:v>0.52941176470588236</c:v>
                </c:pt>
                <c:pt idx="132">
                  <c:v>0.5625</c:v>
                </c:pt>
                <c:pt idx="133">
                  <c:v>0.6428571428571429</c:v>
                </c:pt>
                <c:pt idx="134">
                  <c:v>0.66666666666666663</c:v>
                </c:pt>
                <c:pt idx="135">
                  <c:v>0.53846153846153844</c:v>
                </c:pt>
                <c:pt idx="136">
                  <c:v>0.69230769230769229</c:v>
                </c:pt>
                <c:pt idx="137">
                  <c:v>0.58333333333333337</c:v>
                </c:pt>
                <c:pt idx="138">
                  <c:v>0.66666666666666663</c:v>
                </c:pt>
                <c:pt idx="139">
                  <c:v>0.61538461538461542</c:v>
                </c:pt>
                <c:pt idx="140">
                  <c:v>0.61538461538461542</c:v>
                </c:pt>
                <c:pt idx="141">
                  <c:v>0.5</c:v>
                </c:pt>
                <c:pt idx="142">
                  <c:v>0.72727272727272729</c:v>
                </c:pt>
                <c:pt idx="143">
                  <c:v>0.54545454545454541</c:v>
                </c:pt>
                <c:pt idx="144">
                  <c:v>0.72727272727272729</c:v>
                </c:pt>
                <c:pt idx="145">
                  <c:v>0.81818181818181823</c:v>
                </c:pt>
                <c:pt idx="146">
                  <c:v>0.8</c:v>
                </c:pt>
                <c:pt idx="147">
                  <c:v>0.72727272727272729</c:v>
                </c:pt>
                <c:pt idx="148">
                  <c:v>0.72727272727272729</c:v>
                </c:pt>
                <c:pt idx="149">
                  <c:v>0.72727272727272729</c:v>
                </c:pt>
                <c:pt idx="150">
                  <c:v>0.72727272727272729</c:v>
                </c:pt>
                <c:pt idx="151">
                  <c:v>0.72727272727272729</c:v>
                </c:pt>
                <c:pt idx="152">
                  <c:v>0.81818181818181823</c:v>
                </c:pt>
                <c:pt idx="153">
                  <c:v>0.72727272727272729</c:v>
                </c:pt>
                <c:pt idx="154">
                  <c:v>0.81818181818181823</c:v>
                </c:pt>
                <c:pt idx="155">
                  <c:v>0.69230769230769229</c:v>
                </c:pt>
                <c:pt idx="156">
                  <c:v>0.81818181818181823</c:v>
                </c:pt>
                <c:pt idx="157">
                  <c:v>0.75</c:v>
                </c:pt>
                <c:pt idx="158">
                  <c:v>0.69230769230769229</c:v>
                </c:pt>
                <c:pt idx="159">
                  <c:v>0.75</c:v>
                </c:pt>
                <c:pt idx="160">
                  <c:v>0.69230769230769229</c:v>
                </c:pt>
                <c:pt idx="161">
                  <c:v>0.83333333333333337</c:v>
                </c:pt>
                <c:pt idx="162">
                  <c:v>0.7857142857142857</c:v>
                </c:pt>
                <c:pt idx="163">
                  <c:v>0.8571428571428571</c:v>
                </c:pt>
                <c:pt idx="164">
                  <c:v>0.8</c:v>
                </c:pt>
                <c:pt idx="165">
                  <c:v>0.6875</c:v>
                </c:pt>
                <c:pt idx="166">
                  <c:v>0.75</c:v>
                </c:pt>
                <c:pt idx="167">
                  <c:v>0.88235294117647056</c:v>
                </c:pt>
                <c:pt idx="168">
                  <c:v>0.83333333333333337</c:v>
                </c:pt>
                <c:pt idx="169">
                  <c:v>0.77777777777777779</c:v>
                </c:pt>
                <c:pt idx="170">
                  <c:v>0.77777777777777779</c:v>
                </c:pt>
                <c:pt idx="171">
                  <c:v>0.81818181818181823</c:v>
                </c:pt>
                <c:pt idx="172">
                  <c:v>0.8</c:v>
                </c:pt>
                <c:pt idx="173">
                  <c:v>0.8</c:v>
                </c:pt>
                <c:pt idx="174">
                  <c:v>0.77272727272727271</c:v>
                </c:pt>
                <c:pt idx="175">
                  <c:v>0.83333333333333337</c:v>
                </c:pt>
                <c:pt idx="176">
                  <c:v>0.79166666666666663</c:v>
                </c:pt>
                <c:pt idx="177">
                  <c:v>0.76</c:v>
                </c:pt>
                <c:pt idx="178">
                  <c:v>0.81481481481481477</c:v>
                </c:pt>
                <c:pt idx="179">
                  <c:v>0.81481481481481477</c:v>
                </c:pt>
                <c:pt idx="180">
                  <c:v>0.77419354838709675</c:v>
                </c:pt>
                <c:pt idx="181">
                  <c:v>0.80645161290322576</c:v>
                </c:pt>
                <c:pt idx="182">
                  <c:v>0.78125</c:v>
                </c:pt>
                <c:pt idx="183">
                  <c:v>0.75</c:v>
                </c:pt>
                <c:pt idx="184">
                  <c:v>0.72222222222222221</c:v>
                </c:pt>
                <c:pt idx="185">
                  <c:v>0.71794871794871795</c:v>
                </c:pt>
                <c:pt idx="186">
                  <c:v>0.74358974358974361</c:v>
                </c:pt>
                <c:pt idx="187">
                  <c:v>0.75</c:v>
                </c:pt>
                <c:pt idx="188">
                  <c:v>0.79545454545454541</c:v>
                </c:pt>
                <c:pt idx="189">
                  <c:v>0.7857142857142857</c:v>
                </c:pt>
                <c:pt idx="190">
                  <c:v>0.76086956521739135</c:v>
                </c:pt>
                <c:pt idx="191">
                  <c:v>0.78723404255319152</c:v>
                </c:pt>
                <c:pt idx="192">
                  <c:v>0.76</c:v>
                </c:pt>
                <c:pt idx="193">
                  <c:v>0.77551020408163263</c:v>
                </c:pt>
                <c:pt idx="194">
                  <c:v>0.79591836734693877</c:v>
                </c:pt>
                <c:pt idx="195">
                  <c:v>0.76923076923076927</c:v>
                </c:pt>
                <c:pt idx="196">
                  <c:v>0.72222222222222221</c:v>
                </c:pt>
                <c:pt idx="197">
                  <c:v>0.75862068965517238</c:v>
                </c:pt>
                <c:pt idx="198">
                  <c:v>0.76271186440677963</c:v>
                </c:pt>
                <c:pt idx="199">
                  <c:v>0.77049180327868849</c:v>
                </c:pt>
                <c:pt idx="200">
                  <c:v>0.75806451612903225</c:v>
                </c:pt>
                <c:pt idx="201">
                  <c:v>0.74193548387096775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FA-467B-9772-44740E50823C}"/>
            </c:ext>
          </c:extLst>
        </c:ser>
        <c:ser>
          <c:idx val="5"/>
          <c:order val="5"/>
          <c:tx>
            <c:v>SWIR_Low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902.33749999999998</c:v>
                </c:pt>
                <c:pt idx="1">
                  <c:v>905.95624999999995</c:v>
                </c:pt>
                <c:pt idx="2">
                  <c:v>909.57500000000005</c:v>
                </c:pt>
                <c:pt idx="3">
                  <c:v>913.19375000000002</c:v>
                </c:pt>
                <c:pt idx="4">
                  <c:v>916.8125</c:v>
                </c:pt>
                <c:pt idx="5">
                  <c:v>920.43124999999998</c:v>
                </c:pt>
                <c:pt idx="6">
                  <c:v>924.05</c:v>
                </c:pt>
                <c:pt idx="7">
                  <c:v>927.66875000000005</c:v>
                </c:pt>
                <c:pt idx="8">
                  <c:v>931.28750000000002</c:v>
                </c:pt>
                <c:pt idx="9">
                  <c:v>934.90625</c:v>
                </c:pt>
                <c:pt idx="10">
                  <c:v>938.52499999999998</c:v>
                </c:pt>
                <c:pt idx="11">
                  <c:v>942.14374999999995</c:v>
                </c:pt>
                <c:pt idx="12">
                  <c:v>945.76250000000005</c:v>
                </c:pt>
                <c:pt idx="13">
                  <c:v>949.38125000000002</c:v>
                </c:pt>
                <c:pt idx="14">
                  <c:v>953</c:v>
                </c:pt>
                <c:pt idx="15">
                  <c:v>956.61874999999998</c:v>
                </c:pt>
                <c:pt idx="16">
                  <c:v>960.23749999999995</c:v>
                </c:pt>
                <c:pt idx="17">
                  <c:v>963.85625000000005</c:v>
                </c:pt>
                <c:pt idx="18">
                  <c:v>967.47500000000002</c:v>
                </c:pt>
                <c:pt idx="19">
                  <c:v>971.09375</c:v>
                </c:pt>
                <c:pt idx="20">
                  <c:v>974.71249999999998</c:v>
                </c:pt>
                <c:pt idx="21">
                  <c:v>978.33124999999995</c:v>
                </c:pt>
                <c:pt idx="22">
                  <c:v>981.95</c:v>
                </c:pt>
                <c:pt idx="23">
                  <c:v>985.56875000000002</c:v>
                </c:pt>
                <c:pt idx="24">
                  <c:v>989.1875</c:v>
                </c:pt>
                <c:pt idx="25">
                  <c:v>992.80624999999998</c:v>
                </c:pt>
                <c:pt idx="26">
                  <c:v>996.42499999999995</c:v>
                </c:pt>
                <c:pt idx="27">
                  <c:v>1000.04375</c:v>
                </c:pt>
                <c:pt idx="28">
                  <c:v>1003.6625</c:v>
                </c:pt>
                <c:pt idx="29">
                  <c:v>1007.28125</c:v>
                </c:pt>
                <c:pt idx="30">
                  <c:v>1010.9</c:v>
                </c:pt>
                <c:pt idx="31">
                  <c:v>1014.51875</c:v>
                </c:pt>
                <c:pt idx="32">
                  <c:v>1018.1375</c:v>
                </c:pt>
                <c:pt idx="33">
                  <c:v>1021.75625</c:v>
                </c:pt>
                <c:pt idx="34">
                  <c:v>1025.375</c:v>
                </c:pt>
                <c:pt idx="35">
                  <c:v>1028.9937500000001</c:v>
                </c:pt>
                <c:pt idx="36">
                  <c:v>1032.6125</c:v>
                </c:pt>
                <c:pt idx="37">
                  <c:v>1036.23125</c:v>
                </c:pt>
                <c:pt idx="38">
                  <c:v>1039.8499999999999</c:v>
                </c:pt>
                <c:pt idx="39">
                  <c:v>1043.46875</c:v>
                </c:pt>
                <c:pt idx="40">
                  <c:v>1047.0875000000001</c:v>
                </c:pt>
                <c:pt idx="41">
                  <c:v>1050.70625</c:v>
                </c:pt>
                <c:pt idx="42">
                  <c:v>1054.325</c:v>
                </c:pt>
                <c:pt idx="43">
                  <c:v>1057.9437499999999</c:v>
                </c:pt>
                <c:pt idx="44">
                  <c:v>1061.5625</c:v>
                </c:pt>
                <c:pt idx="45">
                  <c:v>1065.1812500000001</c:v>
                </c:pt>
                <c:pt idx="46">
                  <c:v>1068.8</c:v>
                </c:pt>
                <c:pt idx="47">
                  <c:v>1072.41875</c:v>
                </c:pt>
                <c:pt idx="48">
                  <c:v>1076.0374999999999</c:v>
                </c:pt>
                <c:pt idx="49">
                  <c:v>1079.65625</c:v>
                </c:pt>
                <c:pt idx="50">
                  <c:v>1083.2750000000001</c:v>
                </c:pt>
                <c:pt idx="51">
                  <c:v>1086.89375</c:v>
                </c:pt>
                <c:pt idx="52">
                  <c:v>1090.5125</c:v>
                </c:pt>
                <c:pt idx="53">
                  <c:v>1094.1312499999999</c:v>
                </c:pt>
                <c:pt idx="54">
                  <c:v>1097.75</c:v>
                </c:pt>
                <c:pt idx="55">
                  <c:v>1101.3687500000001</c:v>
                </c:pt>
                <c:pt idx="56">
                  <c:v>1104.9875</c:v>
                </c:pt>
                <c:pt idx="57">
                  <c:v>1108.60625</c:v>
                </c:pt>
                <c:pt idx="58">
                  <c:v>1112.2249999999999</c:v>
                </c:pt>
                <c:pt idx="59">
                  <c:v>1115.84375</c:v>
                </c:pt>
                <c:pt idx="60">
                  <c:v>1119.4625000000001</c:v>
                </c:pt>
                <c:pt idx="61">
                  <c:v>1123.08125</c:v>
                </c:pt>
                <c:pt idx="62">
                  <c:v>1126.7</c:v>
                </c:pt>
                <c:pt idx="63">
                  <c:v>1130.3187499999999</c:v>
                </c:pt>
                <c:pt idx="64">
                  <c:v>1133.9375</c:v>
                </c:pt>
                <c:pt idx="65">
                  <c:v>1137.5562500000001</c:v>
                </c:pt>
                <c:pt idx="66">
                  <c:v>1141.175</c:v>
                </c:pt>
                <c:pt idx="67">
                  <c:v>1144.79375</c:v>
                </c:pt>
                <c:pt idx="68">
                  <c:v>1148.4124999999999</c:v>
                </c:pt>
                <c:pt idx="69">
                  <c:v>1152.03125</c:v>
                </c:pt>
                <c:pt idx="70">
                  <c:v>1155.6500000000001</c:v>
                </c:pt>
                <c:pt idx="71">
                  <c:v>1159.26875</c:v>
                </c:pt>
                <c:pt idx="72">
                  <c:v>1162.8875</c:v>
                </c:pt>
                <c:pt idx="73">
                  <c:v>1166.5062499999999</c:v>
                </c:pt>
                <c:pt idx="74">
                  <c:v>1170.125</c:v>
                </c:pt>
                <c:pt idx="75">
                  <c:v>1173.7437500000001</c:v>
                </c:pt>
                <c:pt idx="76">
                  <c:v>1177.3625</c:v>
                </c:pt>
                <c:pt idx="77">
                  <c:v>1180.98125</c:v>
                </c:pt>
                <c:pt idx="78">
                  <c:v>1184.5999999999999</c:v>
                </c:pt>
                <c:pt idx="79">
                  <c:v>1188.21875</c:v>
                </c:pt>
                <c:pt idx="80">
                  <c:v>1191.8375000000001</c:v>
                </c:pt>
                <c:pt idx="81">
                  <c:v>1195.45625</c:v>
                </c:pt>
                <c:pt idx="82">
                  <c:v>1199.075</c:v>
                </c:pt>
                <c:pt idx="83">
                  <c:v>1202.6937499999999</c:v>
                </c:pt>
                <c:pt idx="84">
                  <c:v>1206.3125</c:v>
                </c:pt>
                <c:pt idx="85">
                  <c:v>1209.9312500000001</c:v>
                </c:pt>
                <c:pt idx="86">
                  <c:v>1213.55</c:v>
                </c:pt>
                <c:pt idx="87">
                  <c:v>1217.16875</c:v>
                </c:pt>
                <c:pt idx="88">
                  <c:v>1220.7874999999999</c:v>
                </c:pt>
                <c:pt idx="89">
                  <c:v>1224.40625</c:v>
                </c:pt>
                <c:pt idx="90">
                  <c:v>1228.0250000000001</c:v>
                </c:pt>
                <c:pt idx="91">
                  <c:v>1231.64375</c:v>
                </c:pt>
                <c:pt idx="92">
                  <c:v>1235.2625</c:v>
                </c:pt>
                <c:pt idx="93">
                  <c:v>1238.8812499999999</c:v>
                </c:pt>
                <c:pt idx="94">
                  <c:v>1242.5</c:v>
                </c:pt>
                <c:pt idx="95">
                  <c:v>1246.1187500000001</c:v>
                </c:pt>
                <c:pt idx="96">
                  <c:v>1249.7375</c:v>
                </c:pt>
                <c:pt idx="97">
                  <c:v>1253.35625</c:v>
                </c:pt>
                <c:pt idx="98">
                  <c:v>1256.9749999999999</c:v>
                </c:pt>
                <c:pt idx="99">
                  <c:v>1260.59375</c:v>
                </c:pt>
                <c:pt idx="100">
                  <c:v>1264.2125000000001</c:v>
                </c:pt>
                <c:pt idx="101">
                  <c:v>1267.83125</c:v>
                </c:pt>
                <c:pt idx="102">
                  <c:v>1271.45</c:v>
                </c:pt>
                <c:pt idx="103">
                  <c:v>1275.0687499999999</c:v>
                </c:pt>
                <c:pt idx="104">
                  <c:v>1278.6875</c:v>
                </c:pt>
                <c:pt idx="105">
                  <c:v>1282.3062500000001</c:v>
                </c:pt>
                <c:pt idx="106">
                  <c:v>1285.9250000000002</c:v>
                </c:pt>
                <c:pt idx="107">
                  <c:v>1289.54375</c:v>
                </c:pt>
                <c:pt idx="108">
                  <c:v>1293.1624999999999</c:v>
                </c:pt>
                <c:pt idx="109">
                  <c:v>1296.78125</c:v>
                </c:pt>
                <c:pt idx="110">
                  <c:v>1300.4000000000001</c:v>
                </c:pt>
                <c:pt idx="111">
                  <c:v>1304.0187500000002</c:v>
                </c:pt>
                <c:pt idx="112">
                  <c:v>1307.6375</c:v>
                </c:pt>
                <c:pt idx="113">
                  <c:v>1311.2562499999999</c:v>
                </c:pt>
                <c:pt idx="114">
                  <c:v>1314.875</c:v>
                </c:pt>
                <c:pt idx="115">
                  <c:v>1318.4937500000001</c:v>
                </c:pt>
                <c:pt idx="116">
                  <c:v>1322.1125000000002</c:v>
                </c:pt>
                <c:pt idx="117">
                  <c:v>1325.73125</c:v>
                </c:pt>
                <c:pt idx="118">
                  <c:v>1329.35</c:v>
                </c:pt>
                <c:pt idx="119">
                  <c:v>1332.96875</c:v>
                </c:pt>
                <c:pt idx="120">
                  <c:v>1336.5875000000001</c:v>
                </c:pt>
                <c:pt idx="121">
                  <c:v>1340.2062500000002</c:v>
                </c:pt>
                <c:pt idx="122">
                  <c:v>1343.825</c:v>
                </c:pt>
                <c:pt idx="123">
                  <c:v>1347.4437499999999</c:v>
                </c:pt>
                <c:pt idx="124">
                  <c:v>1351.0625</c:v>
                </c:pt>
                <c:pt idx="125">
                  <c:v>1354.6812500000001</c:v>
                </c:pt>
                <c:pt idx="126">
                  <c:v>1358.3000000000002</c:v>
                </c:pt>
                <c:pt idx="127">
                  <c:v>1361.91875</c:v>
                </c:pt>
                <c:pt idx="128">
                  <c:v>1365.5374999999999</c:v>
                </c:pt>
                <c:pt idx="129">
                  <c:v>1369.15625</c:v>
                </c:pt>
                <c:pt idx="130">
                  <c:v>1372.7750000000001</c:v>
                </c:pt>
                <c:pt idx="131">
                  <c:v>1376.3937500000002</c:v>
                </c:pt>
                <c:pt idx="132">
                  <c:v>1380.0125</c:v>
                </c:pt>
                <c:pt idx="133">
                  <c:v>1383.6312499999999</c:v>
                </c:pt>
                <c:pt idx="134">
                  <c:v>1387.25</c:v>
                </c:pt>
                <c:pt idx="135">
                  <c:v>1390.8687500000001</c:v>
                </c:pt>
                <c:pt idx="136">
                  <c:v>1394.4875000000002</c:v>
                </c:pt>
                <c:pt idx="137">
                  <c:v>1398.10625</c:v>
                </c:pt>
                <c:pt idx="138">
                  <c:v>1401.7249999999999</c:v>
                </c:pt>
                <c:pt idx="139">
                  <c:v>1405.34375</c:v>
                </c:pt>
                <c:pt idx="140">
                  <c:v>1408.9625000000001</c:v>
                </c:pt>
                <c:pt idx="141">
                  <c:v>1412.5812500000002</c:v>
                </c:pt>
                <c:pt idx="142">
                  <c:v>1416.2</c:v>
                </c:pt>
                <c:pt idx="143">
                  <c:v>1419.8187499999999</c:v>
                </c:pt>
                <c:pt idx="144">
                  <c:v>1423.4375</c:v>
                </c:pt>
                <c:pt idx="145">
                  <c:v>1427.0562500000001</c:v>
                </c:pt>
                <c:pt idx="146">
                  <c:v>1430.6750000000002</c:v>
                </c:pt>
                <c:pt idx="147">
                  <c:v>1434.29375</c:v>
                </c:pt>
                <c:pt idx="148">
                  <c:v>1437.9124999999999</c:v>
                </c:pt>
                <c:pt idx="149">
                  <c:v>1441.53125</c:v>
                </c:pt>
                <c:pt idx="150">
                  <c:v>1445.15</c:v>
                </c:pt>
                <c:pt idx="151">
                  <c:v>1448.7687500000002</c:v>
                </c:pt>
                <c:pt idx="152">
                  <c:v>1452.3875</c:v>
                </c:pt>
                <c:pt idx="153">
                  <c:v>1456.0062499999999</c:v>
                </c:pt>
                <c:pt idx="154">
                  <c:v>1459.625</c:v>
                </c:pt>
                <c:pt idx="155">
                  <c:v>1463.2437500000001</c:v>
                </c:pt>
                <c:pt idx="156">
                  <c:v>1466.8625000000002</c:v>
                </c:pt>
                <c:pt idx="157">
                  <c:v>1470.48125</c:v>
                </c:pt>
                <c:pt idx="158">
                  <c:v>1474.1</c:v>
                </c:pt>
                <c:pt idx="159">
                  <c:v>1477.71875</c:v>
                </c:pt>
                <c:pt idx="160">
                  <c:v>1481.3375000000001</c:v>
                </c:pt>
                <c:pt idx="161">
                  <c:v>1484.9562500000002</c:v>
                </c:pt>
                <c:pt idx="162">
                  <c:v>1488.575</c:v>
                </c:pt>
                <c:pt idx="163">
                  <c:v>1492.1937499999999</c:v>
                </c:pt>
                <c:pt idx="164">
                  <c:v>1495.8125</c:v>
                </c:pt>
                <c:pt idx="165">
                  <c:v>1499.4312500000001</c:v>
                </c:pt>
                <c:pt idx="166">
                  <c:v>1503.0500000000002</c:v>
                </c:pt>
                <c:pt idx="167">
                  <c:v>1506.66875</c:v>
                </c:pt>
                <c:pt idx="168">
                  <c:v>1510.2874999999999</c:v>
                </c:pt>
                <c:pt idx="169">
                  <c:v>1513.90625</c:v>
                </c:pt>
                <c:pt idx="170">
                  <c:v>1517.5250000000001</c:v>
                </c:pt>
                <c:pt idx="171">
                  <c:v>1521.1437500000002</c:v>
                </c:pt>
                <c:pt idx="172">
                  <c:v>1524.7625</c:v>
                </c:pt>
                <c:pt idx="173">
                  <c:v>1528.3812499999999</c:v>
                </c:pt>
                <c:pt idx="174">
                  <c:v>1532</c:v>
                </c:pt>
                <c:pt idx="175">
                  <c:v>1535.6187500000001</c:v>
                </c:pt>
                <c:pt idx="176">
                  <c:v>1539.2375000000002</c:v>
                </c:pt>
                <c:pt idx="177">
                  <c:v>1542.85625</c:v>
                </c:pt>
                <c:pt idx="178">
                  <c:v>1546.4749999999999</c:v>
                </c:pt>
                <c:pt idx="179">
                  <c:v>1550.09375</c:v>
                </c:pt>
                <c:pt idx="180">
                  <c:v>1553.7125000000001</c:v>
                </c:pt>
                <c:pt idx="181">
                  <c:v>1557.3312500000002</c:v>
                </c:pt>
                <c:pt idx="182">
                  <c:v>1560.95</c:v>
                </c:pt>
                <c:pt idx="183">
                  <c:v>1564.5687499999999</c:v>
                </c:pt>
                <c:pt idx="184">
                  <c:v>1568.1875</c:v>
                </c:pt>
                <c:pt idx="185">
                  <c:v>1571.8062500000001</c:v>
                </c:pt>
                <c:pt idx="186">
                  <c:v>1575.4250000000002</c:v>
                </c:pt>
                <c:pt idx="187">
                  <c:v>1579.04375</c:v>
                </c:pt>
                <c:pt idx="188">
                  <c:v>1582.6624999999999</c:v>
                </c:pt>
                <c:pt idx="189">
                  <c:v>1586.28125</c:v>
                </c:pt>
                <c:pt idx="190">
                  <c:v>1589.9</c:v>
                </c:pt>
                <c:pt idx="191">
                  <c:v>1593.5187500000002</c:v>
                </c:pt>
                <c:pt idx="192">
                  <c:v>1597.1375</c:v>
                </c:pt>
                <c:pt idx="193">
                  <c:v>1600.7562499999999</c:v>
                </c:pt>
                <c:pt idx="194">
                  <c:v>1604.375</c:v>
                </c:pt>
                <c:pt idx="195">
                  <c:v>1607.9937500000001</c:v>
                </c:pt>
                <c:pt idx="196">
                  <c:v>1611.6125000000002</c:v>
                </c:pt>
                <c:pt idx="197">
                  <c:v>1615.23125</c:v>
                </c:pt>
                <c:pt idx="198">
                  <c:v>1618.85</c:v>
                </c:pt>
                <c:pt idx="199">
                  <c:v>1622.46875</c:v>
                </c:pt>
                <c:pt idx="200">
                  <c:v>1626.0875000000001</c:v>
                </c:pt>
                <c:pt idx="201">
                  <c:v>1629.7062500000002</c:v>
                </c:pt>
                <c:pt idx="202">
                  <c:v>1633.325</c:v>
                </c:pt>
                <c:pt idx="203">
                  <c:v>1636.9437499999999</c:v>
                </c:pt>
                <c:pt idx="204">
                  <c:v>1640.5625</c:v>
                </c:pt>
                <c:pt idx="205">
                  <c:v>1644.1812500000001</c:v>
                </c:pt>
                <c:pt idx="206">
                  <c:v>1647.8000000000002</c:v>
                </c:pt>
                <c:pt idx="207">
                  <c:v>1651.41875</c:v>
                </c:pt>
                <c:pt idx="208">
                  <c:v>1655.0374999999999</c:v>
                </c:pt>
                <c:pt idx="209">
                  <c:v>1658.65625</c:v>
                </c:pt>
                <c:pt idx="210">
                  <c:v>1662.2750000000001</c:v>
                </c:pt>
                <c:pt idx="211">
                  <c:v>1665.8937500000002</c:v>
                </c:pt>
                <c:pt idx="212">
                  <c:v>1669.5125</c:v>
                </c:pt>
                <c:pt idx="213">
                  <c:v>1673.1312499999999</c:v>
                </c:pt>
                <c:pt idx="214">
                  <c:v>1676.75</c:v>
                </c:pt>
                <c:pt idx="215">
                  <c:v>1680.3687500000001</c:v>
                </c:pt>
                <c:pt idx="216">
                  <c:v>1683.9875000000002</c:v>
                </c:pt>
                <c:pt idx="217">
                  <c:v>1687.60625</c:v>
                </c:pt>
                <c:pt idx="218">
                  <c:v>1691.2249999999999</c:v>
                </c:pt>
                <c:pt idx="219">
                  <c:v>1694.84375</c:v>
                </c:pt>
                <c:pt idx="220">
                  <c:v>1698.4625000000001</c:v>
                </c:pt>
                <c:pt idx="221">
                  <c:v>1702.0812500000002</c:v>
                </c:pt>
                <c:pt idx="222">
                  <c:v>1705.7</c:v>
                </c:pt>
                <c:pt idx="223">
                  <c:v>1709.3187499999999</c:v>
                </c:pt>
              </c:numCache>
            </c:numRef>
          </c:xVal>
          <c:yVal>
            <c:numRef>
              <c:f>Analysis!$L$42:$L$265</c:f>
              <c:numCache>
                <c:formatCode>0.000</c:formatCode>
                <c:ptCount val="224"/>
                <c:pt idx="0">
                  <c:v>0.81871345029239762</c:v>
                </c:pt>
                <c:pt idx="1">
                  <c:v>0.81065088757396453</c:v>
                </c:pt>
                <c:pt idx="2">
                  <c:v>0.81927710843373491</c:v>
                </c:pt>
                <c:pt idx="3">
                  <c:v>0.82035928143712578</c:v>
                </c:pt>
                <c:pt idx="4">
                  <c:v>0.81707317073170727</c:v>
                </c:pt>
                <c:pt idx="5">
                  <c:v>0.82424242424242422</c:v>
                </c:pt>
                <c:pt idx="6">
                  <c:v>0.83132530120481929</c:v>
                </c:pt>
                <c:pt idx="7">
                  <c:v>0.82424242424242422</c:v>
                </c:pt>
                <c:pt idx="8">
                  <c:v>0.83132530120481929</c:v>
                </c:pt>
                <c:pt idx="9">
                  <c:v>0.83734939759036142</c:v>
                </c:pt>
                <c:pt idx="10">
                  <c:v>0.83832335329341312</c:v>
                </c:pt>
                <c:pt idx="11">
                  <c:v>0.8411764705882353</c:v>
                </c:pt>
                <c:pt idx="12">
                  <c:v>0.8411764705882353</c:v>
                </c:pt>
                <c:pt idx="13">
                  <c:v>0.84795321637426901</c:v>
                </c:pt>
                <c:pt idx="14">
                  <c:v>0.82954545454545459</c:v>
                </c:pt>
                <c:pt idx="15">
                  <c:v>0.83888888888888891</c:v>
                </c:pt>
                <c:pt idx="16">
                  <c:v>0.84065934065934067</c:v>
                </c:pt>
                <c:pt idx="17">
                  <c:v>0.83957219251336901</c:v>
                </c:pt>
                <c:pt idx="18">
                  <c:v>0.84293193717277481</c:v>
                </c:pt>
                <c:pt idx="19">
                  <c:v>0.84536082474226804</c:v>
                </c:pt>
                <c:pt idx="20">
                  <c:v>0.84693877551020413</c:v>
                </c:pt>
                <c:pt idx="21">
                  <c:v>0.84848484848484851</c:v>
                </c:pt>
                <c:pt idx="22">
                  <c:v>0.85148514851485146</c:v>
                </c:pt>
                <c:pt idx="23">
                  <c:v>0.84729064039408863</c:v>
                </c:pt>
                <c:pt idx="24">
                  <c:v>0.85576923076923073</c:v>
                </c:pt>
                <c:pt idx="25">
                  <c:v>0.85167464114832536</c:v>
                </c:pt>
                <c:pt idx="26">
                  <c:v>0.84905660377358494</c:v>
                </c:pt>
                <c:pt idx="27">
                  <c:v>0.85253456221198154</c:v>
                </c:pt>
                <c:pt idx="28">
                  <c:v>0.85</c:v>
                </c:pt>
                <c:pt idx="29">
                  <c:v>0.85333333333333339</c:v>
                </c:pt>
                <c:pt idx="30">
                  <c:v>0.84347826086956523</c:v>
                </c:pt>
                <c:pt idx="31">
                  <c:v>0.84913793103448276</c:v>
                </c:pt>
                <c:pt idx="32">
                  <c:v>0.84680851063829787</c:v>
                </c:pt>
                <c:pt idx="33">
                  <c:v>0.84518828451882844</c:v>
                </c:pt>
                <c:pt idx="34">
                  <c:v>0.85062240663900412</c:v>
                </c:pt>
                <c:pt idx="35">
                  <c:v>0.8448979591836735</c:v>
                </c:pt>
                <c:pt idx="36">
                  <c:v>0.84615384615384615</c:v>
                </c:pt>
                <c:pt idx="37">
                  <c:v>0.84920634920634919</c:v>
                </c:pt>
                <c:pt idx="38">
                  <c:v>0.8515625</c:v>
                </c:pt>
                <c:pt idx="39">
                  <c:v>0.85660377358490569</c:v>
                </c:pt>
                <c:pt idx="40">
                  <c:v>0.85239852398523985</c:v>
                </c:pt>
                <c:pt idx="41">
                  <c:v>0.85144927536231885</c:v>
                </c:pt>
                <c:pt idx="42">
                  <c:v>0.85144927536231885</c:v>
                </c:pt>
                <c:pt idx="43">
                  <c:v>0.84837545126353786</c:v>
                </c:pt>
                <c:pt idx="44">
                  <c:v>0.85053380782918153</c:v>
                </c:pt>
                <c:pt idx="45">
                  <c:v>0.84912280701754383</c:v>
                </c:pt>
                <c:pt idx="46">
                  <c:v>0.84879725085910651</c:v>
                </c:pt>
                <c:pt idx="47">
                  <c:v>0.84693877551020413</c:v>
                </c:pt>
                <c:pt idx="48">
                  <c:v>0.84563758389261745</c:v>
                </c:pt>
                <c:pt idx="49">
                  <c:v>0.84105960264900659</c:v>
                </c:pt>
                <c:pt idx="50">
                  <c:v>0.8403908794788274</c:v>
                </c:pt>
                <c:pt idx="51">
                  <c:v>0.84516129032258069</c:v>
                </c:pt>
                <c:pt idx="52">
                  <c:v>0.84076433121019112</c:v>
                </c:pt>
                <c:pt idx="53">
                  <c:v>0.84062499999999996</c:v>
                </c:pt>
                <c:pt idx="54">
                  <c:v>0.84161490683229812</c:v>
                </c:pt>
                <c:pt idx="55">
                  <c:v>0.83692307692307688</c:v>
                </c:pt>
                <c:pt idx="56">
                  <c:v>0.83939393939393936</c:v>
                </c:pt>
                <c:pt idx="57">
                  <c:v>0.84036144578313254</c:v>
                </c:pt>
                <c:pt idx="58">
                  <c:v>0.8392857142857143</c:v>
                </c:pt>
                <c:pt idx="59">
                  <c:v>0.83431952662721898</c:v>
                </c:pt>
                <c:pt idx="60">
                  <c:v>0.8299120234604106</c:v>
                </c:pt>
                <c:pt idx="61">
                  <c:v>0.83478260869565213</c:v>
                </c:pt>
                <c:pt idx="62">
                  <c:v>0.83667621776504297</c:v>
                </c:pt>
                <c:pt idx="63">
                  <c:v>0.83760683760683763</c:v>
                </c:pt>
                <c:pt idx="64">
                  <c:v>0.83943661971830985</c:v>
                </c:pt>
                <c:pt idx="65">
                  <c:v>0.83611111111111114</c:v>
                </c:pt>
                <c:pt idx="66">
                  <c:v>0.83701657458563539</c:v>
                </c:pt>
                <c:pt idx="67">
                  <c:v>0.83378746594005448</c:v>
                </c:pt>
                <c:pt idx="68">
                  <c:v>0.83695652173913049</c:v>
                </c:pt>
                <c:pt idx="69">
                  <c:v>0.83333333333333337</c:v>
                </c:pt>
                <c:pt idx="70">
                  <c:v>0.83333333333333337</c:v>
                </c:pt>
                <c:pt idx="71">
                  <c:v>0.83727034120734911</c:v>
                </c:pt>
                <c:pt idx="72">
                  <c:v>0.83812010443864227</c:v>
                </c:pt>
                <c:pt idx="73">
                  <c:v>0.84020618556701032</c:v>
                </c:pt>
                <c:pt idx="74">
                  <c:v>0.83589743589743593</c:v>
                </c:pt>
                <c:pt idx="75">
                  <c:v>0.83544303797468356</c:v>
                </c:pt>
                <c:pt idx="76">
                  <c:v>0.83879093198992438</c:v>
                </c:pt>
                <c:pt idx="77">
                  <c:v>0.83959899749373434</c:v>
                </c:pt>
                <c:pt idx="78">
                  <c:v>0.8366336633663366</c:v>
                </c:pt>
                <c:pt idx="79">
                  <c:v>0.83333333333333337</c:v>
                </c:pt>
                <c:pt idx="80">
                  <c:v>0.8365853658536585</c:v>
                </c:pt>
                <c:pt idx="81">
                  <c:v>0.83373493975903612</c:v>
                </c:pt>
                <c:pt idx="82">
                  <c:v>0.83293556085918852</c:v>
                </c:pt>
                <c:pt idx="83">
                  <c:v>0.83490566037735847</c:v>
                </c:pt>
                <c:pt idx="84">
                  <c:v>0.83568075117370888</c:v>
                </c:pt>
                <c:pt idx="85">
                  <c:v>0.83333333333333337</c:v>
                </c:pt>
                <c:pt idx="86">
                  <c:v>0.83295194508009152</c:v>
                </c:pt>
                <c:pt idx="87">
                  <c:v>0.83521444695259595</c:v>
                </c:pt>
                <c:pt idx="88">
                  <c:v>0.83296213808463249</c:v>
                </c:pt>
                <c:pt idx="89">
                  <c:v>0.8318965517241379</c:v>
                </c:pt>
                <c:pt idx="90">
                  <c:v>0.82661290322580649</c:v>
                </c:pt>
                <c:pt idx="91">
                  <c:v>0.82531194295900179</c:v>
                </c:pt>
                <c:pt idx="92">
                  <c:v>0.82495667244367421</c:v>
                </c:pt>
                <c:pt idx="93">
                  <c:v>0.82536764705882348</c:v>
                </c:pt>
                <c:pt idx="94">
                  <c:v>0.82680412371134016</c:v>
                </c:pt>
                <c:pt idx="95">
                  <c:v>0.82304526748971196</c:v>
                </c:pt>
                <c:pt idx="96">
                  <c:v>0.82377049180327866</c:v>
                </c:pt>
                <c:pt idx="97">
                  <c:v>0.82317073170731703</c:v>
                </c:pt>
                <c:pt idx="98">
                  <c:v>0.82424242424242422</c:v>
                </c:pt>
                <c:pt idx="99">
                  <c:v>0.82669322709163351</c:v>
                </c:pt>
                <c:pt idx="100">
                  <c:v>0.83101391650099399</c:v>
                </c:pt>
                <c:pt idx="101">
                  <c:v>0.83201581027667981</c:v>
                </c:pt>
                <c:pt idx="102">
                  <c:v>0.82745098039215681</c:v>
                </c:pt>
                <c:pt idx="103">
                  <c:v>0.83203125</c:v>
                </c:pt>
                <c:pt idx="104">
                  <c:v>0.83073929961089499</c:v>
                </c:pt>
                <c:pt idx="105">
                  <c:v>0.83073929961089499</c:v>
                </c:pt>
                <c:pt idx="106">
                  <c:v>0.83139534883720934</c:v>
                </c:pt>
                <c:pt idx="107">
                  <c:v>0.82658959537572252</c:v>
                </c:pt>
                <c:pt idx="108">
                  <c:v>0.82183908045977017</c:v>
                </c:pt>
                <c:pt idx="109">
                  <c:v>0.82285714285714284</c:v>
                </c:pt>
                <c:pt idx="110">
                  <c:v>0.81818181818181823</c:v>
                </c:pt>
                <c:pt idx="111">
                  <c:v>0.81474480151228734</c:v>
                </c:pt>
                <c:pt idx="112">
                  <c:v>0.81544256120527303</c:v>
                </c:pt>
                <c:pt idx="113">
                  <c:v>0.81203007518796988</c:v>
                </c:pt>
                <c:pt idx="114">
                  <c:v>0.80970149253731338</c:v>
                </c:pt>
                <c:pt idx="115">
                  <c:v>0.80783582089552242</c:v>
                </c:pt>
                <c:pt idx="116">
                  <c:v>0.80705009276437845</c:v>
                </c:pt>
                <c:pt idx="117">
                  <c:v>0.8040665434380776</c:v>
                </c:pt>
                <c:pt idx="118">
                  <c:v>0.80221811460258785</c:v>
                </c:pt>
                <c:pt idx="119">
                  <c:v>0.80036968576709799</c:v>
                </c:pt>
                <c:pt idx="120">
                  <c:v>0.80036968576709799</c:v>
                </c:pt>
                <c:pt idx="121">
                  <c:v>0.79742173112338854</c:v>
                </c:pt>
                <c:pt idx="122">
                  <c:v>0.79487179487179482</c:v>
                </c:pt>
                <c:pt idx="123">
                  <c:v>0.78937728937728935</c:v>
                </c:pt>
                <c:pt idx="124">
                  <c:v>0.78715596330275228</c:v>
                </c:pt>
                <c:pt idx="125">
                  <c:v>0.78228782287822873</c:v>
                </c:pt>
                <c:pt idx="126">
                  <c:v>0.77509293680297398</c:v>
                </c:pt>
                <c:pt idx="127">
                  <c:v>0.76579925650557623</c:v>
                </c:pt>
                <c:pt idx="128">
                  <c:v>0.76163873370577284</c:v>
                </c:pt>
                <c:pt idx="129">
                  <c:v>0.76066790352504643</c:v>
                </c:pt>
                <c:pt idx="130">
                  <c:v>0.75735294117647056</c:v>
                </c:pt>
                <c:pt idx="131">
                  <c:v>0.75045207956600357</c:v>
                </c:pt>
                <c:pt idx="132">
                  <c:v>0.74603174603174605</c:v>
                </c:pt>
                <c:pt idx="133">
                  <c:v>0.73217391304347823</c:v>
                </c:pt>
                <c:pt idx="134">
                  <c:v>0.7162629757785467</c:v>
                </c:pt>
                <c:pt idx="135">
                  <c:v>0.69723183391003463</c:v>
                </c:pt>
                <c:pt idx="136">
                  <c:v>0.67888307155322858</c:v>
                </c:pt>
                <c:pt idx="137">
                  <c:v>0.67019400352733682</c:v>
                </c:pt>
                <c:pt idx="138">
                  <c:v>0.66249999999999998</c:v>
                </c:pt>
                <c:pt idx="139">
                  <c:v>0.66249999999999998</c:v>
                </c:pt>
                <c:pt idx="140">
                  <c:v>0.66371681415929207</c:v>
                </c:pt>
                <c:pt idx="141">
                  <c:v>0.66431095406360419</c:v>
                </c:pt>
                <c:pt idx="142">
                  <c:v>0.66959578207381376</c:v>
                </c:pt>
                <c:pt idx="143">
                  <c:v>0.68006993006993011</c:v>
                </c:pt>
                <c:pt idx="144">
                  <c:v>0.71006944444444442</c:v>
                </c:pt>
                <c:pt idx="145">
                  <c:v>0.74826388888888884</c:v>
                </c:pt>
                <c:pt idx="146">
                  <c:v>0.76989619377162632</c:v>
                </c:pt>
                <c:pt idx="147">
                  <c:v>0.78178694158075601</c:v>
                </c:pt>
                <c:pt idx="148">
                  <c:v>0.79109589041095896</c:v>
                </c:pt>
                <c:pt idx="149">
                  <c:v>0.79761904761904767</c:v>
                </c:pt>
                <c:pt idx="150">
                  <c:v>0.80236486486486491</c:v>
                </c:pt>
                <c:pt idx="151">
                  <c:v>0.80847457627118646</c:v>
                </c:pt>
                <c:pt idx="152">
                  <c:v>0.8134453781512605</c:v>
                </c:pt>
                <c:pt idx="153">
                  <c:v>0.81574539363484089</c:v>
                </c:pt>
                <c:pt idx="154">
                  <c:v>0.82166666666666666</c:v>
                </c:pt>
                <c:pt idx="155">
                  <c:v>0.82119205298013243</c:v>
                </c:pt>
                <c:pt idx="156">
                  <c:v>0.82594417077175697</c:v>
                </c:pt>
                <c:pt idx="157">
                  <c:v>0.82544861337683528</c:v>
                </c:pt>
                <c:pt idx="158">
                  <c:v>0.82792207792207795</c:v>
                </c:pt>
                <c:pt idx="159">
                  <c:v>0.82820097244732582</c:v>
                </c:pt>
                <c:pt idx="160">
                  <c:v>0.82580645161290323</c:v>
                </c:pt>
                <c:pt idx="161">
                  <c:v>0.82636655948553051</c:v>
                </c:pt>
                <c:pt idx="162">
                  <c:v>0.83012820512820518</c:v>
                </c:pt>
                <c:pt idx="163">
                  <c:v>0.83173076923076927</c:v>
                </c:pt>
                <c:pt idx="164">
                  <c:v>0.83040000000000003</c:v>
                </c:pt>
                <c:pt idx="165">
                  <c:v>0.83386581469648557</c:v>
                </c:pt>
                <c:pt idx="166">
                  <c:v>0.83386581469648557</c:v>
                </c:pt>
                <c:pt idx="167">
                  <c:v>0.83280254777070062</c:v>
                </c:pt>
                <c:pt idx="168">
                  <c:v>0.83679999999999999</c:v>
                </c:pt>
                <c:pt idx="169">
                  <c:v>0.83891547049441784</c:v>
                </c:pt>
                <c:pt idx="170">
                  <c:v>0.84</c:v>
                </c:pt>
                <c:pt idx="171">
                  <c:v>0.83732057416267947</c:v>
                </c:pt>
                <c:pt idx="172">
                  <c:v>0.83706070287539935</c:v>
                </c:pt>
                <c:pt idx="173">
                  <c:v>0.83891547049441784</c:v>
                </c:pt>
                <c:pt idx="174">
                  <c:v>0.83917197452229297</c:v>
                </c:pt>
                <c:pt idx="175">
                  <c:v>0.84025559105431313</c:v>
                </c:pt>
                <c:pt idx="176">
                  <c:v>0.8410174880763116</c:v>
                </c:pt>
                <c:pt idx="177">
                  <c:v>0.84076433121019112</c:v>
                </c:pt>
                <c:pt idx="178">
                  <c:v>0.84152139461172737</c:v>
                </c:pt>
                <c:pt idx="179">
                  <c:v>0.84202211690363349</c:v>
                </c:pt>
                <c:pt idx="180">
                  <c:v>0.84012539184952983</c:v>
                </c:pt>
                <c:pt idx="181">
                  <c:v>0.84218749999999998</c:v>
                </c:pt>
                <c:pt idx="182">
                  <c:v>0.8419405320813772</c:v>
                </c:pt>
                <c:pt idx="183">
                  <c:v>0.84531250000000002</c:v>
                </c:pt>
                <c:pt idx="184">
                  <c:v>0.84267912772585674</c:v>
                </c:pt>
                <c:pt idx="185">
                  <c:v>0.84651162790697676</c:v>
                </c:pt>
                <c:pt idx="186">
                  <c:v>0.84651162790697676</c:v>
                </c:pt>
                <c:pt idx="187">
                  <c:v>0.84698608964451316</c:v>
                </c:pt>
                <c:pt idx="188">
                  <c:v>0.84923076923076923</c:v>
                </c:pt>
                <c:pt idx="189">
                  <c:v>0.84899845916795069</c:v>
                </c:pt>
                <c:pt idx="190">
                  <c:v>0.85076923076923072</c:v>
                </c:pt>
                <c:pt idx="191">
                  <c:v>0.85076923076923072</c:v>
                </c:pt>
                <c:pt idx="192">
                  <c:v>0.85053929121725735</c:v>
                </c:pt>
                <c:pt idx="193">
                  <c:v>0.85076923076923072</c:v>
                </c:pt>
                <c:pt idx="194">
                  <c:v>0.8520801232665639</c:v>
                </c:pt>
                <c:pt idx="195">
                  <c:v>0.85053929121725735</c:v>
                </c:pt>
                <c:pt idx="196">
                  <c:v>0.85030864197530864</c:v>
                </c:pt>
                <c:pt idx="197">
                  <c:v>0.85225505443234839</c:v>
                </c:pt>
                <c:pt idx="198">
                  <c:v>0.85</c:v>
                </c:pt>
                <c:pt idx="199">
                  <c:v>0.84687500000000004</c:v>
                </c:pt>
                <c:pt idx="200">
                  <c:v>0.84724409448818894</c:v>
                </c:pt>
                <c:pt idx="201">
                  <c:v>0.84761904761904761</c:v>
                </c:pt>
                <c:pt idx="202">
                  <c:v>0.84529505582137165</c:v>
                </c:pt>
                <c:pt idx="203">
                  <c:v>0.8470209339774557</c:v>
                </c:pt>
                <c:pt idx="204">
                  <c:v>0.84715447154471546</c:v>
                </c:pt>
                <c:pt idx="205">
                  <c:v>0.84729064039408863</c:v>
                </c:pt>
                <c:pt idx="206">
                  <c:v>0.84858569051580701</c:v>
                </c:pt>
                <c:pt idx="207">
                  <c:v>0.85185185185185186</c:v>
                </c:pt>
                <c:pt idx="208">
                  <c:v>0.85128205128205126</c:v>
                </c:pt>
                <c:pt idx="209">
                  <c:v>0.84991273996509598</c:v>
                </c:pt>
                <c:pt idx="210">
                  <c:v>0.8476702508960573</c:v>
                </c:pt>
                <c:pt idx="211">
                  <c:v>0.85424354243542433</c:v>
                </c:pt>
                <c:pt idx="212">
                  <c:v>0.85199240986717273</c:v>
                </c:pt>
                <c:pt idx="213">
                  <c:v>0.84931506849315064</c:v>
                </c:pt>
                <c:pt idx="214">
                  <c:v>0.84708249496981891</c:v>
                </c:pt>
                <c:pt idx="215">
                  <c:v>0.84728033472803344</c:v>
                </c:pt>
                <c:pt idx="216">
                  <c:v>0.84782608695652173</c:v>
                </c:pt>
                <c:pt idx="217">
                  <c:v>0.8510158013544018</c:v>
                </c:pt>
                <c:pt idx="218">
                  <c:v>0.852112676056338</c:v>
                </c:pt>
                <c:pt idx="219">
                  <c:v>0.84729064039408863</c:v>
                </c:pt>
                <c:pt idx="220">
                  <c:v>0.8511749347258486</c:v>
                </c:pt>
                <c:pt idx="221">
                  <c:v>0.84699453551912574</c:v>
                </c:pt>
                <c:pt idx="222">
                  <c:v>0.84943181818181823</c:v>
                </c:pt>
                <c:pt idx="223">
                  <c:v>0.84411764705882353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FA-467B-9772-44740E50823C}"/>
            </c:ext>
          </c:extLst>
        </c:ser>
        <c:ser>
          <c:idx val="6"/>
          <c:order val="6"/>
          <c:tx>
            <c:v>Database Kaolinite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Kaolinite!$B$238:$B$892</c:f>
              <c:numCache>
                <c:formatCode>General</c:formatCode>
                <c:ptCount val="655"/>
                <c:pt idx="0">
                  <c:v>800</c:v>
                </c:pt>
                <c:pt idx="1">
                  <c:v>805</c:v>
                </c:pt>
                <c:pt idx="2">
                  <c:v>810</c:v>
                </c:pt>
                <c:pt idx="3">
                  <c:v>815</c:v>
                </c:pt>
                <c:pt idx="4">
                  <c:v>820</c:v>
                </c:pt>
                <c:pt idx="5">
                  <c:v>825</c:v>
                </c:pt>
                <c:pt idx="6">
                  <c:v>830</c:v>
                </c:pt>
                <c:pt idx="7">
                  <c:v>835</c:v>
                </c:pt>
                <c:pt idx="8">
                  <c:v>840</c:v>
                </c:pt>
                <c:pt idx="9">
                  <c:v>845</c:v>
                </c:pt>
                <c:pt idx="10">
                  <c:v>850</c:v>
                </c:pt>
                <c:pt idx="11">
                  <c:v>855</c:v>
                </c:pt>
                <c:pt idx="12">
                  <c:v>860</c:v>
                </c:pt>
                <c:pt idx="13">
                  <c:v>865</c:v>
                </c:pt>
                <c:pt idx="14">
                  <c:v>870</c:v>
                </c:pt>
                <c:pt idx="15">
                  <c:v>875</c:v>
                </c:pt>
                <c:pt idx="16">
                  <c:v>880</c:v>
                </c:pt>
                <c:pt idx="17">
                  <c:v>885</c:v>
                </c:pt>
                <c:pt idx="18">
                  <c:v>890</c:v>
                </c:pt>
                <c:pt idx="19">
                  <c:v>895</c:v>
                </c:pt>
                <c:pt idx="20">
                  <c:v>900</c:v>
                </c:pt>
                <c:pt idx="21">
                  <c:v>905</c:v>
                </c:pt>
                <c:pt idx="22">
                  <c:v>910</c:v>
                </c:pt>
                <c:pt idx="23">
                  <c:v>915</c:v>
                </c:pt>
                <c:pt idx="24">
                  <c:v>920</c:v>
                </c:pt>
                <c:pt idx="25">
                  <c:v>925</c:v>
                </c:pt>
                <c:pt idx="26">
                  <c:v>930</c:v>
                </c:pt>
                <c:pt idx="27">
                  <c:v>935</c:v>
                </c:pt>
                <c:pt idx="28">
                  <c:v>940</c:v>
                </c:pt>
                <c:pt idx="29">
                  <c:v>945</c:v>
                </c:pt>
                <c:pt idx="30">
                  <c:v>950</c:v>
                </c:pt>
                <c:pt idx="31">
                  <c:v>955</c:v>
                </c:pt>
                <c:pt idx="32">
                  <c:v>960</c:v>
                </c:pt>
                <c:pt idx="33">
                  <c:v>965</c:v>
                </c:pt>
                <c:pt idx="34">
                  <c:v>970</c:v>
                </c:pt>
                <c:pt idx="35">
                  <c:v>975</c:v>
                </c:pt>
                <c:pt idx="36">
                  <c:v>980</c:v>
                </c:pt>
                <c:pt idx="37">
                  <c:v>985</c:v>
                </c:pt>
                <c:pt idx="38">
                  <c:v>990</c:v>
                </c:pt>
                <c:pt idx="39">
                  <c:v>995</c:v>
                </c:pt>
                <c:pt idx="40">
                  <c:v>1000</c:v>
                </c:pt>
                <c:pt idx="41">
                  <c:v>1004.9999999999999</c:v>
                </c:pt>
                <c:pt idx="42">
                  <c:v>1010</c:v>
                </c:pt>
                <c:pt idx="43">
                  <c:v>1014.9999999999999</c:v>
                </c:pt>
                <c:pt idx="44">
                  <c:v>1020</c:v>
                </c:pt>
                <c:pt idx="45">
                  <c:v>1025</c:v>
                </c:pt>
                <c:pt idx="46">
                  <c:v>1030</c:v>
                </c:pt>
                <c:pt idx="47">
                  <c:v>1035</c:v>
                </c:pt>
                <c:pt idx="48">
                  <c:v>1040</c:v>
                </c:pt>
                <c:pt idx="49">
                  <c:v>1045</c:v>
                </c:pt>
                <c:pt idx="50">
                  <c:v>1050</c:v>
                </c:pt>
                <c:pt idx="51">
                  <c:v>1055</c:v>
                </c:pt>
                <c:pt idx="52">
                  <c:v>1060</c:v>
                </c:pt>
                <c:pt idx="53">
                  <c:v>1065</c:v>
                </c:pt>
                <c:pt idx="54">
                  <c:v>1070</c:v>
                </c:pt>
                <c:pt idx="55">
                  <c:v>1075</c:v>
                </c:pt>
                <c:pt idx="56">
                  <c:v>1080</c:v>
                </c:pt>
                <c:pt idx="57">
                  <c:v>1085</c:v>
                </c:pt>
                <c:pt idx="58">
                  <c:v>1090</c:v>
                </c:pt>
                <c:pt idx="59">
                  <c:v>1095</c:v>
                </c:pt>
                <c:pt idx="60">
                  <c:v>1100</c:v>
                </c:pt>
                <c:pt idx="61">
                  <c:v>1105</c:v>
                </c:pt>
                <c:pt idx="62">
                  <c:v>1110</c:v>
                </c:pt>
                <c:pt idx="63">
                  <c:v>1115</c:v>
                </c:pt>
                <c:pt idx="64">
                  <c:v>1120</c:v>
                </c:pt>
                <c:pt idx="65">
                  <c:v>1125</c:v>
                </c:pt>
                <c:pt idx="66">
                  <c:v>1130</c:v>
                </c:pt>
                <c:pt idx="67">
                  <c:v>1135</c:v>
                </c:pt>
                <c:pt idx="68">
                  <c:v>1140</c:v>
                </c:pt>
                <c:pt idx="69">
                  <c:v>1145</c:v>
                </c:pt>
                <c:pt idx="70">
                  <c:v>1150</c:v>
                </c:pt>
                <c:pt idx="71">
                  <c:v>1155</c:v>
                </c:pt>
                <c:pt idx="72">
                  <c:v>1160</c:v>
                </c:pt>
                <c:pt idx="73">
                  <c:v>1165</c:v>
                </c:pt>
                <c:pt idx="74">
                  <c:v>1170</c:v>
                </c:pt>
                <c:pt idx="75">
                  <c:v>1175</c:v>
                </c:pt>
                <c:pt idx="76">
                  <c:v>1180</c:v>
                </c:pt>
                <c:pt idx="77">
                  <c:v>1185</c:v>
                </c:pt>
                <c:pt idx="78">
                  <c:v>1190</c:v>
                </c:pt>
                <c:pt idx="79">
                  <c:v>1195</c:v>
                </c:pt>
                <c:pt idx="80">
                  <c:v>1200</c:v>
                </c:pt>
                <c:pt idx="81">
                  <c:v>1205</c:v>
                </c:pt>
                <c:pt idx="82">
                  <c:v>1210</c:v>
                </c:pt>
                <c:pt idx="83">
                  <c:v>1215</c:v>
                </c:pt>
                <c:pt idx="84">
                  <c:v>1220</c:v>
                </c:pt>
                <c:pt idx="85">
                  <c:v>1225</c:v>
                </c:pt>
                <c:pt idx="86">
                  <c:v>1230</c:v>
                </c:pt>
                <c:pt idx="87">
                  <c:v>1235</c:v>
                </c:pt>
                <c:pt idx="88">
                  <c:v>1240</c:v>
                </c:pt>
                <c:pt idx="89">
                  <c:v>1245</c:v>
                </c:pt>
                <c:pt idx="90">
                  <c:v>1250</c:v>
                </c:pt>
                <c:pt idx="91">
                  <c:v>1255</c:v>
                </c:pt>
                <c:pt idx="92">
                  <c:v>1260</c:v>
                </c:pt>
                <c:pt idx="93">
                  <c:v>1265</c:v>
                </c:pt>
                <c:pt idx="94">
                  <c:v>1270</c:v>
                </c:pt>
                <c:pt idx="95">
                  <c:v>1275</c:v>
                </c:pt>
                <c:pt idx="96">
                  <c:v>1280</c:v>
                </c:pt>
                <c:pt idx="97">
                  <c:v>1285</c:v>
                </c:pt>
                <c:pt idx="98">
                  <c:v>1290</c:v>
                </c:pt>
                <c:pt idx="99">
                  <c:v>1295</c:v>
                </c:pt>
                <c:pt idx="100">
                  <c:v>1300</c:v>
                </c:pt>
                <c:pt idx="101">
                  <c:v>1305</c:v>
                </c:pt>
                <c:pt idx="102">
                  <c:v>1310</c:v>
                </c:pt>
                <c:pt idx="103">
                  <c:v>1315</c:v>
                </c:pt>
                <c:pt idx="104">
                  <c:v>1320</c:v>
                </c:pt>
                <c:pt idx="105">
                  <c:v>1325</c:v>
                </c:pt>
                <c:pt idx="106">
                  <c:v>1330</c:v>
                </c:pt>
                <c:pt idx="107">
                  <c:v>1335</c:v>
                </c:pt>
                <c:pt idx="108">
                  <c:v>1340</c:v>
                </c:pt>
                <c:pt idx="109">
                  <c:v>1345</c:v>
                </c:pt>
                <c:pt idx="110">
                  <c:v>1350</c:v>
                </c:pt>
                <c:pt idx="111">
                  <c:v>1355</c:v>
                </c:pt>
                <c:pt idx="112">
                  <c:v>1360</c:v>
                </c:pt>
                <c:pt idx="113">
                  <c:v>1365</c:v>
                </c:pt>
                <c:pt idx="114">
                  <c:v>1370</c:v>
                </c:pt>
                <c:pt idx="115">
                  <c:v>1375</c:v>
                </c:pt>
                <c:pt idx="116">
                  <c:v>1380</c:v>
                </c:pt>
                <c:pt idx="117">
                  <c:v>1385</c:v>
                </c:pt>
                <c:pt idx="118">
                  <c:v>1390</c:v>
                </c:pt>
                <c:pt idx="119">
                  <c:v>1395</c:v>
                </c:pt>
                <c:pt idx="120">
                  <c:v>1400</c:v>
                </c:pt>
                <c:pt idx="121">
                  <c:v>1405</c:v>
                </c:pt>
                <c:pt idx="122">
                  <c:v>1410</c:v>
                </c:pt>
                <c:pt idx="123">
                  <c:v>1415</c:v>
                </c:pt>
                <c:pt idx="124">
                  <c:v>1420</c:v>
                </c:pt>
                <c:pt idx="125">
                  <c:v>1425</c:v>
                </c:pt>
                <c:pt idx="126">
                  <c:v>1430</c:v>
                </c:pt>
                <c:pt idx="127">
                  <c:v>1435</c:v>
                </c:pt>
                <c:pt idx="128">
                  <c:v>1440</c:v>
                </c:pt>
                <c:pt idx="129">
                  <c:v>1445</c:v>
                </c:pt>
                <c:pt idx="130">
                  <c:v>1450</c:v>
                </c:pt>
                <c:pt idx="131">
                  <c:v>1455</c:v>
                </c:pt>
                <c:pt idx="132">
                  <c:v>1460</c:v>
                </c:pt>
                <c:pt idx="133">
                  <c:v>1465</c:v>
                </c:pt>
                <c:pt idx="134">
                  <c:v>1470</c:v>
                </c:pt>
                <c:pt idx="135">
                  <c:v>1475</c:v>
                </c:pt>
                <c:pt idx="136">
                  <c:v>1480</c:v>
                </c:pt>
                <c:pt idx="137">
                  <c:v>1485</c:v>
                </c:pt>
                <c:pt idx="138">
                  <c:v>1490</c:v>
                </c:pt>
                <c:pt idx="139">
                  <c:v>1495</c:v>
                </c:pt>
                <c:pt idx="140">
                  <c:v>1500</c:v>
                </c:pt>
                <c:pt idx="141">
                  <c:v>1505</c:v>
                </c:pt>
                <c:pt idx="142">
                  <c:v>1510</c:v>
                </c:pt>
                <c:pt idx="143">
                  <c:v>1515</c:v>
                </c:pt>
                <c:pt idx="144">
                  <c:v>1520</c:v>
                </c:pt>
                <c:pt idx="145">
                  <c:v>1525</c:v>
                </c:pt>
                <c:pt idx="146">
                  <c:v>1530</c:v>
                </c:pt>
                <c:pt idx="147">
                  <c:v>1535</c:v>
                </c:pt>
                <c:pt idx="148">
                  <c:v>1540</c:v>
                </c:pt>
                <c:pt idx="149">
                  <c:v>1545</c:v>
                </c:pt>
                <c:pt idx="150">
                  <c:v>1550</c:v>
                </c:pt>
                <c:pt idx="151">
                  <c:v>1555</c:v>
                </c:pt>
                <c:pt idx="152">
                  <c:v>1560</c:v>
                </c:pt>
                <c:pt idx="153">
                  <c:v>1565</c:v>
                </c:pt>
                <c:pt idx="154">
                  <c:v>1570</c:v>
                </c:pt>
                <c:pt idx="155">
                  <c:v>1575</c:v>
                </c:pt>
                <c:pt idx="156">
                  <c:v>1580</c:v>
                </c:pt>
                <c:pt idx="157">
                  <c:v>1585</c:v>
                </c:pt>
                <c:pt idx="158">
                  <c:v>1590</c:v>
                </c:pt>
                <c:pt idx="159">
                  <c:v>1595</c:v>
                </c:pt>
                <c:pt idx="160">
                  <c:v>1600</c:v>
                </c:pt>
                <c:pt idx="161">
                  <c:v>1605</c:v>
                </c:pt>
                <c:pt idx="162">
                  <c:v>1610</c:v>
                </c:pt>
                <c:pt idx="163">
                  <c:v>1615</c:v>
                </c:pt>
                <c:pt idx="164">
                  <c:v>1620</c:v>
                </c:pt>
                <c:pt idx="165">
                  <c:v>1625</c:v>
                </c:pt>
                <c:pt idx="166">
                  <c:v>1630</c:v>
                </c:pt>
                <c:pt idx="167">
                  <c:v>1635</c:v>
                </c:pt>
                <c:pt idx="168">
                  <c:v>1640</c:v>
                </c:pt>
                <c:pt idx="169">
                  <c:v>1645</c:v>
                </c:pt>
                <c:pt idx="170">
                  <c:v>1650</c:v>
                </c:pt>
                <c:pt idx="171">
                  <c:v>1655</c:v>
                </c:pt>
                <c:pt idx="172">
                  <c:v>1660</c:v>
                </c:pt>
                <c:pt idx="173">
                  <c:v>1665</c:v>
                </c:pt>
                <c:pt idx="174">
                  <c:v>1670</c:v>
                </c:pt>
                <c:pt idx="175">
                  <c:v>1675</c:v>
                </c:pt>
                <c:pt idx="176">
                  <c:v>1680</c:v>
                </c:pt>
                <c:pt idx="177">
                  <c:v>1685</c:v>
                </c:pt>
                <c:pt idx="178">
                  <c:v>1690</c:v>
                </c:pt>
                <c:pt idx="179">
                  <c:v>1695</c:v>
                </c:pt>
                <c:pt idx="180">
                  <c:v>1700</c:v>
                </c:pt>
                <c:pt idx="181">
                  <c:v>1705</c:v>
                </c:pt>
                <c:pt idx="182">
                  <c:v>1710</c:v>
                </c:pt>
                <c:pt idx="183">
                  <c:v>1715</c:v>
                </c:pt>
                <c:pt idx="184">
                  <c:v>1720</c:v>
                </c:pt>
                <c:pt idx="185">
                  <c:v>1725</c:v>
                </c:pt>
                <c:pt idx="186">
                  <c:v>1730</c:v>
                </c:pt>
                <c:pt idx="187">
                  <c:v>1735</c:v>
                </c:pt>
                <c:pt idx="188">
                  <c:v>1740</c:v>
                </c:pt>
                <c:pt idx="189">
                  <c:v>1745</c:v>
                </c:pt>
                <c:pt idx="190">
                  <c:v>1750</c:v>
                </c:pt>
                <c:pt idx="191">
                  <c:v>1755</c:v>
                </c:pt>
                <c:pt idx="192">
                  <c:v>1760</c:v>
                </c:pt>
                <c:pt idx="193">
                  <c:v>1765</c:v>
                </c:pt>
                <c:pt idx="194">
                  <c:v>1770</c:v>
                </c:pt>
                <c:pt idx="195">
                  <c:v>1775</c:v>
                </c:pt>
                <c:pt idx="196">
                  <c:v>1780</c:v>
                </c:pt>
                <c:pt idx="197">
                  <c:v>1785</c:v>
                </c:pt>
                <c:pt idx="198">
                  <c:v>1790</c:v>
                </c:pt>
                <c:pt idx="199">
                  <c:v>1795</c:v>
                </c:pt>
                <c:pt idx="200">
                  <c:v>1800</c:v>
                </c:pt>
                <c:pt idx="201">
                  <c:v>1805</c:v>
                </c:pt>
                <c:pt idx="202">
                  <c:v>1810</c:v>
                </c:pt>
                <c:pt idx="203">
                  <c:v>1815</c:v>
                </c:pt>
                <c:pt idx="204">
                  <c:v>1820</c:v>
                </c:pt>
                <c:pt idx="205">
                  <c:v>1825</c:v>
                </c:pt>
                <c:pt idx="206">
                  <c:v>1830</c:v>
                </c:pt>
                <c:pt idx="207">
                  <c:v>1835</c:v>
                </c:pt>
                <c:pt idx="208">
                  <c:v>1840</c:v>
                </c:pt>
                <c:pt idx="209">
                  <c:v>1845</c:v>
                </c:pt>
                <c:pt idx="210">
                  <c:v>1850</c:v>
                </c:pt>
                <c:pt idx="211">
                  <c:v>1855</c:v>
                </c:pt>
                <c:pt idx="212">
                  <c:v>1860</c:v>
                </c:pt>
                <c:pt idx="213">
                  <c:v>1865</c:v>
                </c:pt>
                <c:pt idx="214">
                  <c:v>1870</c:v>
                </c:pt>
                <c:pt idx="215">
                  <c:v>1875</c:v>
                </c:pt>
                <c:pt idx="216">
                  <c:v>1880</c:v>
                </c:pt>
                <c:pt idx="217">
                  <c:v>1885</c:v>
                </c:pt>
                <c:pt idx="218">
                  <c:v>1890</c:v>
                </c:pt>
                <c:pt idx="219">
                  <c:v>1895</c:v>
                </c:pt>
                <c:pt idx="220">
                  <c:v>1900</c:v>
                </c:pt>
                <c:pt idx="221">
                  <c:v>1905</c:v>
                </c:pt>
                <c:pt idx="222">
                  <c:v>1910</c:v>
                </c:pt>
                <c:pt idx="223">
                  <c:v>1915</c:v>
                </c:pt>
                <c:pt idx="224">
                  <c:v>1920</c:v>
                </c:pt>
                <c:pt idx="225">
                  <c:v>1925</c:v>
                </c:pt>
                <c:pt idx="226">
                  <c:v>1930</c:v>
                </c:pt>
                <c:pt idx="227">
                  <c:v>1935</c:v>
                </c:pt>
                <c:pt idx="228">
                  <c:v>1940</c:v>
                </c:pt>
                <c:pt idx="229">
                  <c:v>1945</c:v>
                </c:pt>
                <c:pt idx="230">
                  <c:v>1950</c:v>
                </c:pt>
                <c:pt idx="231">
                  <c:v>1955</c:v>
                </c:pt>
                <c:pt idx="232">
                  <c:v>1960</c:v>
                </c:pt>
                <c:pt idx="233">
                  <c:v>1965</c:v>
                </c:pt>
                <c:pt idx="234">
                  <c:v>1970</c:v>
                </c:pt>
                <c:pt idx="235">
                  <c:v>1975</c:v>
                </c:pt>
                <c:pt idx="236">
                  <c:v>1980</c:v>
                </c:pt>
                <c:pt idx="237">
                  <c:v>1985</c:v>
                </c:pt>
                <c:pt idx="238">
                  <c:v>1990</c:v>
                </c:pt>
                <c:pt idx="239">
                  <c:v>1995</c:v>
                </c:pt>
                <c:pt idx="240">
                  <c:v>2000</c:v>
                </c:pt>
                <c:pt idx="241">
                  <c:v>2005</c:v>
                </c:pt>
                <c:pt idx="242">
                  <c:v>2009.9999999999998</c:v>
                </c:pt>
                <c:pt idx="243">
                  <c:v>2015.0000000000002</c:v>
                </c:pt>
                <c:pt idx="244">
                  <c:v>2020</c:v>
                </c:pt>
                <c:pt idx="245">
                  <c:v>2025</c:v>
                </c:pt>
                <c:pt idx="246">
                  <c:v>2029.9999999999998</c:v>
                </c:pt>
                <c:pt idx="247">
                  <c:v>2035.0000000000002</c:v>
                </c:pt>
                <c:pt idx="248">
                  <c:v>2040</c:v>
                </c:pt>
                <c:pt idx="249">
                  <c:v>2045</c:v>
                </c:pt>
                <c:pt idx="250">
                  <c:v>2050</c:v>
                </c:pt>
                <c:pt idx="251">
                  <c:v>2055</c:v>
                </c:pt>
                <c:pt idx="252">
                  <c:v>2060</c:v>
                </c:pt>
                <c:pt idx="253">
                  <c:v>2065</c:v>
                </c:pt>
                <c:pt idx="254">
                  <c:v>2070</c:v>
                </c:pt>
                <c:pt idx="255">
                  <c:v>2075</c:v>
                </c:pt>
                <c:pt idx="256">
                  <c:v>2080</c:v>
                </c:pt>
                <c:pt idx="257">
                  <c:v>2085</c:v>
                </c:pt>
                <c:pt idx="258">
                  <c:v>2090</c:v>
                </c:pt>
                <c:pt idx="259">
                  <c:v>2095</c:v>
                </c:pt>
                <c:pt idx="260">
                  <c:v>2100</c:v>
                </c:pt>
                <c:pt idx="261">
                  <c:v>2105</c:v>
                </c:pt>
                <c:pt idx="262">
                  <c:v>2110</c:v>
                </c:pt>
                <c:pt idx="263">
                  <c:v>2115</c:v>
                </c:pt>
                <c:pt idx="264">
                  <c:v>2120</c:v>
                </c:pt>
                <c:pt idx="265">
                  <c:v>2125</c:v>
                </c:pt>
                <c:pt idx="266">
                  <c:v>2130</c:v>
                </c:pt>
                <c:pt idx="267">
                  <c:v>2135</c:v>
                </c:pt>
                <c:pt idx="268">
                  <c:v>2140</c:v>
                </c:pt>
                <c:pt idx="269">
                  <c:v>2145</c:v>
                </c:pt>
                <c:pt idx="270">
                  <c:v>2150</c:v>
                </c:pt>
                <c:pt idx="271">
                  <c:v>2155</c:v>
                </c:pt>
                <c:pt idx="272">
                  <c:v>2160</c:v>
                </c:pt>
                <c:pt idx="273">
                  <c:v>2165</c:v>
                </c:pt>
                <c:pt idx="274">
                  <c:v>2170</c:v>
                </c:pt>
                <c:pt idx="275">
                  <c:v>2175</c:v>
                </c:pt>
                <c:pt idx="276">
                  <c:v>2180</c:v>
                </c:pt>
                <c:pt idx="277">
                  <c:v>2185</c:v>
                </c:pt>
                <c:pt idx="278">
                  <c:v>2190</c:v>
                </c:pt>
                <c:pt idx="279">
                  <c:v>2195</c:v>
                </c:pt>
                <c:pt idx="280">
                  <c:v>2200</c:v>
                </c:pt>
                <c:pt idx="281">
                  <c:v>2205</c:v>
                </c:pt>
                <c:pt idx="282">
                  <c:v>2210</c:v>
                </c:pt>
                <c:pt idx="283">
                  <c:v>2215</c:v>
                </c:pt>
                <c:pt idx="284">
                  <c:v>2220</c:v>
                </c:pt>
                <c:pt idx="285">
                  <c:v>2225</c:v>
                </c:pt>
                <c:pt idx="286">
                  <c:v>2230</c:v>
                </c:pt>
                <c:pt idx="287">
                  <c:v>2235</c:v>
                </c:pt>
                <c:pt idx="288">
                  <c:v>2240</c:v>
                </c:pt>
                <c:pt idx="289">
                  <c:v>2245</c:v>
                </c:pt>
                <c:pt idx="290">
                  <c:v>2250</c:v>
                </c:pt>
                <c:pt idx="291">
                  <c:v>2255</c:v>
                </c:pt>
                <c:pt idx="292">
                  <c:v>2260</c:v>
                </c:pt>
                <c:pt idx="293">
                  <c:v>2265</c:v>
                </c:pt>
                <c:pt idx="294">
                  <c:v>2270</c:v>
                </c:pt>
                <c:pt idx="295">
                  <c:v>2275</c:v>
                </c:pt>
                <c:pt idx="296">
                  <c:v>2280</c:v>
                </c:pt>
                <c:pt idx="297">
                  <c:v>2285</c:v>
                </c:pt>
                <c:pt idx="298">
                  <c:v>2290</c:v>
                </c:pt>
                <c:pt idx="299">
                  <c:v>2295</c:v>
                </c:pt>
                <c:pt idx="300">
                  <c:v>2300</c:v>
                </c:pt>
                <c:pt idx="301">
                  <c:v>2305</c:v>
                </c:pt>
                <c:pt idx="302">
                  <c:v>2310</c:v>
                </c:pt>
                <c:pt idx="303">
                  <c:v>2315</c:v>
                </c:pt>
                <c:pt idx="304">
                  <c:v>2320</c:v>
                </c:pt>
                <c:pt idx="305">
                  <c:v>2325</c:v>
                </c:pt>
                <c:pt idx="306">
                  <c:v>2330</c:v>
                </c:pt>
                <c:pt idx="307">
                  <c:v>2335</c:v>
                </c:pt>
                <c:pt idx="308">
                  <c:v>2340</c:v>
                </c:pt>
                <c:pt idx="309">
                  <c:v>2345</c:v>
                </c:pt>
                <c:pt idx="310">
                  <c:v>2350</c:v>
                </c:pt>
                <c:pt idx="311">
                  <c:v>2355</c:v>
                </c:pt>
                <c:pt idx="312">
                  <c:v>2360</c:v>
                </c:pt>
                <c:pt idx="313">
                  <c:v>2365</c:v>
                </c:pt>
                <c:pt idx="314">
                  <c:v>2370</c:v>
                </c:pt>
                <c:pt idx="315">
                  <c:v>2375</c:v>
                </c:pt>
                <c:pt idx="316">
                  <c:v>2380</c:v>
                </c:pt>
                <c:pt idx="317">
                  <c:v>2385</c:v>
                </c:pt>
                <c:pt idx="318">
                  <c:v>2390</c:v>
                </c:pt>
                <c:pt idx="319">
                  <c:v>2395</c:v>
                </c:pt>
                <c:pt idx="320">
                  <c:v>2400</c:v>
                </c:pt>
                <c:pt idx="321">
                  <c:v>2405</c:v>
                </c:pt>
                <c:pt idx="322">
                  <c:v>2410</c:v>
                </c:pt>
                <c:pt idx="323">
                  <c:v>2415</c:v>
                </c:pt>
                <c:pt idx="324">
                  <c:v>2420</c:v>
                </c:pt>
                <c:pt idx="325">
                  <c:v>2425</c:v>
                </c:pt>
                <c:pt idx="326">
                  <c:v>2430</c:v>
                </c:pt>
                <c:pt idx="327">
                  <c:v>2435</c:v>
                </c:pt>
                <c:pt idx="328">
                  <c:v>2440</c:v>
                </c:pt>
                <c:pt idx="329">
                  <c:v>2445</c:v>
                </c:pt>
                <c:pt idx="330">
                  <c:v>2450</c:v>
                </c:pt>
                <c:pt idx="331">
                  <c:v>2455</c:v>
                </c:pt>
                <c:pt idx="332">
                  <c:v>2460</c:v>
                </c:pt>
                <c:pt idx="333">
                  <c:v>2465</c:v>
                </c:pt>
                <c:pt idx="334">
                  <c:v>2470</c:v>
                </c:pt>
                <c:pt idx="335">
                  <c:v>2475</c:v>
                </c:pt>
                <c:pt idx="336">
                  <c:v>2480</c:v>
                </c:pt>
                <c:pt idx="337">
                  <c:v>2485</c:v>
                </c:pt>
                <c:pt idx="338">
                  <c:v>2490</c:v>
                </c:pt>
                <c:pt idx="339">
                  <c:v>2495</c:v>
                </c:pt>
                <c:pt idx="340">
                  <c:v>2500</c:v>
                </c:pt>
                <c:pt idx="341">
                  <c:v>2505</c:v>
                </c:pt>
                <c:pt idx="342">
                  <c:v>2510</c:v>
                </c:pt>
                <c:pt idx="343">
                  <c:v>2515</c:v>
                </c:pt>
                <c:pt idx="344">
                  <c:v>2520</c:v>
                </c:pt>
                <c:pt idx="345">
                  <c:v>2525</c:v>
                </c:pt>
                <c:pt idx="346">
                  <c:v>2530</c:v>
                </c:pt>
                <c:pt idx="347">
                  <c:v>2535</c:v>
                </c:pt>
                <c:pt idx="348">
                  <c:v>2540</c:v>
                </c:pt>
                <c:pt idx="349">
                  <c:v>2545</c:v>
                </c:pt>
                <c:pt idx="350">
                  <c:v>2550</c:v>
                </c:pt>
                <c:pt idx="351">
                  <c:v>2552.5</c:v>
                </c:pt>
                <c:pt idx="352">
                  <c:v>2553.7600000000002</c:v>
                </c:pt>
                <c:pt idx="353">
                  <c:v>2555.02</c:v>
                </c:pt>
                <c:pt idx="354">
                  <c:v>2556.2800000000002</c:v>
                </c:pt>
                <c:pt idx="355">
                  <c:v>2557.54</c:v>
                </c:pt>
                <c:pt idx="356">
                  <c:v>2558.8000000000002</c:v>
                </c:pt>
                <c:pt idx="357">
                  <c:v>2560.0700000000002</c:v>
                </c:pt>
                <c:pt idx="358">
                  <c:v>2561.33</c:v>
                </c:pt>
                <c:pt idx="359">
                  <c:v>2562.6000000000004</c:v>
                </c:pt>
                <c:pt idx="360">
                  <c:v>2563.86</c:v>
                </c:pt>
                <c:pt idx="361">
                  <c:v>2565.13</c:v>
                </c:pt>
                <c:pt idx="362">
                  <c:v>2566.3999999999996</c:v>
                </c:pt>
                <c:pt idx="363">
                  <c:v>2567.67</c:v>
                </c:pt>
                <c:pt idx="364">
                  <c:v>2568.9500000000003</c:v>
                </c:pt>
                <c:pt idx="365">
                  <c:v>2570.2199999999998</c:v>
                </c:pt>
                <c:pt idx="366">
                  <c:v>2571.5</c:v>
                </c:pt>
                <c:pt idx="367">
                  <c:v>2572.77</c:v>
                </c:pt>
                <c:pt idx="368">
                  <c:v>2574.0500000000002</c:v>
                </c:pt>
                <c:pt idx="369">
                  <c:v>2575.33</c:v>
                </c:pt>
                <c:pt idx="370">
                  <c:v>2576.61</c:v>
                </c:pt>
                <c:pt idx="371">
                  <c:v>2577.89</c:v>
                </c:pt>
                <c:pt idx="372">
                  <c:v>2579.17</c:v>
                </c:pt>
                <c:pt idx="373">
                  <c:v>2580.46</c:v>
                </c:pt>
                <c:pt idx="374">
                  <c:v>2581.7399999999998</c:v>
                </c:pt>
                <c:pt idx="375">
                  <c:v>2583.0299999999997</c:v>
                </c:pt>
                <c:pt idx="376">
                  <c:v>2584.31</c:v>
                </c:pt>
                <c:pt idx="377">
                  <c:v>2585.6</c:v>
                </c:pt>
                <c:pt idx="378">
                  <c:v>2586.89</c:v>
                </c:pt>
                <c:pt idx="379">
                  <c:v>2588.19</c:v>
                </c:pt>
                <c:pt idx="380">
                  <c:v>2589.48</c:v>
                </c:pt>
                <c:pt idx="381">
                  <c:v>2590.77</c:v>
                </c:pt>
                <c:pt idx="382">
                  <c:v>2592.0700000000002</c:v>
                </c:pt>
                <c:pt idx="383">
                  <c:v>2593.36</c:v>
                </c:pt>
                <c:pt idx="384">
                  <c:v>2594.6600000000003</c:v>
                </c:pt>
                <c:pt idx="385">
                  <c:v>2595.96</c:v>
                </c:pt>
                <c:pt idx="386">
                  <c:v>2597.2599999999998</c:v>
                </c:pt>
                <c:pt idx="387">
                  <c:v>2598.56</c:v>
                </c:pt>
                <c:pt idx="388">
                  <c:v>2599.8700000000003</c:v>
                </c:pt>
                <c:pt idx="389">
                  <c:v>2601.17</c:v>
                </c:pt>
                <c:pt idx="390">
                  <c:v>2602.48</c:v>
                </c:pt>
                <c:pt idx="391">
                  <c:v>2603.7800000000002</c:v>
                </c:pt>
                <c:pt idx="392">
                  <c:v>2605.09</c:v>
                </c:pt>
                <c:pt idx="393">
                  <c:v>2606.3999999999996</c:v>
                </c:pt>
                <c:pt idx="394">
                  <c:v>2607.71</c:v>
                </c:pt>
                <c:pt idx="395">
                  <c:v>2609.0300000000002</c:v>
                </c:pt>
                <c:pt idx="396">
                  <c:v>2610.3399999999997</c:v>
                </c:pt>
                <c:pt idx="397">
                  <c:v>2611.6600000000003</c:v>
                </c:pt>
                <c:pt idx="398">
                  <c:v>2612.9699999999998</c:v>
                </c:pt>
                <c:pt idx="399">
                  <c:v>2614.29</c:v>
                </c:pt>
                <c:pt idx="400">
                  <c:v>2615.61</c:v>
                </c:pt>
                <c:pt idx="401">
                  <c:v>2616.9299999999998</c:v>
                </c:pt>
                <c:pt idx="402">
                  <c:v>2618.25</c:v>
                </c:pt>
                <c:pt idx="403">
                  <c:v>2619.5700000000002</c:v>
                </c:pt>
                <c:pt idx="404">
                  <c:v>2620.8999999999996</c:v>
                </c:pt>
                <c:pt idx="405">
                  <c:v>2622.22</c:v>
                </c:pt>
                <c:pt idx="406">
                  <c:v>2623.5499999999997</c:v>
                </c:pt>
                <c:pt idx="407">
                  <c:v>2624.88</c:v>
                </c:pt>
                <c:pt idx="408">
                  <c:v>2626.21</c:v>
                </c:pt>
                <c:pt idx="409">
                  <c:v>2627.5400000000004</c:v>
                </c:pt>
                <c:pt idx="410">
                  <c:v>2628.87</c:v>
                </c:pt>
                <c:pt idx="411">
                  <c:v>2630.21</c:v>
                </c:pt>
                <c:pt idx="412">
                  <c:v>2631.5400000000004</c:v>
                </c:pt>
                <c:pt idx="413">
                  <c:v>2632.88</c:v>
                </c:pt>
                <c:pt idx="414">
                  <c:v>2634.21</c:v>
                </c:pt>
                <c:pt idx="415">
                  <c:v>2635.5499999999997</c:v>
                </c:pt>
                <c:pt idx="416">
                  <c:v>2636.8900000000003</c:v>
                </c:pt>
                <c:pt idx="417">
                  <c:v>2638.2400000000002</c:v>
                </c:pt>
                <c:pt idx="418">
                  <c:v>2639.58</c:v>
                </c:pt>
                <c:pt idx="419">
                  <c:v>2640.92</c:v>
                </c:pt>
                <c:pt idx="420">
                  <c:v>2642.27</c:v>
                </c:pt>
                <c:pt idx="421">
                  <c:v>2643.62</c:v>
                </c:pt>
                <c:pt idx="422">
                  <c:v>2644.97</c:v>
                </c:pt>
                <c:pt idx="423">
                  <c:v>2646.3199999999997</c:v>
                </c:pt>
                <c:pt idx="424">
                  <c:v>2647.67</c:v>
                </c:pt>
                <c:pt idx="425">
                  <c:v>2649.02</c:v>
                </c:pt>
                <c:pt idx="426">
                  <c:v>2650.38</c:v>
                </c:pt>
                <c:pt idx="427">
                  <c:v>2651.73</c:v>
                </c:pt>
                <c:pt idx="428">
                  <c:v>2653.09</c:v>
                </c:pt>
                <c:pt idx="429">
                  <c:v>2654.4500000000003</c:v>
                </c:pt>
                <c:pt idx="430">
                  <c:v>2655.81</c:v>
                </c:pt>
                <c:pt idx="431">
                  <c:v>2657.1699999999996</c:v>
                </c:pt>
                <c:pt idx="432">
                  <c:v>2658.5299999999997</c:v>
                </c:pt>
                <c:pt idx="433">
                  <c:v>2659.89</c:v>
                </c:pt>
                <c:pt idx="434">
                  <c:v>2661.2599999999998</c:v>
                </c:pt>
                <c:pt idx="435">
                  <c:v>2662.63</c:v>
                </c:pt>
                <c:pt idx="436">
                  <c:v>2664</c:v>
                </c:pt>
                <c:pt idx="437">
                  <c:v>2665.36</c:v>
                </c:pt>
                <c:pt idx="438">
                  <c:v>2666.74</c:v>
                </c:pt>
                <c:pt idx="439">
                  <c:v>2668.11</c:v>
                </c:pt>
                <c:pt idx="440">
                  <c:v>2669.48</c:v>
                </c:pt>
                <c:pt idx="441">
                  <c:v>2670.8599999999997</c:v>
                </c:pt>
                <c:pt idx="442">
                  <c:v>2672.23</c:v>
                </c:pt>
                <c:pt idx="443">
                  <c:v>2673.61</c:v>
                </c:pt>
                <c:pt idx="444">
                  <c:v>2674.9900000000002</c:v>
                </c:pt>
                <c:pt idx="445">
                  <c:v>2676.37</c:v>
                </c:pt>
                <c:pt idx="446">
                  <c:v>2677.76</c:v>
                </c:pt>
                <c:pt idx="447">
                  <c:v>2679.14</c:v>
                </c:pt>
                <c:pt idx="448">
                  <c:v>2680.52</c:v>
                </c:pt>
                <c:pt idx="449">
                  <c:v>2681.91</c:v>
                </c:pt>
                <c:pt idx="450">
                  <c:v>2683.3</c:v>
                </c:pt>
                <c:pt idx="451">
                  <c:v>2684.6899999999996</c:v>
                </c:pt>
                <c:pt idx="452">
                  <c:v>2686.08</c:v>
                </c:pt>
                <c:pt idx="453">
                  <c:v>2687.47</c:v>
                </c:pt>
                <c:pt idx="454">
                  <c:v>2688.87</c:v>
                </c:pt>
                <c:pt idx="455">
                  <c:v>2690.2599999999998</c:v>
                </c:pt>
                <c:pt idx="456">
                  <c:v>2691.6600000000003</c:v>
                </c:pt>
                <c:pt idx="457">
                  <c:v>2693.06</c:v>
                </c:pt>
                <c:pt idx="458">
                  <c:v>2694.46</c:v>
                </c:pt>
                <c:pt idx="459">
                  <c:v>2695.86</c:v>
                </c:pt>
                <c:pt idx="460">
                  <c:v>2697.26</c:v>
                </c:pt>
                <c:pt idx="461">
                  <c:v>2698.66</c:v>
                </c:pt>
                <c:pt idx="462">
                  <c:v>2700.07</c:v>
                </c:pt>
                <c:pt idx="463">
                  <c:v>2701.48</c:v>
                </c:pt>
                <c:pt idx="464">
                  <c:v>2702.89</c:v>
                </c:pt>
                <c:pt idx="465">
                  <c:v>2704.2999999999997</c:v>
                </c:pt>
                <c:pt idx="466">
                  <c:v>2705.71</c:v>
                </c:pt>
                <c:pt idx="467">
                  <c:v>2707.1200000000003</c:v>
                </c:pt>
                <c:pt idx="468">
                  <c:v>2708.53</c:v>
                </c:pt>
                <c:pt idx="469">
                  <c:v>2709.9500000000003</c:v>
                </c:pt>
                <c:pt idx="470">
                  <c:v>2711.37</c:v>
                </c:pt>
                <c:pt idx="471">
                  <c:v>2712.79</c:v>
                </c:pt>
                <c:pt idx="472">
                  <c:v>2714.21</c:v>
                </c:pt>
                <c:pt idx="473">
                  <c:v>2715.63</c:v>
                </c:pt>
                <c:pt idx="474">
                  <c:v>2717.05</c:v>
                </c:pt>
                <c:pt idx="475">
                  <c:v>2718.48</c:v>
                </c:pt>
                <c:pt idx="476">
                  <c:v>2719.9</c:v>
                </c:pt>
                <c:pt idx="477">
                  <c:v>2721.33</c:v>
                </c:pt>
                <c:pt idx="478">
                  <c:v>2722.76</c:v>
                </c:pt>
                <c:pt idx="479">
                  <c:v>2724.19</c:v>
                </c:pt>
                <c:pt idx="480">
                  <c:v>2725.6200000000003</c:v>
                </c:pt>
                <c:pt idx="481">
                  <c:v>2727.06</c:v>
                </c:pt>
                <c:pt idx="482">
                  <c:v>2728.49</c:v>
                </c:pt>
                <c:pt idx="483">
                  <c:v>2729.93</c:v>
                </c:pt>
                <c:pt idx="484">
                  <c:v>2731.37</c:v>
                </c:pt>
                <c:pt idx="485">
                  <c:v>2732.8100000000004</c:v>
                </c:pt>
                <c:pt idx="486">
                  <c:v>2734.25</c:v>
                </c:pt>
                <c:pt idx="487">
                  <c:v>2735.69</c:v>
                </c:pt>
                <c:pt idx="488">
                  <c:v>2737.1400000000003</c:v>
                </c:pt>
                <c:pt idx="489">
                  <c:v>2738.58</c:v>
                </c:pt>
                <c:pt idx="490">
                  <c:v>2740.0299999999997</c:v>
                </c:pt>
                <c:pt idx="491">
                  <c:v>2741.48</c:v>
                </c:pt>
                <c:pt idx="492">
                  <c:v>2742.93</c:v>
                </c:pt>
                <c:pt idx="493">
                  <c:v>2744.38</c:v>
                </c:pt>
                <c:pt idx="494">
                  <c:v>2745.8300000000004</c:v>
                </c:pt>
                <c:pt idx="495">
                  <c:v>2747.29</c:v>
                </c:pt>
                <c:pt idx="496">
                  <c:v>2748.75</c:v>
                </c:pt>
                <c:pt idx="497">
                  <c:v>2750.2</c:v>
                </c:pt>
                <c:pt idx="498">
                  <c:v>2751.6600000000003</c:v>
                </c:pt>
                <c:pt idx="499">
                  <c:v>2753.13</c:v>
                </c:pt>
                <c:pt idx="500">
                  <c:v>2754.5899999999997</c:v>
                </c:pt>
                <c:pt idx="501">
                  <c:v>2756.05</c:v>
                </c:pt>
                <c:pt idx="502">
                  <c:v>2757.52</c:v>
                </c:pt>
                <c:pt idx="503">
                  <c:v>2758.99</c:v>
                </c:pt>
                <c:pt idx="504">
                  <c:v>2760.46</c:v>
                </c:pt>
                <c:pt idx="505">
                  <c:v>2761.93</c:v>
                </c:pt>
                <c:pt idx="506">
                  <c:v>2763.3999999999996</c:v>
                </c:pt>
                <c:pt idx="507">
                  <c:v>2764.8700000000003</c:v>
                </c:pt>
                <c:pt idx="508">
                  <c:v>2766.35</c:v>
                </c:pt>
                <c:pt idx="509">
                  <c:v>2767.82</c:v>
                </c:pt>
                <c:pt idx="510">
                  <c:v>2769.2999999999997</c:v>
                </c:pt>
                <c:pt idx="511">
                  <c:v>2770.7799999999997</c:v>
                </c:pt>
                <c:pt idx="512">
                  <c:v>2772.26</c:v>
                </c:pt>
                <c:pt idx="513">
                  <c:v>2773.75</c:v>
                </c:pt>
                <c:pt idx="514">
                  <c:v>2775.23</c:v>
                </c:pt>
                <c:pt idx="515">
                  <c:v>2776.7200000000003</c:v>
                </c:pt>
                <c:pt idx="516">
                  <c:v>2778.21</c:v>
                </c:pt>
                <c:pt idx="517">
                  <c:v>2779.7000000000003</c:v>
                </c:pt>
                <c:pt idx="518">
                  <c:v>2781.19</c:v>
                </c:pt>
                <c:pt idx="519">
                  <c:v>2782.68</c:v>
                </c:pt>
                <c:pt idx="520">
                  <c:v>2784.1800000000003</c:v>
                </c:pt>
                <c:pt idx="521">
                  <c:v>2785.67</c:v>
                </c:pt>
                <c:pt idx="522">
                  <c:v>2787.17</c:v>
                </c:pt>
                <c:pt idx="523">
                  <c:v>2788.67</c:v>
                </c:pt>
                <c:pt idx="524">
                  <c:v>2790.1699999999996</c:v>
                </c:pt>
                <c:pt idx="525">
                  <c:v>2791.67</c:v>
                </c:pt>
                <c:pt idx="526">
                  <c:v>2793.18</c:v>
                </c:pt>
                <c:pt idx="527">
                  <c:v>2794.68</c:v>
                </c:pt>
                <c:pt idx="528">
                  <c:v>2796.19</c:v>
                </c:pt>
                <c:pt idx="529">
                  <c:v>2797.7</c:v>
                </c:pt>
                <c:pt idx="530">
                  <c:v>2799.21</c:v>
                </c:pt>
                <c:pt idx="531">
                  <c:v>2800.7200000000003</c:v>
                </c:pt>
                <c:pt idx="532">
                  <c:v>2802.24</c:v>
                </c:pt>
                <c:pt idx="533">
                  <c:v>2803.75</c:v>
                </c:pt>
                <c:pt idx="534">
                  <c:v>2805.27</c:v>
                </c:pt>
                <c:pt idx="535">
                  <c:v>2806.79</c:v>
                </c:pt>
                <c:pt idx="536">
                  <c:v>2808.31</c:v>
                </c:pt>
                <c:pt idx="537">
                  <c:v>2809.83</c:v>
                </c:pt>
                <c:pt idx="538">
                  <c:v>2811.35</c:v>
                </c:pt>
                <c:pt idx="539">
                  <c:v>2812.8799999999997</c:v>
                </c:pt>
                <c:pt idx="540">
                  <c:v>2814.41</c:v>
                </c:pt>
                <c:pt idx="541">
                  <c:v>2815.93</c:v>
                </c:pt>
                <c:pt idx="542">
                  <c:v>2817.46</c:v>
                </c:pt>
                <c:pt idx="543">
                  <c:v>2819</c:v>
                </c:pt>
                <c:pt idx="544">
                  <c:v>2820.53</c:v>
                </c:pt>
                <c:pt idx="545">
                  <c:v>2822.07</c:v>
                </c:pt>
                <c:pt idx="546">
                  <c:v>2823.6</c:v>
                </c:pt>
                <c:pt idx="547">
                  <c:v>2825.1400000000003</c:v>
                </c:pt>
                <c:pt idx="548">
                  <c:v>2826.6800000000003</c:v>
                </c:pt>
                <c:pt idx="549">
                  <c:v>2828.22</c:v>
                </c:pt>
                <c:pt idx="550">
                  <c:v>2829.77</c:v>
                </c:pt>
                <c:pt idx="551">
                  <c:v>2831.3100000000004</c:v>
                </c:pt>
                <c:pt idx="552">
                  <c:v>2832.86</c:v>
                </c:pt>
                <c:pt idx="553">
                  <c:v>2834.4100000000003</c:v>
                </c:pt>
                <c:pt idx="554">
                  <c:v>2835.96</c:v>
                </c:pt>
                <c:pt idx="555">
                  <c:v>2837.5099999999998</c:v>
                </c:pt>
                <c:pt idx="556">
                  <c:v>2839.07</c:v>
                </c:pt>
                <c:pt idx="557">
                  <c:v>2840.62</c:v>
                </c:pt>
                <c:pt idx="558">
                  <c:v>2842.18</c:v>
                </c:pt>
                <c:pt idx="559">
                  <c:v>2843.74</c:v>
                </c:pt>
                <c:pt idx="560">
                  <c:v>2845.2999999999997</c:v>
                </c:pt>
                <c:pt idx="561">
                  <c:v>2846.86</c:v>
                </c:pt>
                <c:pt idx="562">
                  <c:v>2848.43</c:v>
                </c:pt>
                <c:pt idx="563">
                  <c:v>2849.9900000000002</c:v>
                </c:pt>
                <c:pt idx="564">
                  <c:v>2851.56</c:v>
                </c:pt>
                <c:pt idx="565">
                  <c:v>2853.13</c:v>
                </c:pt>
                <c:pt idx="566">
                  <c:v>2854.7</c:v>
                </c:pt>
                <c:pt idx="567">
                  <c:v>2856.27</c:v>
                </c:pt>
                <c:pt idx="568">
                  <c:v>2857.85</c:v>
                </c:pt>
                <c:pt idx="569">
                  <c:v>2859.42</c:v>
                </c:pt>
                <c:pt idx="570">
                  <c:v>2861</c:v>
                </c:pt>
                <c:pt idx="571">
                  <c:v>2862.58</c:v>
                </c:pt>
                <c:pt idx="572">
                  <c:v>2864.16</c:v>
                </c:pt>
                <c:pt idx="573">
                  <c:v>2865.75</c:v>
                </c:pt>
                <c:pt idx="574">
                  <c:v>2867.33</c:v>
                </c:pt>
                <c:pt idx="575">
                  <c:v>2868.92</c:v>
                </c:pt>
                <c:pt idx="576">
                  <c:v>2870.5099999999998</c:v>
                </c:pt>
                <c:pt idx="577">
                  <c:v>2872.1</c:v>
                </c:pt>
                <c:pt idx="578">
                  <c:v>2873.69</c:v>
                </c:pt>
                <c:pt idx="579">
                  <c:v>2875.28</c:v>
                </c:pt>
                <c:pt idx="580">
                  <c:v>2876.88</c:v>
                </c:pt>
                <c:pt idx="581">
                  <c:v>2878.48</c:v>
                </c:pt>
                <c:pt idx="582">
                  <c:v>2880.0699999999997</c:v>
                </c:pt>
                <c:pt idx="583">
                  <c:v>2881.68</c:v>
                </c:pt>
                <c:pt idx="584">
                  <c:v>2883.28</c:v>
                </c:pt>
                <c:pt idx="585">
                  <c:v>2884.88</c:v>
                </c:pt>
                <c:pt idx="586">
                  <c:v>2886.49</c:v>
                </c:pt>
                <c:pt idx="587">
                  <c:v>2888.1</c:v>
                </c:pt>
                <c:pt idx="588">
                  <c:v>2889.71</c:v>
                </c:pt>
                <c:pt idx="589">
                  <c:v>2891.3199999999997</c:v>
                </c:pt>
                <c:pt idx="590">
                  <c:v>2892.93</c:v>
                </c:pt>
                <c:pt idx="591">
                  <c:v>2894.55</c:v>
                </c:pt>
                <c:pt idx="592">
                  <c:v>2896.16</c:v>
                </c:pt>
                <c:pt idx="593">
                  <c:v>2897.78</c:v>
                </c:pt>
                <c:pt idx="594">
                  <c:v>2899.4</c:v>
                </c:pt>
                <c:pt idx="595">
                  <c:v>2901.03</c:v>
                </c:pt>
                <c:pt idx="596">
                  <c:v>2902.65</c:v>
                </c:pt>
                <c:pt idx="597">
                  <c:v>2904.2799999999997</c:v>
                </c:pt>
                <c:pt idx="598">
                  <c:v>2905.91</c:v>
                </c:pt>
                <c:pt idx="599">
                  <c:v>2907.54</c:v>
                </c:pt>
                <c:pt idx="600">
                  <c:v>2909.17</c:v>
                </c:pt>
                <c:pt idx="601">
                  <c:v>2910.8</c:v>
                </c:pt>
                <c:pt idx="602">
                  <c:v>2912.44</c:v>
                </c:pt>
                <c:pt idx="603">
                  <c:v>2914.07</c:v>
                </c:pt>
                <c:pt idx="604">
                  <c:v>2915.7099999999996</c:v>
                </c:pt>
                <c:pt idx="605">
                  <c:v>2917.35</c:v>
                </c:pt>
                <c:pt idx="606">
                  <c:v>2918.99</c:v>
                </c:pt>
                <c:pt idx="607">
                  <c:v>2920.6400000000003</c:v>
                </c:pt>
                <c:pt idx="608">
                  <c:v>2922.29</c:v>
                </c:pt>
                <c:pt idx="609">
                  <c:v>2923.93</c:v>
                </c:pt>
                <c:pt idx="610">
                  <c:v>2925.58</c:v>
                </c:pt>
                <c:pt idx="611">
                  <c:v>2927.24</c:v>
                </c:pt>
                <c:pt idx="612">
                  <c:v>2928.89</c:v>
                </c:pt>
                <c:pt idx="613">
                  <c:v>2930.55</c:v>
                </c:pt>
                <c:pt idx="614">
                  <c:v>2932.2</c:v>
                </c:pt>
                <c:pt idx="615">
                  <c:v>2933.86</c:v>
                </c:pt>
                <c:pt idx="616">
                  <c:v>2935.52</c:v>
                </c:pt>
                <c:pt idx="617">
                  <c:v>2937.19</c:v>
                </c:pt>
                <c:pt idx="618">
                  <c:v>2938.85</c:v>
                </c:pt>
                <c:pt idx="619">
                  <c:v>2940.52</c:v>
                </c:pt>
                <c:pt idx="620">
                  <c:v>2942.19</c:v>
                </c:pt>
                <c:pt idx="621">
                  <c:v>2943.86</c:v>
                </c:pt>
                <c:pt idx="622">
                  <c:v>2945.53</c:v>
                </c:pt>
                <c:pt idx="623">
                  <c:v>2947.21</c:v>
                </c:pt>
                <c:pt idx="624">
                  <c:v>2948.88</c:v>
                </c:pt>
                <c:pt idx="625">
                  <c:v>2950.56</c:v>
                </c:pt>
                <c:pt idx="626">
                  <c:v>2952.2400000000002</c:v>
                </c:pt>
                <c:pt idx="627">
                  <c:v>2953.92</c:v>
                </c:pt>
                <c:pt idx="628">
                  <c:v>2955.61</c:v>
                </c:pt>
                <c:pt idx="629">
                  <c:v>2957.29</c:v>
                </c:pt>
                <c:pt idx="630">
                  <c:v>2958.98</c:v>
                </c:pt>
                <c:pt idx="631">
                  <c:v>2960.67</c:v>
                </c:pt>
                <c:pt idx="632">
                  <c:v>2962.3599999999997</c:v>
                </c:pt>
                <c:pt idx="633">
                  <c:v>2964.06</c:v>
                </c:pt>
                <c:pt idx="634">
                  <c:v>2965.75</c:v>
                </c:pt>
                <c:pt idx="635">
                  <c:v>2967.45</c:v>
                </c:pt>
                <c:pt idx="636">
                  <c:v>2969.15</c:v>
                </c:pt>
                <c:pt idx="637">
                  <c:v>2970.85</c:v>
                </c:pt>
                <c:pt idx="638">
                  <c:v>2972.55</c:v>
                </c:pt>
                <c:pt idx="639">
                  <c:v>2974.26</c:v>
                </c:pt>
                <c:pt idx="640">
                  <c:v>2975.97</c:v>
                </c:pt>
                <c:pt idx="641">
                  <c:v>2977.68</c:v>
                </c:pt>
                <c:pt idx="642">
                  <c:v>2979.39</c:v>
                </c:pt>
                <c:pt idx="643">
                  <c:v>2981.1</c:v>
                </c:pt>
                <c:pt idx="644">
                  <c:v>2982.8199999999997</c:v>
                </c:pt>
                <c:pt idx="645">
                  <c:v>2984.5299999999997</c:v>
                </c:pt>
                <c:pt idx="646">
                  <c:v>2986.25</c:v>
                </c:pt>
                <c:pt idx="647">
                  <c:v>2987.97</c:v>
                </c:pt>
                <c:pt idx="648">
                  <c:v>2989.7</c:v>
                </c:pt>
                <c:pt idx="649">
                  <c:v>2991.42</c:v>
                </c:pt>
                <c:pt idx="650">
                  <c:v>2993.15</c:v>
                </c:pt>
                <c:pt idx="651">
                  <c:v>2994.88</c:v>
                </c:pt>
                <c:pt idx="652">
                  <c:v>2996.61</c:v>
                </c:pt>
                <c:pt idx="653">
                  <c:v>2998.3399999999997</c:v>
                </c:pt>
                <c:pt idx="654">
                  <c:v>3000.08</c:v>
                </c:pt>
              </c:numCache>
            </c:numRef>
          </c:xVal>
          <c:yVal>
            <c:numRef>
              <c:f>Kaolinite!$D$238:$D$892</c:f>
              <c:numCache>
                <c:formatCode>General</c:formatCode>
                <c:ptCount val="655"/>
                <c:pt idx="0">
                  <c:v>0.79523874999999999</c:v>
                </c:pt>
                <c:pt idx="1">
                  <c:v>0.79198919999999995</c:v>
                </c:pt>
                <c:pt idx="2">
                  <c:v>0.79346054999999993</c:v>
                </c:pt>
                <c:pt idx="3">
                  <c:v>0.79213115000000001</c:v>
                </c:pt>
                <c:pt idx="4">
                  <c:v>0.79373679999999991</c:v>
                </c:pt>
                <c:pt idx="5">
                  <c:v>0.79225099999999993</c:v>
                </c:pt>
                <c:pt idx="6">
                  <c:v>0.79279074999999999</c:v>
                </c:pt>
                <c:pt idx="7">
                  <c:v>0.79036145000000002</c:v>
                </c:pt>
                <c:pt idx="8">
                  <c:v>0.79538580000000003</c:v>
                </c:pt>
                <c:pt idx="9">
                  <c:v>0.79319024999999999</c:v>
                </c:pt>
                <c:pt idx="10">
                  <c:v>0.7961066</c:v>
                </c:pt>
                <c:pt idx="11">
                  <c:v>0.79513334999999996</c:v>
                </c:pt>
                <c:pt idx="12">
                  <c:v>0.79338405000000001</c:v>
                </c:pt>
                <c:pt idx="13">
                  <c:v>0.7949387</c:v>
                </c:pt>
                <c:pt idx="14">
                  <c:v>0.79477124999999993</c:v>
                </c:pt>
                <c:pt idx="15">
                  <c:v>0.79411335000000005</c:v>
                </c:pt>
                <c:pt idx="16">
                  <c:v>0.79664210000000002</c:v>
                </c:pt>
                <c:pt idx="17">
                  <c:v>0.79120039999999991</c:v>
                </c:pt>
                <c:pt idx="18">
                  <c:v>0.79189485000000004</c:v>
                </c:pt>
                <c:pt idx="19">
                  <c:v>0.79206825000000003</c:v>
                </c:pt>
                <c:pt idx="20">
                  <c:v>0.79338744999999999</c:v>
                </c:pt>
                <c:pt idx="21">
                  <c:v>0.79318259999999996</c:v>
                </c:pt>
                <c:pt idx="22">
                  <c:v>0.79353790000000002</c:v>
                </c:pt>
                <c:pt idx="23">
                  <c:v>0.79337979999999997</c:v>
                </c:pt>
                <c:pt idx="24">
                  <c:v>0.79213794999999998</c:v>
                </c:pt>
                <c:pt idx="25">
                  <c:v>0.79514184999999993</c:v>
                </c:pt>
                <c:pt idx="26">
                  <c:v>0.79265730000000001</c:v>
                </c:pt>
                <c:pt idx="27">
                  <c:v>0.79316559999999992</c:v>
                </c:pt>
                <c:pt idx="28">
                  <c:v>0.79241165000000002</c:v>
                </c:pt>
                <c:pt idx="29">
                  <c:v>0.79244054999999991</c:v>
                </c:pt>
                <c:pt idx="30">
                  <c:v>0.79229689999999997</c:v>
                </c:pt>
                <c:pt idx="31">
                  <c:v>0.78831209999999996</c:v>
                </c:pt>
                <c:pt idx="32">
                  <c:v>0.78978344999999994</c:v>
                </c:pt>
                <c:pt idx="33">
                  <c:v>0.78753010000000001</c:v>
                </c:pt>
                <c:pt idx="34">
                  <c:v>0.78974009999999994</c:v>
                </c:pt>
                <c:pt idx="35">
                  <c:v>0.79468794999999992</c:v>
                </c:pt>
                <c:pt idx="36">
                  <c:v>0.79557789999999995</c:v>
                </c:pt>
                <c:pt idx="37">
                  <c:v>0.79703904999999997</c:v>
                </c:pt>
                <c:pt idx="38">
                  <c:v>0.79535860000000003</c:v>
                </c:pt>
                <c:pt idx="39">
                  <c:v>0.79524724999999996</c:v>
                </c:pt>
                <c:pt idx="40">
                  <c:v>0.79900764999999996</c:v>
                </c:pt>
                <c:pt idx="41">
                  <c:v>0.79649079999999994</c:v>
                </c:pt>
                <c:pt idx="42">
                  <c:v>0.79624514999999996</c:v>
                </c:pt>
                <c:pt idx="43">
                  <c:v>0.79573430000000001</c:v>
                </c:pt>
                <c:pt idx="44">
                  <c:v>0.79867105000000005</c:v>
                </c:pt>
                <c:pt idx="45">
                  <c:v>0.79728980000000005</c:v>
                </c:pt>
                <c:pt idx="46">
                  <c:v>0.7992923999999999</c:v>
                </c:pt>
                <c:pt idx="47">
                  <c:v>0.79917764999999996</c:v>
                </c:pt>
                <c:pt idx="48">
                  <c:v>0.79945900000000003</c:v>
                </c:pt>
                <c:pt idx="49">
                  <c:v>0.80027074999999992</c:v>
                </c:pt>
                <c:pt idx="50">
                  <c:v>0.80029709999999998</c:v>
                </c:pt>
                <c:pt idx="51">
                  <c:v>0.80090994999999998</c:v>
                </c:pt>
                <c:pt idx="52">
                  <c:v>0.80129754999999991</c:v>
                </c:pt>
                <c:pt idx="53">
                  <c:v>0.80119894999999997</c:v>
                </c:pt>
                <c:pt idx="54">
                  <c:v>0.80165284999999997</c:v>
                </c:pt>
                <c:pt idx="55">
                  <c:v>0.79973865</c:v>
                </c:pt>
                <c:pt idx="56">
                  <c:v>0.79981005000000005</c:v>
                </c:pt>
                <c:pt idx="57">
                  <c:v>0.7993825</c:v>
                </c:pt>
                <c:pt idx="58">
                  <c:v>0.80355854999999998</c:v>
                </c:pt>
                <c:pt idx="59">
                  <c:v>0.80291765000000004</c:v>
                </c:pt>
                <c:pt idx="60">
                  <c:v>0.80235665</c:v>
                </c:pt>
                <c:pt idx="61">
                  <c:v>0.80298904999999998</c:v>
                </c:pt>
                <c:pt idx="62">
                  <c:v>0.80228864999999994</c:v>
                </c:pt>
                <c:pt idx="63">
                  <c:v>0.80483609999999994</c:v>
                </c:pt>
                <c:pt idx="64">
                  <c:v>0.8025989</c:v>
                </c:pt>
                <c:pt idx="65">
                  <c:v>0.80646214999999999</c:v>
                </c:pt>
                <c:pt idx="66">
                  <c:v>0.80459894999999992</c:v>
                </c:pt>
                <c:pt idx="67">
                  <c:v>0.80344125</c:v>
                </c:pt>
                <c:pt idx="68">
                  <c:v>0.8059887</c:v>
                </c:pt>
                <c:pt idx="69">
                  <c:v>0.80493895000000004</c:v>
                </c:pt>
                <c:pt idx="70">
                  <c:v>0.80418160000000005</c:v>
                </c:pt>
                <c:pt idx="71">
                  <c:v>0.80491599999999996</c:v>
                </c:pt>
                <c:pt idx="72">
                  <c:v>0.80509789999999992</c:v>
                </c:pt>
                <c:pt idx="73">
                  <c:v>0.80635590000000001</c:v>
                </c:pt>
                <c:pt idx="74">
                  <c:v>0.80663384999999999</c:v>
                </c:pt>
                <c:pt idx="75">
                  <c:v>0.80491685000000002</c:v>
                </c:pt>
                <c:pt idx="76">
                  <c:v>0.80579829999999997</c:v>
                </c:pt>
                <c:pt idx="77">
                  <c:v>0.80677154999999989</c:v>
                </c:pt>
                <c:pt idx="78">
                  <c:v>0.80775669999999999</c:v>
                </c:pt>
                <c:pt idx="79">
                  <c:v>0.80611790000000005</c:v>
                </c:pt>
                <c:pt idx="80">
                  <c:v>0.80724925000000003</c:v>
                </c:pt>
                <c:pt idx="81">
                  <c:v>0.80589774999999997</c:v>
                </c:pt>
                <c:pt idx="82">
                  <c:v>0.80454624999999991</c:v>
                </c:pt>
                <c:pt idx="83">
                  <c:v>0.80745155000000002</c:v>
                </c:pt>
                <c:pt idx="84">
                  <c:v>0.80476724999999993</c:v>
                </c:pt>
                <c:pt idx="85">
                  <c:v>0.80383649999999995</c:v>
                </c:pt>
                <c:pt idx="86">
                  <c:v>0.80019764999999998</c:v>
                </c:pt>
                <c:pt idx="87">
                  <c:v>0.80000894999999994</c:v>
                </c:pt>
                <c:pt idx="88">
                  <c:v>0.79671349999999996</c:v>
                </c:pt>
                <c:pt idx="89">
                  <c:v>0.7986413</c:v>
                </c:pt>
                <c:pt idx="90">
                  <c:v>0.79885634999999999</c:v>
                </c:pt>
                <c:pt idx="91">
                  <c:v>0.80179820000000002</c:v>
                </c:pt>
                <c:pt idx="92">
                  <c:v>0.80132645000000002</c:v>
                </c:pt>
                <c:pt idx="93">
                  <c:v>0.80202174999999998</c:v>
                </c:pt>
                <c:pt idx="94">
                  <c:v>0.80045690000000003</c:v>
                </c:pt>
                <c:pt idx="95">
                  <c:v>0.79716314999999993</c:v>
                </c:pt>
                <c:pt idx="96">
                  <c:v>0.79698634999999995</c:v>
                </c:pt>
                <c:pt idx="97">
                  <c:v>0.79414565000000004</c:v>
                </c:pt>
                <c:pt idx="98">
                  <c:v>0.79243034999999995</c:v>
                </c:pt>
                <c:pt idx="99">
                  <c:v>0.78637834999999989</c:v>
                </c:pt>
                <c:pt idx="100">
                  <c:v>0.78265280000000004</c:v>
                </c:pt>
                <c:pt idx="101">
                  <c:v>0.77925109999999997</c:v>
                </c:pt>
                <c:pt idx="102">
                  <c:v>0.77718474999999998</c:v>
                </c:pt>
                <c:pt idx="103">
                  <c:v>0.77629650000000006</c:v>
                </c:pt>
                <c:pt idx="104">
                  <c:v>0.77396409999999993</c:v>
                </c:pt>
                <c:pt idx="105">
                  <c:v>0.7714956999999999</c:v>
                </c:pt>
                <c:pt idx="106">
                  <c:v>0.77070095000000005</c:v>
                </c:pt>
                <c:pt idx="107">
                  <c:v>0.77030484999999993</c:v>
                </c:pt>
                <c:pt idx="108">
                  <c:v>0.76848585000000003</c:v>
                </c:pt>
                <c:pt idx="109">
                  <c:v>0.76651469999999999</c:v>
                </c:pt>
                <c:pt idx="110">
                  <c:v>0.76073809999999997</c:v>
                </c:pt>
                <c:pt idx="111">
                  <c:v>0.74570499999999995</c:v>
                </c:pt>
                <c:pt idx="112">
                  <c:v>0.7406798</c:v>
                </c:pt>
                <c:pt idx="113">
                  <c:v>0.74207634999999994</c:v>
                </c:pt>
                <c:pt idx="114">
                  <c:v>0.73787650000000005</c:v>
                </c:pt>
                <c:pt idx="115">
                  <c:v>0.72816610000000004</c:v>
                </c:pt>
                <c:pt idx="116">
                  <c:v>0.70581534999999995</c:v>
                </c:pt>
                <c:pt idx="117">
                  <c:v>0.68799765000000002</c:v>
                </c:pt>
                <c:pt idx="118">
                  <c:v>0.66623765000000001</c:v>
                </c:pt>
                <c:pt idx="119">
                  <c:v>0.64397444999999998</c:v>
                </c:pt>
                <c:pt idx="120">
                  <c:v>0.6527269</c:v>
                </c:pt>
                <c:pt idx="121">
                  <c:v>0.65976745000000003</c:v>
                </c:pt>
                <c:pt idx="122">
                  <c:v>0.66759000000000002</c:v>
                </c:pt>
                <c:pt idx="123">
                  <c:v>0.57612830000000004</c:v>
                </c:pt>
                <c:pt idx="124">
                  <c:v>0.66741744999999997</c:v>
                </c:pt>
                <c:pt idx="125">
                  <c:v>0.7261226999999999</c:v>
                </c:pt>
                <c:pt idx="126">
                  <c:v>0.74724774999999999</c:v>
                </c:pt>
                <c:pt idx="127">
                  <c:v>0.76126850000000001</c:v>
                </c:pt>
                <c:pt idx="128">
                  <c:v>0.76776080000000002</c:v>
                </c:pt>
                <c:pt idx="129">
                  <c:v>0.77131720000000004</c:v>
                </c:pt>
                <c:pt idx="130">
                  <c:v>0.76995720000000001</c:v>
                </c:pt>
                <c:pt idx="131">
                  <c:v>0.77447409999999994</c:v>
                </c:pt>
                <c:pt idx="132">
                  <c:v>0.77723574999999989</c:v>
                </c:pt>
                <c:pt idx="133">
                  <c:v>0.77764374999999997</c:v>
                </c:pt>
                <c:pt idx="134">
                  <c:v>0.77858129999999992</c:v>
                </c:pt>
                <c:pt idx="135">
                  <c:v>0.7812673</c:v>
                </c:pt>
                <c:pt idx="136">
                  <c:v>0.78377649999999999</c:v>
                </c:pt>
                <c:pt idx="137">
                  <c:v>0.78382835000000006</c:v>
                </c:pt>
                <c:pt idx="138">
                  <c:v>0.78500219999999998</c:v>
                </c:pt>
                <c:pt idx="139">
                  <c:v>0.78578249999999994</c:v>
                </c:pt>
                <c:pt idx="140">
                  <c:v>0.78256015000000001</c:v>
                </c:pt>
                <c:pt idx="141">
                  <c:v>0.78705494999999992</c:v>
                </c:pt>
                <c:pt idx="142">
                  <c:v>0.78834185000000001</c:v>
                </c:pt>
                <c:pt idx="143">
                  <c:v>0.78964659999999998</c:v>
                </c:pt>
                <c:pt idx="144">
                  <c:v>0.78969590000000001</c:v>
                </c:pt>
                <c:pt idx="145">
                  <c:v>0.78896659999999996</c:v>
                </c:pt>
                <c:pt idx="146">
                  <c:v>0.79053994999999999</c:v>
                </c:pt>
                <c:pt idx="147">
                  <c:v>0.79148684999999996</c:v>
                </c:pt>
                <c:pt idx="148">
                  <c:v>0.79102700000000004</c:v>
                </c:pt>
                <c:pt idx="149">
                  <c:v>0.79352855</c:v>
                </c:pt>
                <c:pt idx="150">
                  <c:v>0.79454004999999994</c:v>
                </c:pt>
                <c:pt idx="151">
                  <c:v>0.79227734999999999</c:v>
                </c:pt>
                <c:pt idx="152">
                  <c:v>0.79253829999999992</c:v>
                </c:pt>
                <c:pt idx="153">
                  <c:v>0.79370620000000003</c:v>
                </c:pt>
                <c:pt idx="154">
                  <c:v>0.79480779999999995</c:v>
                </c:pt>
                <c:pt idx="155">
                  <c:v>0.79312820000000006</c:v>
                </c:pt>
                <c:pt idx="156">
                  <c:v>0.79666165</c:v>
                </c:pt>
                <c:pt idx="157">
                  <c:v>0.79375804999999999</c:v>
                </c:pt>
                <c:pt idx="158">
                  <c:v>0.79445844999999993</c:v>
                </c:pt>
                <c:pt idx="159">
                  <c:v>0.79499649999999999</c:v>
                </c:pt>
                <c:pt idx="160">
                  <c:v>0.79556260000000001</c:v>
                </c:pt>
                <c:pt idx="161">
                  <c:v>0.79594425000000002</c:v>
                </c:pt>
                <c:pt idx="162">
                  <c:v>0.79585499999999998</c:v>
                </c:pt>
                <c:pt idx="163">
                  <c:v>0.79648910000000006</c:v>
                </c:pt>
                <c:pt idx="164">
                  <c:v>0.79404279999999994</c:v>
                </c:pt>
                <c:pt idx="165">
                  <c:v>0.79394419999999999</c:v>
                </c:pt>
                <c:pt idx="166">
                  <c:v>0.79367900000000002</c:v>
                </c:pt>
                <c:pt idx="167">
                  <c:v>0.7912615999999999</c:v>
                </c:pt>
                <c:pt idx="168">
                  <c:v>0.79529400000000006</c:v>
                </c:pt>
                <c:pt idx="169">
                  <c:v>0.7923462</c:v>
                </c:pt>
                <c:pt idx="170">
                  <c:v>0.79280774999999992</c:v>
                </c:pt>
                <c:pt idx="171">
                  <c:v>0.79313584999999998</c:v>
                </c:pt>
                <c:pt idx="172">
                  <c:v>0.79454174999999994</c:v>
                </c:pt>
                <c:pt idx="173">
                  <c:v>0.79305084999999997</c:v>
                </c:pt>
                <c:pt idx="174">
                  <c:v>0.78869034999999998</c:v>
                </c:pt>
                <c:pt idx="175">
                  <c:v>0.79112389999999999</c:v>
                </c:pt>
                <c:pt idx="176">
                  <c:v>0.79210309999999995</c:v>
                </c:pt>
                <c:pt idx="177">
                  <c:v>0.79089949999999998</c:v>
                </c:pt>
                <c:pt idx="178">
                  <c:v>0.78908135000000001</c:v>
                </c:pt>
                <c:pt idx="179">
                  <c:v>0.79084509999999997</c:v>
                </c:pt>
                <c:pt idx="180">
                  <c:v>0.79038354999999993</c:v>
                </c:pt>
                <c:pt idx="181">
                  <c:v>0.7899364499999999</c:v>
                </c:pt>
                <c:pt idx="182">
                  <c:v>0.78901589999999999</c:v>
                </c:pt>
                <c:pt idx="183">
                  <c:v>0.78962535</c:v>
                </c:pt>
                <c:pt idx="184">
                  <c:v>0.78694105000000003</c:v>
                </c:pt>
                <c:pt idx="185">
                  <c:v>0.7888535499999999</c:v>
                </c:pt>
                <c:pt idx="186">
                  <c:v>0.7865645</c:v>
                </c:pt>
                <c:pt idx="187">
                  <c:v>0.78647524999999996</c:v>
                </c:pt>
                <c:pt idx="188">
                  <c:v>0.78446329999999997</c:v>
                </c:pt>
                <c:pt idx="189">
                  <c:v>0.78547649999999991</c:v>
                </c:pt>
                <c:pt idx="190">
                  <c:v>0.78249299999999999</c:v>
                </c:pt>
                <c:pt idx="191">
                  <c:v>0.78238164999999993</c:v>
                </c:pt>
                <c:pt idx="192">
                  <c:v>0.78116869999999994</c:v>
                </c:pt>
                <c:pt idx="193">
                  <c:v>0.77960470000000004</c:v>
                </c:pt>
                <c:pt idx="194">
                  <c:v>0.77765395000000004</c:v>
                </c:pt>
                <c:pt idx="195">
                  <c:v>0.77622000000000002</c:v>
                </c:pt>
                <c:pt idx="196">
                  <c:v>0.77447579999999994</c:v>
                </c:pt>
                <c:pt idx="197">
                  <c:v>0.77256585</c:v>
                </c:pt>
                <c:pt idx="198">
                  <c:v>0.76980589999999993</c:v>
                </c:pt>
                <c:pt idx="199">
                  <c:v>0.76681729999999992</c:v>
                </c:pt>
                <c:pt idx="200">
                  <c:v>0.76849689999999993</c:v>
                </c:pt>
                <c:pt idx="201">
                  <c:v>0.7650884</c:v>
                </c:pt>
                <c:pt idx="202">
                  <c:v>0.7659400999999999</c:v>
                </c:pt>
                <c:pt idx="203">
                  <c:v>0.76381509999999997</c:v>
                </c:pt>
                <c:pt idx="204">
                  <c:v>0.76428344999999998</c:v>
                </c:pt>
                <c:pt idx="205">
                  <c:v>0.76499829999999991</c:v>
                </c:pt>
                <c:pt idx="206">
                  <c:v>0.76483849999999998</c:v>
                </c:pt>
                <c:pt idx="207">
                  <c:v>0.76252819999999999</c:v>
                </c:pt>
                <c:pt idx="208">
                  <c:v>0.76298805000000003</c:v>
                </c:pt>
                <c:pt idx="209">
                  <c:v>0.76223920000000001</c:v>
                </c:pt>
                <c:pt idx="210">
                  <c:v>0.76124044999999996</c:v>
                </c:pt>
                <c:pt idx="211">
                  <c:v>0.7611308</c:v>
                </c:pt>
                <c:pt idx="212">
                  <c:v>0.76559584999999997</c:v>
                </c:pt>
                <c:pt idx="213">
                  <c:v>0.76292685000000005</c:v>
                </c:pt>
                <c:pt idx="214">
                  <c:v>0.75669209999999998</c:v>
                </c:pt>
                <c:pt idx="215">
                  <c:v>0.75116115000000006</c:v>
                </c:pt>
                <c:pt idx="216">
                  <c:v>0.74531739999999991</c:v>
                </c:pt>
                <c:pt idx="217">
                  <c:v>0.73538515000000004</c:v>
                </c:pt>
                <c:pt idx="218">
                  <c:v>0.73197239999999997</c:v>
                </c:pt>
                <c:pt idx="219">
                  <c:v>0.72880869999999998</c:v>
                </c:pt>
                <c:pt idx="220">
                  <c:v>0.72189734999999999</c:v>
                </c:pt>
                <c:pt idx="221">
                  <c:v>0.71634684999999998</c:v>
                </c:pt>
                <c:pt idx="222">
                  <c:v>0.7023957999999999</c:v>
                </c:pt>
                <c:pt idx="223">
                  <c:v>0.7036232</c:v>
                </c:pt>
                <c:pt idx="224">
                  <c:v>0.70565809999999995</c:v>
                </c:pt>
                <c:pt idx="225">
                  <c:v>0.70020875000000005</c:v>
                </c:pt>
                <c:pt idx="226">
                  <c:v>0.70374305000000004</c:v>
                </c:pt>
                <c:pt idx="227">
                  <c:v>0.7054999999999999</c:v>
                </c:pt>
                <c:pt idx="228">
                  <c:v>0.70600914999999997</c:v>
                </c:pt>
                <c:pt idx="229">
                  <c:v>0.70742695</c:v>
                </c:pt>
                <c:pt idx="230">
                  <c:v>0.70745585</c:v>
                </c:pt>
                <c:pt idx="231">
                  <c:v>0.70991320000000002</c:v>
                </c:pt>
                <c:pt idx="232">
                  <c:v>0.71240539999999997</c:v>
                </c:pt>
                <c:pt idx="233">
                  <c:v>0.71221839999999992</c:v>
                </c:pt>
                <c:pt idx="234">
                  <c:v>0.71422014999999994</c:v>
                </c:pt>
                <c:pt idx="235">
                  <c:v>0.71590825000000002</c:v>
                </c:pt>
                <c:pt idx="236">
                  <c:v>0.71636044999999993</c:v>
                </c:pt>
                <c:pt idx="237">
                  <c:v>0.71568809999999994</c:v>
                </c:pt>
                <c:pt idx="238">
                  <c:v>0.71737704999999996</c:v>
                </c:pt>
                <c:pt idx="239">
                  <c:v>0.71910850000000004</c:v>
                </c:pt>
                <c:pt idx="240">
                  <c:v>0.71849819999999998</c:v>
                </c:pt>
                <c:pt idx="241">
                  <c:v>0.71802220000000005</c:v>
                </c:pt>
                <c:pt idx="242">
                  <c:v>0.7179797</c:v>
                </c:pt>
                <c:pt idx="243">
                  <c:v>0.71827719999999995</c:v>
                </c:pt>
                <c:pt idx="244">
                  <c:v>0.71862484999999998</c:v>
                </c:pt>
                <c:pt idx="245">
                  <c:v>0.71952499999999997</c:v>
                </c:pt>
                <c:pt idx="246">
                  <c:v>0.71771194999999999</c:v>
                </c:pt>
                <c:pt idx="247">
                  <c:v>0.71582069999999998</c:v>
                </c:pt>
                <c:pt idx="248">
                  <c:v>0.71525119999999998</c:v>
                </c:pt>
                <c:pt idx="249">
                  <c:v>0.71441140000000003</c:v>
                </c:pt>
                <c:pt idx="250">
                  <c:v>0.71311429999999998</c:v>
                </c:pt>
                <c:pt idx="251">
                  <c:v>0.71172455000000001</c:v>
                </c:pt>
                <c:pt idx="252">
                  <c:v>0.70802280000000006</c:v>
                </c:pt>
                <c:pt idx="253">
                  <c:v>0.70672059999999992</c:v>
                </c:pt>
                <c:pt idx="254">
                  <c:v>0.70026995000000003</c:v>
                </c:pt>
                <c:pt idx="255">
                  <c:v>0.69690904999999992</c:v>
                </c:pt>
                <c:pt idx="256">
                  <c:v>0.69338664999999988</c:v>
                </c:pt>
                <c:pt idx="257">
                  <c:v>0.69163395000000005</c:v>
                </c:pt>
                <c:pt idx="258">
                  <c:v>0.68580465000000002</c:v>
                </c:pt>
                <c:pt idx="259">
                  <c:v>0.68211564999999996</c:v>
                </c:pt>
                <c:pt idx="260">
                  <c:v>0.67988609999999994</c:v>
                </c:pt>
                <c:pt idx="261">
                  <c:v>0.67640875</c:v>
                </c:pt>
                <c:pt idx="262">
                  <c:v>0.66666775</c:v>
                </c:pt>
                <c:pt idx="263">
                  <c:v>0.65668280000000001</c:v>
                </c:pt>
                <c:pt idx="264">
                  <c:v>0.6548638</c:v>
                </c:pt>
                <c:pt idx="265">
                  <c:v>0.65456799999999993</c:v>
                </c:pt>
                <c:pt idx="266">
                  <c:v>0.64857549999999997</c:v>
                </c:pt>
                <c:pt idx="267">
                  <c:v>0.63979244999999996</c:v>
                </c:pt>
                <c:pt idx="268">
                  <c:v>0.62396799999999997</c:v>
                </c:pt>
                <c:pt idx="269">
                  <c:v>0.60196660000000002</c:v>
                </c:pt>
                <c:pt idx="270">
                  <c:v>0.57212565000000004</c:v>
                </c:pt>
                <c:pt idx="271">
                  <c:v>0.53856850000000001</c:v>
                </c:pt>
                <c:pt idx="272">
                  <c:v>0.51718165000000005</c:v>
                </c:pt>
                <c:pt idx="273">
                  <c:v>0.50583924999999996</c:v>
                </c:pt>
                <c:pt idx="274">
                  <c:v>0.50486600000000004</c:v>
                </c:pt>
                <c:pt idx="275">
                  <c:v>0.50381114999999999</c:v>
                </c:pt>
                <c:pt idx="276">
                  <c:v>0.50377545000000001</c:v>
                </c:pt>
                <c:pt idx="277">
                  <c:v>0.50266789999999995</c:v>
                </c:pt>
                <c:pt idx="278">
                  <c:v>0.49880039999999998</c:v>
                </c:pt>
                <c:pt idx="279">
                  <c:v>0.49021369999999997</c:v>
                </c:pt>
                <c:pt idx="280">
                  <c:v>0.48094359999999997</c:v>
                </c:pt>
                <c:pt idx="281">
                  <c:v>0.45028154999999997</c:v>
                </c:pt>
                <c:pt idx="282">
                  <c:v>0.39961305000000003</c:v>
                </c:pt>
                <c:pt idx="283">
                  <c:v>0.43973645</c:v>
                </c:pt>
                <c:pt idx="284">
                  <c:v>0.52392810000000001</c:v>
                </c:pt>
                <c:pt idx="285">
                  <c:v>0.5652585</c:v>
                </c:pt>
                <c:pt idx="286">
                  <c:v>0.58174169999999992</c:v>
                </c:pt>
                <c:pt idx="287">
                  <c:v>0.58795094999999997</c:v>
                </c:pt>
                <c:pt idx="288">
                  <c:v>0.58411829999999998</c:v>
                </c:pt>
                <c:pt idx="289">
                  <c:v>0.58514679999999997</c:v>
                </c:pt>
                <c:pt idx="290">
                  <c:v>0.58843885000000007</c:v>
                </c:pt>
                <c:pt idx="291">
                  <c:v>0.58933304999999991</c:v>
                </c:pt>
                <c:pt idx="292">
                  <c:v>0.5874417999999999</c:v>
                </c:pt>
                <c:pt idx="293">
                  <c:v>0.58446085000000003</c:v>
                </c:pt>
                <c:pt idx="294">
                  <c:v>0.58212165000000005</c:v>
                </c:pt>
                <c:pt idx="295">
                  <c:v>0.57572794999999999</c:v>
                </c:pt>
                <c:pt idx="296">
                  <c:v>0.56909709999999991</c:v>
                </c:pt>
                <c:pt idx="297">
                  <c:v>0.56505194999999997</c:v>
                </c:pt>
                <c:pt idx="298">
                  <c:v>0.55875684999999997</c:v>
                </c:pt>
                <c:pt idx="299">
                  <c:v>0.55263430000000002</c:v>
                </c:pt>
                <c:pt idx="300">
                  <c:v>0.54730480000000004</c:v>
                </c:pt>
                <c:pt idx="301">
                  <c:v>0.53992170000000006</c:v>
                </c:pt>
                <c:pt idx="302">
                  <c:v>0.53108595000000003</c:v>
                </c:pt>
                <c:pt idx="303">
                  <c:v>0.52200199999999997</c:v>
                </c:pt>
                <c:pt idx="304">
                  <c:v>0.51686715000000005</c:v>
                </c:pt>
                <c:pt idx="305">
                  <c:v>0.5149589</c:v>
                </c:pt>
                <c:pt idx="306">
                  <c:v>0.51405705000000002</c:v>
                </c:pt>
                <c:pt idx="307">
                  <c:v>0.51569585000000007</c:v>
                </c:pt>
                <c:pt idx="308">
                  <c:v>0.51811664999999996</c:v>
                </c:pt>
                <c:pt idx="309">
                  <c:v>0.51228819999999997</c:v>
                </c:pt>
                <c:pt idx="310">
                  <c:v>0.50131044999999996</c:v>
                </c:pt>
                <c:pt idx="311">
                  <c:v>0.49098549999999996</c:v>
                </c:pt>
                <c:pt idx="312">
                  <c:v>0.483599</c:v>
                </c:pt>
                <c:pt idx="313">
                  <c:v>0.48544264999999998</c:v>
                </c:pt>
                <c:pt idx="314">
                  <c:v>0.48483320000000002</c:v>
                </c:pt>
                <c:pt idx="315">
                  <c:v>0.47815304999999997</c:v>
                </c:pt>
                <c:pt idx="316">
                  <c:v>0.46641199999999999</c:v>
                </c:pt>
                <c:pt idx="317">
                  <c:v>0.45774965000000001</c:v>
                </c:pt>
                <c:pt idx="318">
                  <c:v>0.45987719999999993</c:v>
                </c:pt>
                <c:pt idx="319">
                  <c:v>0.46764365000000002</c:v>
                </c:pt>
                <c:pt idx="320">
                  <c:v>0.47504629999999998</c:v>
                </c:pt>
                <c:pt idx="321">
                  <c:v>0.4804948</c:v>
                </c:pt>
                <c:pt idx="322">
                  <c:v>0.48166695000000004</c:v>
                </c:pt>
                <c:pt idx="323">
                  <c:v>0.48065884999999997</c:v>
                </c:pt>
                <c:pt idx="324">
                  <c:v>0.47590224999999997</c:v>
                </c:pt>
                <c:pt idx="325">
                  <c:v>0.46845879999999995</c:v>
                </c:pt>
                <c:pt idx="326">
                  <c:v>0.46216370000000001</c:v>
                </c:pt>
                <c:pt idx="327">
                  <c:v>0.45489109999999999</c:v>
                </c:pt>
                <c:pt idx="328">
                  <c:v>0.44194050000000001</c:v>
                </c:pt>
                <c:pt idx="329">
                  <c:v>0.43437804999999996</c:v>
                </c:pt>
                <c:pt idx="330">
                  <c:v>0.42856659999999996</c:v>
                </c:pt>
                <c:pt idx="331">
                  <c:v>0.42593499999999995</c:v>
                </c:pt>
                <c:pt idx="332">
                  <c:v>0.42319715000000002</c:v>
                </c:pt>
                <c:pt idx="333">
                  <c:v>0.42123109999999997</c:v>
                </c:pt>
                <c:pt idx="334">
                  <c:v>0.41793904999999998</c:v>
                </c:pt>
                <c:pt idx="335">
                  <c:v>0.41415400000000002</c:v>
                </c:pt>
                <c:pt idx="336">
                  <c:v>0.40687374999999998</c:v>
                </c:pt>
                <c:pt idx="337">
                  <c:v>0.39989015</c:v>
                </c:pt>
                <c:pt idx="338">
                  <c:v>0.39196475000000003</c:v>
                </c:pt>
                <c:pt idx="339">
                  <c:v>0.39117764999999999</c:v>
                </c:pt>
                <c:pt idx="340">
                  <c:v>0.38844234999999999</c:v>
                </c:pt>
                <c:pt idx="341">
                  <c:v>0.389011</c:v>
                </c:pt>
                <c:pt idx="342">
                  <c:v>0.38384979999999996</c:v>
                </c:pt>
                <c:pt idx="343">
                  <c:v>0.38275925</c:v>
                </c:pt>
                <c:pt idx="344">
                  <c:v>0.37856789999999996</c:v>
                </c:pt>
                <c:pt idx="345">
                  <c:v>0.3759941</c:v>
                </c:pt>
                <c:pt idx="346">
                  <c:v>0.37205264999999998</c:v>
                </c:pt>
                <c:pt idx="347">
                  <c:v>0.37050054999999998</c:v>
                </c:pt>
                <c:pt idx="348">
                  <c:v>0.36767515000000001</c:v>
                </c:pt>
                <c:pt idx="349">
                  <c:v>0.36344300000000002</c:v>
                </c:pt>
                <c:pt idx="350">
                  <c:v>0.36262869999999997</c:v>
                </c:pt>
                <c:pt idx="351">
                  <c:v>0.36198864999999997</c:v>
                </c:pt>
                <c:pt idx="352">
                  <c:v>0.36153049999999998</c:v>
                </c:pt>
                <c:pt idx="353">
                  <c:v>0.36118710000000004</c:v>
                </c:pt>
                <c:pt idx="354">
                  <c:v>0.36063374999999998</c:v>
                </c:pt>
                <c:pt idx="355">
                  <c:v>0.36019004999999998</c:v>
                </c:pt>
                <c:pt idx="356">
                  <c:v>0.35963244999999999</c:v>
                </c:pt>
                <c:pt idx="357">
                  <c:v>0.35846965000000003</c:v>
                </c:pt>
                <c:pt idx="358">
                  <c:v>0.35663704999999996</c:v>
                </c:pt>
                <c:pt idx="359">
                  <c:v>0.35518184999999997</c:v>
                </c:pt>
                <c:pt idx="360">
                  <c:v>0.35431059999999998</c:v>
                </c:pt>
                <c:pt idx="361">
                  <c:v>0.35337730000000001</c:v>
                </c:pt>
                <c:pt idx="362">
                  <c:v>0.35277550000000002</c:v>
                </c:pt>
                <c:pt idx="363">
                  <c:v>0.35142399999999996</c:v>
                </c:pt>
                <c:pt idx="364">
                  <c:v>0.34939589999999998</c:v>
                </c:pt>
                <c:pt idx="365">
                  <c:v>0.34784379999999998</c:v>
                </c:pt>
                <c:pt idx="366">
                  <c:v>0.34695809999999999</c:v>
                </c:pt>
                <c:pt idx="367">
                  <c:v>0.34598909999999999</c:v>
                </c:pt>
                <c:pt idx="368">
                  <c:v>0.34422705000000003</c:v>
                </c:pt>
                <c:pt idx="369">
                  <c:v>0.34383605</c:v>
                </c:pt>
                <c:pt idx="370">
                  <c:v>0.34348414999999999</c:v>
                </c:pt>
                <c:pt idx="371">
                  <c:v>0.34225250000000002</c:v>
                </c:pt>
                <c:pt idx="372">
                  <c:v>0.34176545000000003</c:v>
                </c:pt>
                <c:pt idx="373">
                  <c:v>0.34133449999999999</c:v>
                </c:pt>
                <c:pt idx="374">
                  <c:v>0.3399915</c:v>
                </c:pt>
                <c:pt idx="375">
                  <c:v>0.33914404999999997</c:v>
                </c:pt>
                <c:pt idx="376">
                  <c:v>0.33881424999999998</c:v>
                </c:pt>
                <c:pt idx="377">
                  <c:v>0.33903525000000001</c:v>
                </c:pt>
                <c:pt idx="378">
                  <c:v>0.33833059999999998</c:v>
                </c:pt>
                <c:pt idx="379">
                  <c:v>0.33698929999999999</c:v>
                </c:pt>
                <c:pt idx="380">
                  <c:v>0.33632544999999997</c:v>
                </c:pt>
                <c:pt idx="381">
                  <c:v>0.33587834999999999</c:v>
                </c:pt>
                <c:pt idx="382">
                  <c:v>0.33486175000000001</c:v>
                </c:pt>
                <c:pt idx="383">
                  <c:v>0.33354935000000002</c:v>
                </c:pt>
                <c:pt idx="384">
                  <c:v>0.33173374999999999</c:v>
                </c:pt>
                <c:pt idx="385">
                  <c:v>0.33097129999999997</c:v>
                </c:pt>
                <c:pt idx="386">
                  <c:v>0.33231854999999999</c:v>
                </c:pt>
                <c:pt idx="387">
                  <c:v>0.33244180000000001</c:v>
                </c:pt>
                <c:pt idx="388">
                  <c:v>0.33095769999999997</c:v>
                </c:pt>
                <c:pt idx="389">
                  <c:v>0.32969035000000002</c:v>
                </c:pt>
                <c:pt idx="390">
                  <c:v>0.32866354999999997</c:v>
                </c:pt>
                <c:pt idx="391">
                  <c:v>0.32781100000000002</c:v>
                </c:pt>
                <c:pt idx="392">
                  <c:v>0.32664650000000001</c:v>
                </c:pt>
                <c:pt idx="393">
                  <c:v>0.32563415000000001</c:v>
                </c:pt>
                <c:pt idx="394">
                  <c:v>0.3259359</c:v>
                </c:pt>
                <c:pt idx="395">
                  <c:v>0.32548199999999999</c:v>
                </c:pt>
                <c:pt idx="396">
                  <c:v>0.32389844999999995</c:v>
                </c:pt>
                <c:pt idx="397">
                  <c:v>0.32323799999999997</c:v>
                </c:pt>
                <c:pt idx="398">
                  <c:v>0.32259709999999997</c:v>
                </c:pt>
                <c:pt idx="399">
                  <c:v>0.32188310000000003</c:v>
                </c:pt>
                <c:pt idx="400">
                  <c:v>0.32084524999999997</c:v>
                </c:pt>
                <c:pt idx="401">
                  <c:v>0.31901774999999999</c:v>
                </c:pt>
                <c:pt idx="402">
                  <c:v>0.31784049999999997</c:v>
                </c:pt>
                <c:pt idx="403">
                  <c:v>0.31782860000000002</c:v>
                </c:pt>
                <c:pt idx="404">
                  <c:v>0.31636999999999998</c:v>
                </c:pt>
                <c:pt idx="405">
                  <c:v>0.31550810000000001</c:v>
                </c:pt>
                <c:pt idx="406">
                  <c:v>0.31524715000000003</c:v>
                </c:pt>
                <c:pt idx="407">
                  <c:v>0.31380385</c:v>
                </c:pt>
                <c:pt idx="408">
                  <c:v>0.31155814999999998</c:v>
                </c:pt>
                <c:pt idx="409">
                  <c:v>0.30946289999999999</c:v>
                </c:pt>
                <c:pt idx="410">
                  <c:v>0.30817685</c:v>
                </c:pt>
                <c:pt idx="411">
                  <c:v>0.30652869999999999</c:v>
                </c:pt>
                <c:pt idx="412">
                  <c:v>0.30460940000000003</c:v>
                </c:pt>
                <c:pt idx="413">
                  <c:v>0.30340069999999997</c:v>
                </c:pt>
                <c:pt idx="414">
                  <c:v>0.30116264999999998</c:v>
                </c:pt>
                <c:pt idx="415">
                  <c:v>0.29862624999999998</c:v>
                </c:pt>
                <c:pt idx="416">
                  <c:v>0.29663470000000003</c:v>
                </c:pt>
                <c:pt idx="417">
                  <c:v>0.29430315000000001</c:v>
                </c:pt>
                <c:pt idx="418">
                  <c:v>0.29100599999999999</c:v>
                </c:pt>
                <c:pt idx="419">
                  <c:v>0.288524</c:v>
                </c:pt>
                <c:pt idx="420">
                  <c:v>0.28652225000000003</c:v>
                </c:pt>
                <c:pt idx="421">
                  <c:v>0.28435814999999998</c:v>
                </c:pt>
                <c:pt idx="422">
                  <c:v>0.28177415</c:v>
                </c:pt>
                <c:pt idx="423">
                  <c:v>0.27852884999999999</c:v>
                </c:pt>
                <c:pt idx="424">
                  <c:v>0.27526485000000001</c:v>
                </c:pt>
                <c:pt idx="425">
                  <c:v>0.27274714999999999</c:v>
                </c:pt>
                <c:pt idx="426">
                  <c:v>0.27006114999999997</c:v>
                </c:pt>
                <c:pt idx="427">
                  <c:v>0.26715925000000001</c:v>
                </c:pt>
                <c:pt idx="428">
                  <c:v>0.26458884999999999</c:v>
                </c:pt>
                <c:pt idx="429">
                  <c:v>0.26150419999999996</c:v>
                </c:pt>
                <c:pt idx="430">
                  <c:v>0.25813649999999999</c:v>
                </c:pt>
                <c:pt idx="431">
                  <c:v>0.25514365</c:v>
                </c:pt>
                <c:pt idx="432">
                  <c:v>0.25163570000000002</c:v>
                </c:pt>
                <c:pt idx="433">
                  <c:v>0.24750129999999998</c:v>
                </c:pt>
                <c:pt idx="434">
                  <c:v>0.24327424999999997</c:v>
                </c:pt>
                <c:pt idx="435">
                  <c:v>0.2391016</c:v>
                </c:pt>
                <c:pt idx="436">
                  <c:v>0.23476829999999999</c:v>
                </c:pt>
                <c:pt idx="437">
                  <c:v>0.22977624999999999</c:v>
                </c:pt>
                <c:pt idx="438">
                  <c:v>0.22488280000000002</c:v>
                </c:pt>
                <c:pt idx="439">
                  <c:v>0.22007349999999998</c:v>
                </c:pt>
                <c:pt idx="440">
                  <c:v>0.21403509999999998</c:v>
                </c:pt>
                <c:pt idx="441">
                  <c:v>0.20767709999999998</c:v>
                </c:pt>
                <c:pt idx="442">
                  <c:v>0.20125959999999998</c:v>
                </c:pt>
                <c:pt idx="443">
                  <c:v>0.19515405</c:v>
                </c:pt>
                <c:pt idx="444">
                  <c:v>0.18810754999999998</c:v>
                </c:pt>
                <c:pt idx="445">
                  <c:v>0.18127780000000002</c:v>
                </c:pt>
                <c:pt idx="446">
                  <c:v>0.17436645000000001</c:v>
                </c:pt>
                <c:pt idx="447">
                  <c:v>0.1674041</c:v>
                </c:pt>
                <c:pt idx="448">
                  <c:v>0.16013235000000001</c:v>
                </c:pt>
                <c:pt idx="449">
                  <c:v>0.15354145</c:v>
                </c:pt>
                <c:pt idx="450">
                  <c:v>0.14667769999999999</c:v>
                </c:pt>
                <c:pt idx="451">
                  <c:v>0.13895289999999999</c:v>
                </c:pt>
                <c:pt idx="452">
                  <c:v>0.13059399999999999</c:v>
                </c:pt>
                <c:pt idx="453">
                  <c:v>0.1219359</c:v>
                </c:pt>
                <c:pt idx="454">
                  <c:v>0.11286045</c:v>
                </c:pt>
                <c:pt idx="455">
                  <c:v>0.1031849</c:v>
                </c:pt>
                <c:pt idx="456">
                  <c:v>9.3305349999999995E-2</c:v>
                </c:pt>
                <c:pt idx="457">
                  <c:v>8.4126199999999998E-2</c:v>
                </c:pt>
                <c:pt idx="458">
                  <c:v>7.4728599999999992E-2</c:v>
                </c:pt>
                <c:pt idx="459">
                  <c:v>6.5077700000000002E-2</c:v>
                </c:pt>
                <c:pt idx="460">
                  <c:v>5.6265750000000003E-2</c:v>
                </c:pt>
                <c:pt idx="461">
                  <c:v>4.8815499999999998E-2</c:v>
                </c:pt>
                <c:pt idx="462">
                  <c:v>4.2569700000000002E-2</c:v>
                </c:pt>
                <c:pt idx="463">
                  <c:v>3.7146699999999998E-2</c:v>
                </c:pt>
                <c:pt idx="464">
                  <c:v>3.2020350000000003E-2</c:v>
                </c:pt>
                <c:pt idx="465">
                  <c:v>2.75655E-2</c:v>
                </c:pt>
                <c:pt idx="466">
                  <c:v>2.429895E-2</c:v>
                </c:pt>
                <c:pt idx="467">
                  <c:v>2.1760000000000002E-2</c:v>
                </c:pt>
                <c:pt idx="468">
                  <c:v>2.0382149999999998E-2</c:v>
                </c:pt>
                <c:pt idx="469">
                  <c:v>2.0190049999999998E-2</c:v>
                </c:pt>
                <c:pt idx="470">
                  <c:v>2.08471E-2</c:v>
                </c:pt>
                <c:pt idx="471">
                  <c:v>2.2302300000000001E-2</c:v>
                </c:pt>
                <c:pt idx="472">
                  <c:v>2.4182499999999999E-2</c:v>
                </c:pt>
                <c:pt idx="473">
                  <c:v>2.6600750000000003E-2</c:v>
                </c:pt>
                <c:pt idx="474">
                  <c:v>2.9540899999999998E-2</c:v>
                </c:pt>
                <c:pt idx="475">
                  <c:v>3.1613200000000001E-2</c:v>
                </c:pt>
                <c:pt idx="476">
                  <c:v>3.2723299999999997E-2</c:v>
                </c:pt>
                <c:pt idx="477">
                  <c:v>3.2776E-2</c:v>
                </c:pt>
                <c:pt idx="478">
                  <c:v>3.1967649999999993E-2</c:v>
                </c:pt>
                <c:pt idx="479">
                  <c:v>3.0511599999999996E-2</c:v>
                </c:pt>
                <c:pt idx="480">
                  <c:v>2.8737649999999997E-2</c:v>
                </c:pt>
                <c:pt idx="481">
                  <c:v>2.747115E-2</c:v>
                </c:pt>
                <c:pt idx="482">
                  <c:v>2.6736749999999997E-2</c:v>
                </c:pt>
                <c:pt idx="483">
                  <c:v>2.7081850000000001E-2</c:v>
                </c:pt>
                <c:pt idx="484">
                  <c:v>2.7769499999999996E-2</c:v>
                </c:pt>
                <c:pt idx="485">
                  <c:v>2.7551049999999997E-2</c:v>
                </c:pt>
                <c:pt idx="486">
                  <c:v>2.7163449999999999E-2</c:v>
                </c:pt>
                <c:pt idx="487">
                  <c:v>2.65098E-2</c:v>
                </c:pt>
                <c:pt idx="488">
                  <c:v>2.6301549999999996E-2</c:v>
                </c:pt>
                <c:pt idx="489">
                  <c:v>2.6384849999999998E-2</c:v>
                </c:pt>
                <c:pt idx="490">
                  <c:v>2.715155E-2</c:v>
                </c:pt>
                <c:pt idx="491">
                  <c:v>2.8816700000000001E-2</c:v>
                </c:pt>
                <c:pt idx="492">
                  <c:v>3.0783599999999998E-2</c:v>
                </c:pt>
                <c:pt idx="493">
                  <c:v>3.2829549999999999E-2</c:v>
                </c:pt>
                <c:pt idx="494">
                  <c:v>3.5461149999999997E-2</c:v>
                </c:pt>
                <c:pt idx="495">
                  <c:v>3.8336700000000001E-2</c:v>
                </c:pt>
                <c:pt idx="496">
                  <c:v>4.0165899999999997E-2</c:v>
                </c:pt>
                <c:pt idx="497">
                  <c:v>4.0761749999999999E-2</c:v>
                </c:pt>
                <c:pt idx="498">
                  <c:v>4.0264500000000002E-2</c:v>
                </c:pt>
                <c:pt idx="499">
                  <c:v>3.8899400000000001E-2</c:v>
                </c:pt>
                <c:pt idx="500">
                  <c:v>3.6726800000000004E-2</c:v>
                </c:pt>
                <c:pt idx="501">
                  <c:v>3.2825300000000002E-2</c:v>
                </c:pt>
                <c:pt idx="502">
                  <c:v>2.7239099999999999E-2</c:v>
                </c:pt>
                <c:pt idx="503">
                  <c:v>2.1742150000000002E-2</c:v>
                </c:pt>
                <c:pt idx="504">
                  <c:v>1.838805E-2</c:v>
                </c:pt>
                <c:pt idx="505">
                  <c:v>1.8376149999999997E-2</c:v>
                </c:pt>
                <c:pt idx="506">
                  <c:v>2.2179899999999999E-2</c:v>
                </c:pt>
                <c:pt idx="507">
                  <c:v>3.0069599999999998E-2</c:v>
                </c:pt>
                <c:pt idx="508">
                  <c:v>4.0300200000000001E-2</c:v>
                </c:pt>
                <c:pt idx="509">
                  <c:v>5.0272400000000002E-2</c:v>
                </c:pt>
                <c:pt idx="510">
                  <c:v>5.9777949999999996E-2</c:v>
                </c:pt>
                <c:pt idx="511">
                  <c:v>6.8017849999999991E-2</c:v>
                </c:pt>
                <c:pt idx="512">
                  <c:v>7.5388199999999989E-2</c:v>
                </c:pt>
                <c:pt idx="513">
                  <c:v>8.1524349999999995E-2</c:v>
                </c:pt>
                <c:pt idx="514">
                  <c:v>8.5494700000000007E-2</c:v>
                </c:pt>
                <c:pt idx="515">
                  <c:v>8.7689400000000001E-2</c:v>
                </c:pt>
                <c:pt idx="516">
                  <c:v>8.8381299999999996E-2</c:v>
                </c:pt>
                <c:pt idx="517">
                  <c:v>8.9265299999999992E-2</c:v>
                </c:pt>
                <c:pt idx="518">
                  <c:v>9.244854999999999E-2</c:v>
                </c:pt>
                <c:pt idx="519">
                  <c:v>9.7190699999999991E-2</c:v>
                </c:pt>
                <c:pt idx="520">
                  <c:v>0.10228645</c:v>
                </c:pt>
                <c:pt idx="521">
                  <c:v>0.10688239999999999</c:v>
                </c:pt>
                <c:pt idx="522">
                  <c:v>0.1107567</c:v>
                </c:pt>
                <c:pt idx="523">
                  <c:v>0.11446865000000001</c:v>
                </c:pt>
                <c:pt idx="524">
                  <c:v>0.11778959999999999</c:v>
                </c:pt>
                <c:pt idx="525">
                  <c:v>0.1202478</c:v>
                </c:pt>
                <c:pt idx="526">
                  <c:v>0.12272979999999999</c:v>
                </c:pt>
                <c:pt idx="527">
                  <c:v>0.12556965</c:v>
                </c:pt>
                <c:pt idx="528">
                  <c:v>0.12834404999999999</c:v>
                </c:pt>
                <c:pt idx="529">
                  <c:v>0.13096885</c:v>
                </c:pt>
                <c:pt idx="530">
                  <c:v>0.13340494999999999</c:v>
                </c:pt>
                <c:pt idx="531">
                  <c:v>0.13531575000000001</c:v>
                </c:pt>
                <c:pt idx="532">
                  <c:v>0.13742375000000001</c:v>
                </c:pt>
                <c:pt idx="533">
                  <c:v>0.13964905</c:v>
                </c:pt>
                <c:pt idx="534">
                  <c:v>0.14184205</c:v>
                </c:pt>
                <c:pt idx="535">
                  <c:v>0.14353779999999999</c:v>
                </c:pt>
                <c:pt idx="536">
                  <c:v>0.14516894999999999</c:v>
                </c:pt>
                <c:pt idx="537">
                  <c:v>0.14692505</c:v>
                </c:pt>
                <c:pt idx="538">
                  <c:v>0.14850094999999999</c:v>
                </c:pt>
                <c:pt idx="539">
                  <c:v>0.14970285</c:v>
                </c:pt>
                <c:pt idx="540">
                  <c:v>0.15087499999999998</c:v>
                </c:pt>
                <c:pt idx="541">
                  <c:v>0.15215339999999999</c:v>
                </c:pt>
                <c:pt idx="542">
                  <c:v>0.15349384999999999</c:v>
                </c:pt>
                <c:pt idx="543">
                  <c:v>0.15462264999999997</c:v>
                </c:pt>
                <c:pt idx="544">
                  <c:v>0.15577099999999999</c:v>
                </c:pt>
                <c:pt idx="545">
                  <c:v>0.1568369</c:v>
                </c:pt>
                <c:pt idx="546">
                  <c:v>0.15800054999999999</c:v>
                </c:pt>
                <c:pt idx="547">
                  <c:v>0.15912424999999999</c:v>
                </c:pt>
                <c:pt idx="548">
                  <c:v>0.16021394999999999</c:v>
                </c:pt>
                <c:pt idx="549">
                  <c:v>0.16125349999999999</c:v>
                </c:pt>
                <c:pt idx="550">
                  <c:v>0.16233979999999998</c:v>
                </c:pt>
                <c:pt idx="551">
                  <c:v>0.1634584</c:v>
                </c:pt>
                <c:pt idx="552">
                  <c:v>0.16453874999999998</c:v>
                </c:pt>
                <c:pt idx="553">
                  <c:v>0.16563440000000001</c:v>
                </c:pt>
                <c:pt idx="554">
                  <c:v>0.16663144999999999</c:v>
                </c:pt>
                <c:pt idx="555">
                  <c:v>0.16746954999999999</c:v>
                </c:pt>
                <c:pt idx="556">
                  <c:v>0.16858305000000001</c:v>
                </c:pt>
                <c:pt idx="557">
                  <c:v>0.1695257</c:v>
                </c:pt>
                <c:pt idx="558">
                  <c:v>0.17037994999999997</c:v>
                </c:pt>
                <c:pt idx="559">
                  <c:v>0.17142374999999999</c:v>
                </c:pt>
                <c:pt idx="560">
                  <c:v>0.17229585</c:v>
                </c:pt>
                <c:pt idx="561">
                  <c:v>0.1730294</c:v>
                </c:pt>
                <c:pt idx="562">
                  <c:v>0.17384284999999999</c:v>
                </c:pt>
                <c:pt idx="563">
                  <c:v>0.17446419999999999</c:v>
                </c:pt>
                <c:pt idx="564">
                  <c:v>0.17525215</c:v>
                </c:pt>
                <c:pt idx="565">
                  <c:v>0.17613614999999999</c:v>
                </c:pt>
                <c:pt idx="566">
                  <c:v>0.17720205</c:v>
                </c:pt>
                <c:pt idx="567">
                  <c:v>0.17807755</c:v>
                </c:pt>
                <c:pt idx="568">
                  <c:v>0.1790253</c:v>
                </c:pt>
                <c:pt idx="569">
                  <c:v>0.18007334999999999</c:v>
                </c:pt>
                <c:pt idx="570">
                  <c:v>0.18110950000000001</c:v>
                </c:pt>
                <c:pt idx="571">
                  <c:v>0.18198330000000001</c:v>
                </c:pt>
                <c:pt idx="572">
                  <c:v>0.18283245000000001</c:v>
                </c:pt>
                <c:pt idx="573">
                  <c:v>0.18353625000000001</c:v>
                </c:pt>
                <c:pt idx="574">
                  <c:v>0.18455370000000001</c:v>
                </c:pt>
                <c:pt idx="575">
                  <c:v>0.18565784999999999</c:v>
                </c:pt>
                <c:pt idx="576">
                  <c:v>0.18663449999999998</c:v>
                </c:pt>
                <c:pt idx="577">
                  <c:v>0.1876205</c:v>
                </c:pt>
                <c:pt idx="578">
                  <c:v>0.18873230000000002</c:v>
                </c:pt>
                <c:pt idx="579">
                  <c:v>0.18930349999999999</c:v>
                </c:pt>
                <c:pt idx="580">
                  <c:v>0.19011439999999999</c:v>
                </c:pt>
                <c:pt idx="581">
                  <c:v>0.19084029999999999</c:v>
                </c:pt>
                <c:pt idx="582">
                  <c:v>0.19138089999999999</c:v>
                </c:pt>
                <c:pt idx="583">
                  <c:v>0.19195294999999998</c:v>
                </c:pt>
                <c:pt idx="584">
                  <c:v>0.19269669999999997</c:v>
                </c:pt>
                <c:pt idx="585">
                  <c:v>0.19339795000000001</c:v>
                </c:pt>
                <c:pt idx="586">
                  <c:v>0.19412045</c:v>
                </c:pt>
                <c:pt idx="587">
                  <c:v>0.19457264999999999</c:v>
                </c:pt>
                <c:pt idx="588">
                  <c:v>0.19523479999999999</c:v>
                </c:pt>
                <c:pt idx="589">
                  <c:v>0.19568105</c:v>
                </c:pt>
                <c:pt idx="590">
                  <c:v>0.19625735</c:v>
                </c:pt>
                <c:pt idx="591">
                  <c:v>0.19692715</c:v>
                </c:pt>
                <c:pt idx="592">
                  <c:v>0.19760629999999998</c:v>
                </c:pt>
                <c:pt idx="593">
                  <c:v>0.19812564999999999</c:v>
                </c:pt>
                <c:pt idx="594">
                  <c:v>0.19851750000000001</c:v>
                </c:pt>
                <c:pt idx="595">
                  <c:v>0.1985413</c:v>
                </c:pt>
                <c:pt idx="596">
                  <c:v>0.19800409999999999</c:v>
                </c:pt>
                <c:pt idx="597">
                  <c:v>0.1971609</c:v>
                </c:pt>
                <c:pt idx="598">
                  <c:v>0.19569549999999999</c:v>
                </c:pt>
                <c:pt idx="599">
                  <c:v>0.19331209999999999</c:v>
                </c:pt>
                <c:pt idx="600">
                  <c:v>0.19014159999999999</c:v>
                </c:pt>
                <c:pt idx="601">
                  <c:v>0.18698555</c:v>
                </c:pt>
                <c:pt idx="602">
                  <c:v>0.18499569999999999</c:v>
                </c:pt>
                <c:pt idx="603">
                  <c:v>0.18441515</c:v>
                </c:pt>
                <c:pt idx="604">
                  <c:v>0.18555415</c:v>
                </c:pt>
                <c:pt idx="605">
                  <c:v>0.18879179999999998</c:v>
                </c:pt>
                <c:pt idx="606">
                  <c:v>0.1935858</c:v>
                </c:pt>
                <c:pt idx="607">
                  <c:v>0.19870450000000001</c:v>
                </c:pt>
                <c:pt idx="608">
                  <c:v>0.2033353</c:v>
                </c:pt>
                <c:pt idx="609">
                  <c:v>0.20774424999999999</c:v>
                </c:pt>
                <c:pt idx="610">
                  <c:v>0.211786</c:v>
                </c:pt>
                <c:pt idx="611">
                  <c:v>0.21512139999999996</c:v>
                </c:pt>
                <c:pt idx="612">
                  <c:v>0.21785415</c:v>
                </c:pt>
                <c:pt idx="613">
                  <c:v>0.21998509999999999</c:v>
                </c:pt>
                <c:pt idx="614">
                  <c:v>0.2220761</c:v>
                </c:pt>
                <c:pt idx="615">
                  <c:v>0.22427759999999997</c:v>
                </c:pt>
                <c:pt idx="616">
                  <c:v>0.22606514999999999</c:v>
                </c:pt>
                <c:pt idx="617">
                  <c:v>0.2275722</c:v>
                </c:pt>
                <c:pt idx="618">
                  <c:v>0.22874264999999999</c:v>
                </c:pt>
                <c:pt idx="619">
                  <c:v>0.23027859999999997</c:v>
                </c:pt>
                <c:pt idx="620">
                  <c:v>0.23174825000000002</c:v>
                </c:pt>
                <c:pt idx="621">
                  <c:v>0.23281159999999998</c:v>
                </c:pt>
                <c:pt idx="622">
                  <c:v>0.23359954999999999</c:v>
                </c:pt>
                <c:pt idx="623">
                  <c:v>0.23456345000000001</c:v>
                </c:pt>
                <c:pt idx="624">
                  <c:v>0.23572964999999999</c:v>
                </c:pt>
                <c:pt idx="625">
                  <c:v>0.23654479999999997</c:v>
                </c:pt>
                <c:pt idx="626">
                  <c:v>0.2376481</c:v>
                </c:pt>
                <c:pt idx="627">
                  <c:v>0.23880324999999999</c:v>
                </c:pt>
                <c:pt idx="628">
                  <c:v>0.23962265000000002</c:v>
                </c:pt>
                <c:pt idx="629">
                  <c:v>0.24053214999999997</c:v>
                </c:pt>
                <c:pt idx="630">
                  <c:v>0.24158360000000001</c:v>
                </c:pt>
                <c:pt idx="631">
                  <c:v>0.24228910000000001</c:v>
                </c:pt>
                <c:pt idx="632">
                  <c:v>0.24299884999999999</c:v>
                </c:pt>
                <c:pt idx="633">
                  <c:v>0.24386499999999997</c:v>
                </c:pt>
                <c:pt idx="634">
                  <c:v>0.24474815</c:v>
                </c:pt>
                <c:pt idx="635">
                  <c:v>0.24549954999999998</c:v>
                </c:pt>
                <c:pt idx="636">
                  <c:v>0.24608349999999998</c:v>
                </c:pt>
                <c:pt idx="637">
                  <c:v>0.24663090000000001</c:v>
                </c:pt>
                <c:pt idx="638">
                  <c:v>0.24735339999999997</c:v>
                </c:pt>
                <c:pt idx="639">
                  <c:v>0.24837000000000001</c:v>
                </c:pt>
                <c:pt idx="640">
                  <c:v>0.24925145000000001</c:v>
                </c:pt>
                <c:pt idx="641">
                  <c:v>0.24975379999999997</c:v>
                </c:pt>
                <c:pt idx="642">
                  <c:v>0.25040660000000003</c:v>
                </c:pt>
                <c:pt idx="643">
                  <c:v>0.25116735000000001</c:v>
                </c:pt>
                <c:pt idx="644">
                  <c:v>0.25174875000000002</c:v>
                </c:pt>
                <c:pt idx="645">
                  <c:v>0.25252225</c:v>
                </c:pt>
                <c:pt idx="646">
                  <c:v>0.25329489999999999</c:v>
                </c:pt>
                <c:pt idx="647">
                  <c:v>0.25418569999999996</c:v>
                </c:pt>
                <c:pt idx="648">
                  <c:v>0.25526434999999997</c:v>
                </c:pt>
                <c:pt idx="649">
                  <c:v>0.25630304999999998</c:v>
                </c:pt>
                <c:pt idx="650">
                  <c:v>0.25734769999999996</c:v>
                </c:pt>
                <c:pt idx="651">
                  <c:v>0.2582759</c:v>
                </c:pt>
                <c:pt idx="652">
                  <c:v>0.25915820000000001</c:v>
                </c:pt>
                <c:pt idx="653">
                  <c:v>0.26027</c:v>
                </c:pt>
                <c:pt idx="654">
                  <c:v>0.2614243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2-45BF-A2ED-FED00B780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32655"/>
        <c:axId val="2051402479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SWIR_High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Analysis!$I$42:$I$265</c15:sqref>
                        </c15:formulaRef>
                      </c:ext>
                    </c:extLst>
                    <c:numCache>
                      <c:formatCode>General</c:formatCode>
                      <c:ptCount val="224"/>
                      <c:pt idx="0">
                        <c:v>902.33749999999998</c:v>
                      </c:pt>
                      <c:pt idx="1">
                        <c:v>905.95624999999995</c:v>
                      </c:pt>
                      <c:pt idx="2">
                        <c:v>909.57500000000005</c:v>
                      </c:pt>
                      <c:pt idx="3">
                        <c:v>913.19375000000002</c:v>
                      </c:pt>
                      <c:pt idx="4">
                        <c:v>916.8125</c:v>
                      </c:pt>
                      <c:pt idx="5">
                        <c:v>920.43124999999998</c:v>
                      </c:pt>
                      <c:pt idx="6">
                        <c:v>924.05</c:v>
                      </c:pt>
                      <c:pt idx="7">
                        <c:v>927.66875000000005</c:v>
                      </c:pt>
                      <c:pt idx="8">
                        <c:v>931.28750000000002</c:v>
                      </c:pt>
                      <c:pt idx="9">
                        <c:v>934.90625</c:v>
                      </c:pt>
                      <c:pt idx="10">
                        <c:v>938.52499999999998</c:v>
                      </c:pt>
                      <c:pt idx="11">
                        <c:v>942.14374999999995</c:v>
                      </c:pt>
                      <c:pt idx="12">
                        <c:v>945.76250000000005</c:v>
                      </c:pt>
                      <c:pt idx="13">
                        <c:v>949.38125000000002</c:v>
                      </c:pt>
                      <c:pt idx="14">
                        <c:v>953</c:v>
                      </c:pt>
                      <c:pt idx="15">
                        <c:v>956.61874999999998</c:v>
                      </c:pt>
                      <c:pt idx="16">
                        <c:v>960.23749999999995</c:v>
                      </c:pt>
                      <c:pt idx="17">
                        <c:v>963.85625000000005</c:v>
                      </c:pt>
                      <c:pt idx="18">
                        <c:v>967.47500000000002</c:v>
                      </c:pt>
                      <c:pt idx="19">
                        <c:v>971.09375</c:v>
                      </c:pt>
                      <c:pt idx="20">
                        <c:v>974.71249999999998</c:v>
                      </c:pt>
                      <c:pt idx="21">
                        <c:v>978.33124999999995</c:v>
                      </c:pt>
                      <c:pt idx="22">
                        <c:v>981.95</c:v>
                      </c:pt>
                      <c:pt idx="23">
                        <c:v>985.56875000000002</c:v>
                      </c:pt>
                      <c:pt idx="24">
                        <c:v>989.1875</c:v>
                      </c:pt>
                      <c:pt idx="25">
                        <c:v>992.80624999999998</c:v>
                      </c:pt>
                      <c:pt idx="26">
                        <c:v>996.42499999999995</c:v>
                      </c:pt>
                      <c:pt idx="27">
                        <c:v>1000.04375</c:v>
                      </c:pt>
                      <c:pt idx="28">
                        <c:v>1003.6625</c:v>
                      </c:pt>
                      <c:pt idx="29">
                        <c:v>1007.28125</c:v>
                      </c:pt>
                      <c:pt idx="30">
                        <c:v>1010.9</c:v>
                      </c:pt>
                      <c:pt idx="31">
                        <c:v>1014.51875</c:v>
                      </c:pt>
                      <c:pt idx="32">
                        <c:v>1018.1375</c:v>
                      </c:pt>
                      <c:pt idx="33">
                        <c:v>1021.75625</c:v>
                      </c:pt>
                      <c:pt idx="34">
                        <c:v>1025.375</c:v>
                      </c:pt>
                      <c:pt idx="35">
                        <c:v>1028.9937500000001</c:v>
                      </c:pt>
                      <c:pt idx="36">
                        <c:v>1032.6125</c:v>
                      </c:pt>
                      <c:pt idx="37">
                        <c:v>1036.23125</c:v>
                      </c:pt>
                      <c:pt idx="38">
                        <c:v>1039.8499999999999</c:v>
                      </c:pt>
                      <c:pt idx="39">
                        <c:v>1043.46875</c:v>
                      </c:pt>
                      <c:pt idx="40">
                        <c:v>1047.0875000000001</c:v>
                      </c:pt>
                      <c:pt idx="41">
                        <c:v>1050.70625</c:v>
                      </c:pt>
                      <c:pt idx="42">
                        <c:v>1054.325</c:v>
                      </c:pt>
                      <c:pt idx="43">
                        <c:v>1057.9437499999999</c:v>
                      </c:pt>
                      <c:pt idx="44">
                        <c:v>1061.5625</c:v>
                      </c:pt>
                      <c:pt idx="45">
                        <c:v>1065.1812500000001</c:v>
                      </c:pt>
                      <c:pt idx="46">
                        <c:v>1068.8</c:v>
                      </c:pt>
                      <c:pt idx="47">
                        <c:v>1072.41875</c:v>
                      </c:pt>
                      <c:pt idx="48">
                        <c:v>1076.0374999999999</c:v>
                      </c:pt>
                      <c:pt idx="49">
                        <c:v>1079.65625</c:v>
                      </c:pt>
                      <c:pt idx="50">
                        <c:v>1083.2750000000001</c:v>
                      </c:pt>
                      <c:pt idx="51">
                        <c:v>1086.89375</c:v>
                      </c:pt>
                      <c:pt idx="52">
                        <c:v>1090.5125</c:v>
                      </c:pt>
                      <c:pt idx="53">
                        <c:v>1094.1312499999999</c:v>
                      </c:pt>
                      <c:pt idx="54">
                        <c:v>1097.75</c:v>
                      </c:pt>
                      <c:pt idx="55">
                        <c:v>1101.3687500000001</c:v>
                      </c:pt>
                      <c:pt idx="56">
                        <c:v>1104.9875</c:v>
                      </c:pt>
                      <c:pt idx="57">
                        <c:v>1108.60625</c:v>
                      </c:pt>
                      <c:pt idx="58">
                        <c:v>1112.2249999999999</c:v>
                      </c:pt>
                      <c:pt idx="59">
                        <c:v>1115.84375</c:v>
                      </c:pt>
                      <c:pt idx="60">
                        <c:v>1119.4625000000001</c:v>
                      </c:pt>
                      <c:pt idx="61">
                        <c:v>1123.08125</c:v>
                      </c:pt>
                      <c:pt idx="62">
                        <c:v>1126.7</c:v>
                      </c:pt>
                      <c:pt idx="63">
                        <c:v>1130.3187499999999</c:v>
                      </c:pt>
                      <c:pt idx="64">
                        <c:v>1133.9375</c:v>
                      </c:pt>
                      <c:pt idx="65">
                        <c:v>1137.5562500000001</c:v>
                      </c:pt>
                      <c:pt idx="66">
                        <c:v>1141.175</c:v>
                      </c:pt>
                      <c:pt idx="67">
                        <c:v>1144.79375</c:v>
                      </c:pt>
                      <c:pt idx="68">
                        <c:v>1148.4124999999999</c:v>
                      </c:pt>
                      <c:pt idx="69">
                        <c:v>1152.03125</c:v>
                      </c:pt>
                      <c:pt idx="70">
                        <c:v>1155.6500000000001</c:v>
                      </c:pt>
                      <c:pt idx="71">
                        <c:v>1159.26875</c:v>
                      </c:pt>
                      <c:pt idx="72">
                        <c:v>1162.8875</c:v>
                      </c:pt>
                      <c:pt idx="73">
                        <c:v>1166.5062499999999</c:v>
                      </c:pt>
                      <c:pt idx="74">
                        <c:v>1170.125</c:v>
                      </c:pt>
                      <c:pt idx="75">
                        <c:v>1173.7437500000001</c:v>
                      </c:pt>
                      <c:pt idx="76">
                        <c:v>1177.3625</c:v>
                      </c:pt>
                      <c:pt idx="77">
                        <c:v>1180.98125</c:v>
                      </c:pt>
                      <c:pt idx="78">
                        <c:v>1184.5999999999999</c:v>
                      </c:pt>
                      <c:pt idx="79">
                        <c:v>1188.21875</c:v>
                      </c:pt>
                      <c:pt idx="80">
                        <c:v>1191.8375000000001</c:v>
                      </c:pt>
                      <c:pt idx="81">
                        <c:v>1195.45625</c:v>
                      </c:pt>
                      <c:pt idx="82">
                        <c:v>1199.075</c:v>
                      </c:pt>
                      <c:pt idx="83">
                        <c:v>1202.6937499999999</c:v>
                      </c:pt>
                      <c:pt idx="84">
                        <c:v>1206.3125</c:v>
                      </c:pt>
                      <c:pt idx="85">
                        <c:v>1209.9312500000001</c:v>
                      </c:pt>
                      <c:pt idx="86">
                        <c:v>1213.55</c:v>
                      </c:pt>
                      <c:pt idx="87">
                        <c:v>1217.16875</c:v>
                      </c:pt>
                      <c:pt idx="88">
                        <c:v>1220.7874999999999</c:v>
                      </c:pt>
                      <c:pt idx="89">
                        <c:v>1224.40625</c:v>
                      </c:pt>
                      <c:pt idx="90">
                        <c:v>1228.0250000000001</c:v>
                      </c:pt>
                      <c:pt idx="91">
                        <c:v>1231.64375</c:v>
                      </c:pt>
                      <c:pt idx="92">
                        <c:v>1235.2625</c:v>
                      </c:pt>
                      <c:pt idx="93">
                        <c:v>1238.8812499999999</c:v>
                      </c:pt>
                      <c:pt idx="94">
                        <c:v>1242.5</c:v>
                      </c:pt>
                      <c:pt idx="95">
                        <c:v>1246.1187500000001</c:v>
                      </c:pt>
                      <c:pt idx="96">
                        <c:v>1249.7375</c:v>
                      </c:pt>
                      <c:pt idx="97">
                        <c:v>1253.35625</c:v>
                      </c:pt>
                      <c:pt idx="98">
                        <c:v>1256.9749999999999</c:v>
                      </c:pt>
                      <c:pt idx="99">
                        <c:v>1260.59375</c:v>
                      </c:pt>
                      <c:pt idx="100">
                        <c:v>1264.2125000000001</c:v>
                      </c:pt>
                      <c:pt idx="101">
                        <c:v>1267.83125</c:v>
                      </c:pt>
                      <c:pt idx="102">
                        <c:v>1271.45</c:v>
                      </c:pt>
                      <c:pt idx="103">
                        <c:v>1275.0687499999999</c:v>
                      </c:pt>
                      <c:pt idx="104">
                        <c:v>1278.6875</c:v>
                      </c:pt>
                      <c:pt idx="105">
                        <c:v>1282.3062500000001</c:v>
                      </c:pt>
                      <c:pt idx="106">
                        <c:v>1285.9250000000002</c:v>
                      </c:pt>
                      <c:pt idx="107">
                        <c:v>1289.54375</c:v>
                      </c:pt>
                      <c:pt idx="108">
                        <c:v>1293.1624999999999</c:v>
                      </c:pt>
                      <c:pt idx="109">
                        <c:v>1296.78125</c:v>
                      </c:pt>
                      <c:pt idx="110">
                        <c:v>1300.4000000000001</c:v>
                      </c:pt>
                      <c:pt idx="111">
                        <c:v>1304.0187500000002</c:v>
                      </c:pt>
                      <c:pt idx="112">
                        <c:v>1307.6375</c:v>
                      </c:pt>
                      <c:pt idx="113">
                        <c:v>1311.2562499999999</c:v>
                      </c:pt>
                      <c:pt idx="114">
                        <c:v>1314.875</c:v>
                      </c:pt>
                      <c:pt idx="115">
                        <c:v>1318.4937500000001</c:v>
                      </c:pt>
                      <c:pt idx="116">
                        <c:v>1322.1125000000002</c:v>
                      </c:pt>
                      <c:pt idx="117">
                        <c:v>1325.73125</c:v>
                      </c:pt>
                      <c:pt idx="118">
                        <c:v>1329.35</c:v>
                      </c:pt>
                      <c:pt idx="119">
                        <c:v>1332.96875</c:v>
                      </c:pt>
                      <c:pt idx="120">
                        <c:v>1336.5875000000001</c:v>
                      </c:pt>
                      <c:pt idx="121">
                        <c:v>1340.2062500000002</c:v>
                      </c:pt>
                      <c:pt idx="122">
                        <c:v>1343.825</c:v>
                      </c:pt>
                      <c:pt idx="123">
                        <c:v>1347.4437499999999</c:v>
                      </c:pt>
                      <c:pt idx="124">
                        <c:v>1351.0625</c:v>
                      </c:pt>
                      <c:pt idx="125">
                        <c:v>1354.6812500000001</c:v>
                      </c:pt>
                      <c:pt idx="126">
                        <c:v>1358.3000000000002</c:v>
                      </c:pt>
                      <c:pt idx="127">
                        <c:v>1361.91875</c:v>
                      </c:pt>
                      <c:pt idx="128">
                        <c:v>1365.5374999999999</c:v>
                      </c:pt>
                      <c:pt idx="129">
                        <c:v>1369.15625</c:v>
                      </c:pt>
                      <c:pt idx="130">
                        <c:v>1372.7750000000001</c:v>
                      </c:pt>
                      <c:pt idx="131">
                        <c:v>1376.3937500000002</c:v>
                      </c:pt>
                      <c:pt idx="132">
                        <c:v>1380.0125</c:v>
                      </c:pt>
                      <c:pt idx="133">
                        <c:v>1383.6312499999999</c:v>
                      </c:pt>
                      <c:pt idx="134">
                        <c:v>1387.25</c:v>
                      </c:pt>
                      <c:pt idx="135">
                        <c:v>1390.8687500000001</c:v>
                      </c:pt>
                      <c:pt idx="136">
                        <c:v>1394.4875000000002</c:v>
                      </c:pt>
                      <c:pt idx="137">
                        <c:v>1398.10625</c:v>
                      </c:pt>
                      <c:pt idx="138">
                        <c:v>1401.7249999999999</c:v>
                      </c:pt>
                      <c:pt idx="139">
                        <c:v>1405.34375</c:v>
                      </c:pt>
                      <c:pt idx="140">
                        <c:v>1408.9625000000001</c:v>
                      </c:pt>
                      <c:pt idx="141">
                        <c:v>1412.5812500000002</c:v>
                      </c:pt>
                      <c:pt idx="142">
                        <c:v>1416.2</c:v>
                      </c:pt>
                      <c:pt idx="143">
                        <c:v>1419.8187499999999</c:v>
                      </c:pt>
                      <c:pt idx="144">
                        <c:v>1423.4375</c:v>
                      </c:pt>
                      <c:pt idx="145">
                        <c:v>1427.0562500000001</c:v>
                      </c:pt>
                      <c:pt idx="146">
                        <c:v>1430.6750000000002</c:v>
                      </c:pt>
                      <c:pt idx="147">
                        <c:v>1434.29375</c:v>
                      </c:pt>
                      <c:pt idx="148">
                        <c:v>1437.9124999999999</c:v>
                      </c:pt>
                      <c:pt idx="149">
                        <c:v>1441.53125</c:v>
                      </c:pt>
                      <c:pt idx="150">
                        <c:v>1445.15</c:v>
                      </c:pt>
                      <c:pt idx="151">
                        <c:v>1448.7687500000002</c:v>
                      </c:pt>
                      <c:pt idx="152">
                        <c:v>1452.3875</c:v>
                      </c:pt>
                      <c:pt idx="153">
                        <c:v>1456.0062499999999</c:v>
                      </c:pt>
                      <c:pt idx="154">
                        <c:v>1459.625</c:v>
                      </c:pt>
                      <c:pt idx="155">
                        <c:v>1463.2437500000001</c:v>
                      </c:pt>
                      <c:pt idx="156">
                        <c:v>1466.8625000000002</c:v>
                      </c:pt>
                      <c:pt idx="157">
                        <c:v>1470.48125</c:v>
                      </c:pt>
                      <c:pt idx="158">
                        <c:v>1474.1</c:v>
                      </c:pt>
                      <c:pt idx="159">
                        <c:v>1477.71875</c:v>
                      </c:pt>
                      <c:pt idx="160">
                        <c:v>1481.3375000000001</c:v>
                      </c:pt>
                      <c:pt idx="161">
                        <c:v>1484.9562500000002</c:v>
                      </c:pt>
                      <c:pt idx="162">
                        <c:v>1488.575</c:v>
                      </c:pt>
                      <c:pt idx="163">
                        <c:v>1492.1937499999999</c:v>
                      </c:pt>
                      <c:pt idx="164">
                        <c:v>1495.8125</c:v>
                      </c:pt>
                      <c:pt idx="165">
                        <c:v>1499.4312500000001</c:v>
                      </c:pt>
                      <c:pt idx="166">
                        <c:v>1503.0500000000002</c:v>
                      </c:pt>
                      <c:pt idx="167">
                        <c:v>1506.66875</c:v>
                      </c:pt>
                      <c:pt idx="168">
                        <c:v>1510.2874999999999</c:v>
                      </c:pt>
                      <c:pt idx="169">
                        <c:v>1513.90625</c:v>
                      </c:pt>
                      <c:pt idx="170">
                        <c:v>1517.5250000000001</c:v>
                      </c:pt>
                      <c:pt idx="171">
                        <c:v>1521.1437500000002</c:v>
                      </c:pt>
                      <c:pt idx="172">
                        <c:v>1524.7625</c:v>
                      </c:pt>
                      <c:pt idx="173">
                        <c:v>1528.3812499999999</c:v>
                      </c:pt>
                      <c:pt idx="174">
                        <c:v>1532</c:v>
                      </c:pt>
                      <c:pt idx="175">
                        <c:v>1535.6187500000001</c:v>
                      </c:pt>
                      <c:pt idx="176">
                        <c:v>1539.2375000000002</c:v>
                      </c:pt>
                      <c:pt idx="177">
                        <c:v>1542.85625</c:v>
                      </c:pt>
                      <c:pt idx="178">
                        <c:v>1546.4749999999999</c:v>
                      </c:pt>
                      <c:pt idx="179">
                        <c:v>1550.09375</c:v>
                      </c:pt>
                      <c:pt idx="180">
                        <c:v>1553.7125000000001</c:v>
                      </c:pt>
                      <c:pt idx="181">
                        <c:v>1557.3312500000002</c:v>
                      </c:pt>
                      <c:pt idx="182">
                        <c:v>1560.95</c:v>
                      </c:pt>
                      <c:pt idx="183">
                        <c:v>1564.5687499999999</c:v>
                      </c:pt>
                      <c:pt idx="184">
                        <c:v>1568.1875</c:v>
                      </c:pt>
                      <c:pt idx="185">
                        <c:v>1571.8062500000001</c:v>
                      </c:pt>
                      <c:pt idx="186">
                        <c:v>1575.4250000000002</c:v>
                      </c:pt>
                      <c:pt idx="187">
                        <c:v>1579.04375</c:v>
                      </c:pt>
                      <c:pt idx="188">
                        <c:v>1582.6624999999999</c:v>
                      </c:pt>
                      <c:pt idx="189">
                        <c:v>1586.28125</c:v>
                      </c:pt>
                      <c:pt idx="190">
                        <c:v>1589.9</c:v>
                      </c:pt>
                      <c:pt idx="191">
                        <c:v>1593.5187500000002</c:v>
                      </c:pt>
                      <c:pt idx="192">
                        <c:v>1597.1375</c:v>
                      </c:pt>
                      <c:pt idx="193">
                        <c:v>1600.7562499999999</c:v>
                      </c:pt>
                      <c:pt idx="194">
                        <c:v>1604.375</c:v>
                      </c:pt>
                      <c:pt idx="195">
                        <c:v>1607.9937500000001</c:v>
                      </c:pt>
                      <c:pt idx="196">
                        <c:v>1611.6125000000002</c:v>
                      </c:pt>
                      <c:pt idx="197">
                        <c:v>1615.23125</c:v>
                      </c:pt>
                      <c:pt idx="198">
                        <c:v>1618.85</c:v>
                      </c:pt>
                      <c:pt idx="199">
                        <c:v>1622.46875</c:v>
                      </c:pt>
                      <c:pt idx="200">
                        <c:v>1626.0875000000001</c:v>
                      </c:pt>
                      <c:pt idx="201">
                        <c:v>1629.7062500000002</c:v>
                      </c:pt>
                      <c:pt idx="202">
                        <c:v>1633.325</c:v>
                      </c:pt>
                      <c:pt idx="203">
                        <c:v>1636.9437499999999</c:v>
                      </c:pt>
                      <c:pt idx="204">
                        <c:v>1640.5625</c:v>
                      </c:pt>
                      <c:pt idx="205">
                        <c:v>1644.1812500000001</c:v>
                      </c:pt>
                      <c:pt idx="206">
                        <c:v>1647.8000000000002</c:v>
                      </c:pt>
                      <c:pt idx="207">
                        <c:v>1651.41875</c:v>
                      </c:pt>
                      <c:pt idx="208">
                        <c:v>1655.0374999999999</c:v>
                      </c:pt>
                      <c:pt idx="209">
                        <c:v>1658.65625</c:v>
                      </c:pt>
                      <c:pt idx="210">
                        <c:v>1662.2750000000001</c:v>
                      </c:pt>
                      <c:pt idx="211">
                        <c:v>1665.8937500000002</c:v>
                      </c:pt>
                      <c:pt idx="212">
                        <c:v>1669.5125</c:v>
                      </c:pt>
                      <c:pt idx="213">
                        <c:v>1673.1312499999999</c:v>
                      </c:pt>
                      <c:pt idx="214">
                        <c:v>1676.75</c:v>
                      </c:pt>
                      <c:pt idx="215">
                        <c:v>1680.3687500000001</c:v>
                      </c:pt>
                      <c:pt idx="216">
                        <c:v>1683.9875000000002</c:v>
                      </c:pt>
                      <c:pt idx="217">
                        <c:v>1687.60625</c:v>
                      </c:pt>
                      <c:pt idx="218">
                        <c:v>1691.2249999999999</c:v>
                      </c:pt>
                      <c:pt idx="219">
                        <c:v>1694.84375</c:v>
                      </c:pt>
                      <c:pt idx="220">
                        <c:v>1698.4625000000001</c:v>
                      </c:pt>
                      <c:pt idx="221">
                        <c:v>1702.0812500000002</c:v>
                      </c:pt>
                      <c:pt idx="222">
                        <c:v>1705.7</c:v>
                      </c:pt>
                      <c:pt idx="223">
                        <c:v>1709.3187499999999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Analysis!$J$42:$J$265</c15:sqref>
                        </c15:formulaRef>
                      </c:ext>
                    </c:extLst>
                    <c:numCache>
                      <c:formatCode>0.000</c:formatCode>
                      <c:ptCount val="224"/>
                      <c:pt idx="0">
                        <c:v>1.0002609603340293</c:v>
                      </c:pt>
                      <c:pt idx="1">
                        <c:v>0.99973944762897338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0.99973931178310738</c:v>
                      </c:pt>
                      <c:pt idx="5">
                        <c:v>0.9997389715478987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1.0002610284521012</c:v>
                      </c:pt>
                      <c:pt idx="12">
                        <c:v>1</c:v>
                      </c:pt>
                      <c:pt idx="13">
                        <c:v>0.99973924380704038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0.99973937972374249</c:v>
                      </c:pt>
                      <c:pt idx="17">
                        <c:v>1</c:v>
                      </c:pt>
                      <c:pt idx="18">
                        <c:v>1.0002612330198537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0.9997387669801463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0.9997389715478987</c:v>
                      </c:pt>
                      <c:pt idx="25">
                        <c:v>0.99973917579551386</c:v>
                      </c:pt>
                      <c:pt idx="26">
                        <c:v>0.99973869871962373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1.0002604166666667</c:v>
                      </c:pt>
                      <c:pt idx="30">
                        <c:v>1</c:v>
                      </c:pt>
                      <c:pt idx="31">
                        <c:v>0.99973883520501439</c:v>
                      </c:pt>
                      <c:pt idx="32">
                        <c:v>1</c:v>
                      </c:pt>
                      <c:pt idx="33">
                        <c:v>0.99973951549882778</c:v>
                      </c:pt>
                      <c:pt idx="34">
                        <c:v>1</c:v>
                      </c:pt>
                      <c:pt idx="35">
                        <c:v>0.99973903966597077</c:v>
                      </c:pt>
                      <c:pt idx="36">
                        <c:v>1</c:v>
                      </c:pt>
                      <c:pt idx="37">
                        <c:v>1.0005228758169935</c:v>
                      </c:pt>
                      <c:pt idx="38">
                        <c:v>1.0005223295899712</c:v>
                      </c:pt>
                      <c:pt idx="39">
                        <c:v>1.0002613695765812</c:v>
                      </c:pt>
                      <c:pt idx="40">
                        <c:v>1.0002606202762574</c:v>
                      </c:pt>
                      <c:pt idx="41">
                        <c:v>1</c:v>
                      </c:pt>
                      <c:pt idx="42">
                        <c:v>1.0002612330198537</c:v>
                      </c:pt>
                      <c:pt idx="43">
                        <c:v>1.0002610966057441</c:v>
                      </c:pt>
                      <c:pt idx="44">
                        <c:v>1</c:v>
                      </c:pt>
                      <c:pt idx="45">
                        <c:v>1.0002607561929595</c:v>
                      </c:pt>
                      <c:pt idx="46">
                        <c:v>1</c:v>
                      </c:pt>
                      <c:pt idx="47">
                        <c:v>1.0002610284521012</c:v>
                      </c:pt>
                      <c:pt idx="48">
                        <c:v>1.0002608242044861</c:v>
                      </c:pt>
                      <c:pt idx="49">
                        <c:v>0.99973869871962373</c:v>
                      </c:pt>
                      <c:pt idx="50">
                        <c:v>0.99973910774849983</c:v>
                      </c:pt>
                      <c:pt idx="51">
                        <c:v>0.99947739743924746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1.0002615746795711</c:v>
                      </c:pt>
                      <c:pt idx="55">
                        <c:v>1</c:v>
                      </c:pt>
                      <c:pt idx="56">
                        <c:v>0.9997389715478987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0.99973910774849983</c:v>
                      </c:pt>
                      <c:pt idx="60">
                        <c:v>0.99973883520501439</c:v>
                      </c:pt>
                      <c:pt idx="61">
                        <c:v>0.99973937972374249</c:v>
                      </c:pt>
                      <c:pt idx="62">
                        <c:v>0.99973890339425586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1.0002612330198537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0.9997387669801463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0.99973883520501439</c:v>
                      </c:pt>
                      <c:pt idx="73">
                        <c:v>1</c:v>
                      </c:pt>
                      <c:pt idx="74">
                        <c:v>1.0002610284521012</c:v>
                      </c:pt>
                      <c:pt idx="75">
                        <c:v>0.99973883520501439</c:v>
                      </c:pt>
                      <c:pt idx="76">
                        <c:v>1</c:v>
                      </c:pt>
                      <c:pt idx="77">
                        <c:v>1.0002606202762574</c:v>
                      </c:pt>
                      <c:pt idx="78">
                        <c:v>1.0005223295899712</c:v>
                      </c:pt>
                      <c:pt idx="79">
                        <c:v>1.0002612330198537</c:v>
                      </c:pt>
                      <c:pt idx="80">
                        <c:v>1</c:v>
                      </c:pt>
                      <c:pt idx="81">
                        <c:v>1.0002610284521012</c:v>
                      </c:pt>
                      <c:pt idx="82">
                        <c:v>1</c:v>
                      </c:pt>
                      <c:pt idx="83">
                        <c:v>1.0002610966057441</c:v>
                      </c:pt>
                      <c:pt idx="84">
                        <c:v>1.0002613012803763</c:v>
                      </c:pt>
                      <c:pt idx="85">
                        <c:v>1.0002608922515002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0.99973910774849983</c:v>
                      </c:pt>
                      <c:pt idx="89">
                        <c:v>1</c:v>
                      </c:pt>
                      <c:pt idx="90">
                        <c:v>1.0002610284521012</c:v>
                      </c:pt>
                      <c:pt idx="91">
                        <c:v>1</c:v>
                      </c:pt>
                      <c:pt idx="92">
                        <c:v>1.0002615062761506</c:v>
                      </c:pt>
                      <c:pt idx="93">
                        <c:v>0.99973863042341871</c:v>
                      </c:pt>
                      <c:pt idx="94">
                        <c:v>1.0002613695765812</c:v>
                      </c:pt>
                      <c:pt idx="95">
                        <c:v>0.9997387669801463</c:v>
                      </c:pt>
                      <c:pt idx="96">
                        <c:v>1</c:v>
                      </c:pt>
                      <c:pt idx="97">
                        <c:v>0.99973890339425586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0.99973903966597077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0.99973869871962373</c:v>
                      </c:pt>
                      <c:pt idx="111">
                        <c:v>1.0002609603340293</c:v>
                      </c:pt>
                      <c:pt idx="112">
                        <c:v>1.0002612330198537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0.99973883520501439</c:v>
                      </c:pt>
                      <c:pt idx="116">
                        <c:v>1.0002606202762574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1.0002608922515002</c:v>
                      </c:pt>
                      <c:pt idx="121">
                        <c:v>1.0002610284521012</c:v>
                      </c:pt>
                      <c:pt idx="122">
                        <c:v>1.0002612330198537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1.0002610966057441</c:v>
                      </c:pt>
                      <c:pt idx="129">
                        <c:v>1.0002610966057441</c:v>
                      </c:pt>
                      <c:pt idx="130">
                        <c:v>1.0002615746795711</c:v>
                      </c:pt>
                      <c:pt idx="131">
                        <c:v>0.99973883520501439</c:v>
                      </c:pt>
                      <c:pt idx="132">
                        <c:v>1</c:v>
                      </c:pt>
                      <c:pt idx="133">
                        <c:v>1.0002615746795711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0.99973903966597077</c:v>
                      </c:pt>
                      <c:pt idx="137">
                        <c:v>1.0002609603340293</c:v>
                      </c:pt>
                      <c:pt idx="138">
                        <c:v>1.0002615746795711</c:v>
                      </c:pt>
                      <c:pt idx="139">
                        <c:v>1.0002613695765812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0.99947903099765567</c:v>
                      </c:pt>
                      <c:pt idx="143">
                        <c:v>1</c:v>
                      </c:pt>
                      <c:pt idx="144">
                        <c:v>0.99973856209150325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1.0002613695765812</c:v>
                      </c:pt>
                      <c:pt idx="148">
                        <c:v>0.99947767041002877</c:v>
                      </c:pt>
                      <c:pt idx="149">
                        <c:v>1.0002609603340293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0.99973910774849983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1.0002610966057441</c:v>
                      </c:pt>
                      <c:pt idx="157">
                        <c:v>1.0002613695765812</c:v>
                      </c:pt>
                      <c:pt idx="158">
                        <c:v>1</c:v>
                      </c:pt>
                      <c:pt idx="159">
                        <c:v>1.0002609603340293</c:v>
                      </c:pt>
                      <c:pt idx="160">
                        <c:v>0.99973944762897338</c:v>
                      </c:pt>
                      <c:pt idx="161">
                        <c:v>1.0005217845030003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1.0005220569042026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1.0002601456815816</c:v>
                      </c:pt>
                      <c:pt idx="168">
                        <c:v>1.0002608922515002</c:v>
                      </c:pt>
                      <c:pt idx="169">
                        <c:v>1.0002608242044861</c:v>
                      </c:pt>
                      <c:pt idx="170">
                        <c:v>1.0002604166666667</c:v>
                      </c:pt>
                      <c:pt idx="171">
                        <c:v>0.99973890339425586</c:v>
                      </c:pt>
                      <c:pt idx="172">
                        <c:v>1.0002607561929595</c:v>
                      </c:pt>
                      <c:pt idx="173">
                        <c:v>0.99973903966597077</c:v>
                      </c:pt>
                      <c:pt idx="174">
                        <c:v>1.0002606202762574</c:v>
                      </c:pt>
                      <c:pt idx="175">
                        <c:v>1</c:v>
                      </c:pt>
                      <c:pt idx="176">
                        <c:v>1.0002613695765812</c:v>
                      </c:pt>
                      <c:pt idx="177">
                        <c:v>0.99973924380704038</c:v>
                      </c:pt>
                      <c:pt idx="178">
                        <c:v>1</c:v>
                      </c:pt>
                      <c:pt idx="179">
                        <c:v>1.0005209690023444</c:v>
                      </c:pt>
                      <c:pt idx="180">
                        <c:v>0.99973937972374249</c:v>
                      </c:pt>
                      <c:pt idx="181">
                        <c:v>1</c:v>
                      </c:pt>
                      <c:pt idx="182">
                        <c:v>1.0002602811035919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0.99973869871962373</c:v>
                      </c:pt>
                      <c:pt idx="186">
                        <c:v>0.99973937972374249</c:v>
                      </c:pt>
                      <c:pt idx="187">
                        <c:v>1.0005219206680585</c:v>
                      </c:pt>
                      <c:pt idx="188">
                        <c:v>0.999738425320429</c:v>
                      </c:pt>
                      <c:pt idx="189">
                        <c:v>0.9997389715478987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0.99973883520501439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1.0002614379084966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0.99973890339425586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1.0002613695765812</c:v>
                      </c:pt>
                      <c:pt idx="208">
                        <c:v>1</c:v>
                      </c:pt>
                      <c:pt idx="209">
                        <c:v>1.0002606882168925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1.0002606202762574</c:v>
                      </c:pt>
                      <c:pt idx="214">
                        <c:v>0.99973931178310738</c:v>
                      </c:pt>
                      <c:pt idx="215">
                        <c:v>1.0002611647949857</c:v>
                      </c:pt>
                      <c:pt idx="216">
                        <c:v>0.99973924380704038</c:v>
                      </c:pt>
                      <c:pt idx="217">
                        <c:v>1.0002610284521012</c:v>
                      </c:pt>
                      <c:pt idx="218">
                        <c:v>1.000523149359142</c:v>
                      </c:pt>
                      <c:pt idx="219">
                        <c:v>1</c:v>
                      </c:pt>
                      <c:pt idx="220">
                        <c:v>0.99973903966597077</c:v>
                      </c:pt>
                      <c:pt idx="221">
                        <c:v>1.0002606882168925</c:v>
                      </c:pt>
                      <c:pt idx="222">
                        <c:v>1</c:v>
                      </c:pt>
                      <c:pt idx="223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CFA-467B-9772-44740E50823C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SWIR_Med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Analysis!$I$42:$I$265</c15:sqref>
                        </c15:formulaRef>
                      </c:ext>
                    </c:extLst>
                    <c:numCache>
                      <c:formatCode>General</c:formatCode>
                      <c:ptCount val="224"/>
                      <c:pt idx="0">
                        <c:v>902.33749999999998</c:v>
                      </c:pt>
                      <c:pt idx="1">
                        <c:v>905.95624999999995</c:v>
                      </c:pt>
                      <c:pt idx="2">
                        <c:v>909.57500000000005</c:v>
                      </c:pt>
                      <c:pt idx="3">
                        <c:v>913.19375000000002</c:v>
                      </c:pt>
                      <c:pt idx="4">
                        <c:v>916.8125</c:v>
                      </c:pt>
                      <c:pt idx="5">
                        <c:v>920.43124999999998</c:v>
                      </c:pt>
                      <c:pt idx="6">
                        <c:v>924.05</c:v>
                      </c:pt>
                      <c:pt idx="7">
                        <c:v>927.66875000000005</c:v>
                      </c:pt>
                      <c:pt idx="8">
                        <c:v>931.28750000000002</c:v>
                      </c:pt>
                      <c:pt idx="9">
                        <c:v>934.90625</c:v>
                      </c:pt>
                      <c:pt idx="10">
                        <c:v>938.52499999999998</c:v>
                      </c:pt>
                      <c:pt idx="11">
                        <c:v>942.14374999999995</c:v>
                      </c:pt>
                      <c:pt idx="12">
                        <c:v>945.76250000000005</c:v>
                      </c:pt>
                      <c:pt idx="13">
                        <c:v>949.38125000000002</c:v>
                      </c:pt>
                      <c:pt idx="14">
                        <c:v>953</c:v>
                      </c:pt>
                      <c:pt idx="15">
                        <c:v>956.61874999999998</c:v>
                      </c:pt>
                      <c:pt idx="16">
                        <c:v>960.23749999999995</c:v>
                      </c:pt>
                      <c:pt idx="17">
                        <c:v>963.85625000000005</c:v>
                      </c:pt>
                      <c:pt idx="18">
                        <c:v>967.47500000000002</c:v>
                      </c:pt>
                      <c:pt idx="19">
                        <c:v>971.09375</c:v>
                      </c:pt>
                      <c:pt idx="20">
                        <c:v>974.71249999999998</c:v>
                      </c:pt>
                      <c:pt idx="21">
                        <c:v>978.33124999999995</c:v>
                      </c:pt>
                      <c:pt idx="22">
                        <c:v>981.95</c:v>
                      </c:pt>
                      <c:pt idx="23">
                        <c:v>985.56875000000002</c:v>
                      </c:pt>
                      <c:pt idx="24">
                        <c:v>989.1875</c:v>
                      </c:pt>
                      <c:pt idx="25">
                        <c:v>992.80624999999998</c:v>
                      </c:pt>
                      <c:pt idx="26">
                        <c:v>996.42499999999995</c:v>
                      </c:pt>
                      <c:pt idx="27">
                        <c:v>1000.04375</c:v>
                      </c:pt>
                      <c:pt idx="28">
                        <c:v>1003.6625</c:v>
                      </c:pt>
                      <c:pt idx="29">
                        <c:v>1007.28125</c:v>
                      </c:pt>
                      <c:pt idx="30">
                        <c:v>1010.9</c:v>
                      </c:pt>
                      <c:pt idx="31">
                        <c:v>1014.51875</c:v>
                      </c:pt>
                      <c:pt idx="32">
                        <c:v>1018.1375</c:v>
                      </c:pt>
                      <c:pt idx="33">
                        <c:v>1021.75625</c:v>
                      </c:pt>
                      <c:pt idx="34">
                        <c:v>1025.375</c:v>
                      </c:pt>
                      <c:pt idx="35">
                        <c:v>1028.9937500000001</c:v>
                      </c:pt>
                      <c:pt idx="36">
                        <c:v>1032.6125</c:v>
                      </c:pt>
                      <c:pt idx="37">
                        <c:v>1036.23125</c:v>
                      </c:pt>
                      <c:pt idx="38">
                        <c:v>1039.8499999999999</c:v>
                      </c:pt>
                      <c:pt idx="39">
                        <c:v>1043.46875</c:v>
                      </c:pt>
                      <c:pt idx="40">
                        <c:v>1047.0875000000001</c:v>
                      </c:pt>
                      <c:pt idx="41">
                        <c:v>1050.70625</c:v>
                      </c:pt>
                      <c:pt idx="42">
                        <c:v>1054.325</c:v>
                      </c:pt>
                      <c:pt idx="43">
                        <c:v>1057.9437499999999</c:v>
                      </c:pt>
                      <c:pt idx="44">
                        <c:v>1061.5625</c:v>
                      </c:pt>
                      <c:pt idx="45">
                        <c:v>1065.1812500000001</c:v>
                      </c:pt>
                      <c:pt idx="46">
                        <c:v>1068.8</c:v>
                      </c:pt>
                      <c:pt idx="47">
                        <c:v>1072.41875</c:v>
                      </c:pt>
                      <c:pt idx="48">
                        <c:v>1076.0374999999999</c:v>
                      </c:pt>
                      <c:pt idx="49">
                        <c:v>1079.65625</c:v>
                      </c:pt>
                      <c:pt idx="50">
                        <c:v>1083.2750000000001</c:v>
                      </c:pt>
                      <c:pt idx="51">
                        <c:v>1086.89375</c:v>
                      </c:pt>
                      <c:pt idx="52">
                        <c:v>1090.5125</c:v>
                      </c:pt>
                      <c:pt idx="53">
                        <c:v>1094.1312499999999</c:v>
                      </c:pt>
                      <c:pt idx="54">
                        <c:v>1097.75</c:v>
                      </c:pt>
                      <c:pt idx="55">
                        <c:v>1101.3687500000001</c:v>
                      </c:pt>
                      <c:pt idx="56">
                        <c:v>1104.9875</c:v>
                      </c:pt>
                      <c:pt idx="57">
                        <c:v>1108.60625</c:v>
                      </c:pt>
                      <c:pt idx="58">
                        <c:v>1112.2249999999999</c:v>
                      </c:pt>
                      <c:pt idx="59">
                        <c:v>1115.84375</c:v>
                      </c:pt>
                      <c:pt idx="60">
                        <c:v>1119.4625000000001</c:v>
                      </c:pt>
                      <c:pt idx="61">
                        <c:v>1123.08125</c:v>
                      </c:pt>
                      <c:pt idx="62">
                        <c:v>1126.7</c:v>
                      </c:pt>
                      <c:pt idx="63">
                        <c:v>1130.3187499999999</c:v>
                      </c:pt>
                      <c:pt idx="64">
                        <c:v>1133.9375</c:v>
                      </c:pt>
                      <c:pt idx="65">
                        <c:v>1137.5562500000001</c:v>
                      </c:pt>
                      <c:pt idx="66">
                        <c:v>1141.175</c:v>
                      </c:pt>
                      <c:pt idx="67">
                        <c:v>1144.79375</c:v>
                      </c:pt>
                      <c:pt idx="68">
                        <c:v>1148.4124999999999</c:v>
                      </c:pt>
                      <c:pt idx="69">
                        <c:v>1152.03125</c:v>
                      </c:pt>
                      <c:pt idx="70">
                        <c:v>1155.6500000000001</c:v>
                      </c:pt>
                      <c:pt idx="71">
                        <c:v>1159.26875</c:v>
                      </c:pt>
                      <c:pt idx="72">
                        <c:v>1162.8875</c:v>
                      </c:pt>
                      <c:pt idx="73">
                        <c:v>1166.5062499999999</c:v>
                      </c:pt>
                      <c:pt idx="74">
                        <c:v>1170.125</c:v>
                      </c:pt>
                      <c:pt idx="75">
                        <c:v>1173.7437500000001</c:v>
                      </c:pt>
                      <c:pt idx="76">
                        <c:v>1177.3625</c:v>
                      </c:pt>
                      <c:pt idx="77">
                        <c:v>1180.98125</c:v>
                      </c:pt>
                      <c:pt idx="78">
                        <c:v>1184.5999999999999</c:v>
                      </c:pt>
                      <c:pt idx="79">
                        <c:v>1188.21875</c:v>
                      </c:pt>
                      <c:pt idx="80">
                        <c:v>1191.8375000000001</c:v>
                      </c:pt>
                      <c:pt idx="81">
                        <c:v>1195.45625</c:v>
                      </c:pt>
                      <c:pt idx="82">
                        <c:v>1199.075</c:v>
                      </c:pt>
                      <c:pt idx="83">
                        <c:v>1202.6937499999999</c:v>
                      </c:pt>
                      <c:pt idx="84">
                        <c:v>1206.3125</c:v>
                      </c:pt>
                      <c:pt idx="85">
                        <c:v>1209.9312500000001</c:v>
                      </c:pt>
                      <c:pt idx="86">
                        <c:v>1213.55</c:v>
                      </c:pt>
                      <c:pt idx="87">
                        <c:v>1217.16875</c:v>
                      </c:pt>
                      <c:pt idx="88">
                        <c:v>1220.7874999999999</c:v>
                      </c:pt>
                      <c:pt idx="89">
                        <c:v>1224.40625</c:v>
                      </c:pt>
                      <c:pt idx="90">
                        <c:v>1228.0250000000001</c:v>
                      </c:pt>
                      <c:pt idx="91">
                        <c:v>1231.64375</c:v>
                      </c:pt>
                      <c:pt idx="92">
                        <c:v>1235.2625</c:v>
                      </c:pt>
                      <c:pt idx="93">
                        <c:v>1238.8812499999999</c:v>
                      </c:pt>
                      <c:pt idx="94">
                        <c:v>1242.5</c:v>
                      </c:pt>
                      <c:pt idx="95">
                        <c:v>1246.1187500000001</c:v>
                      </c:pt>
                      <c:pt idx="96">
                        <c:v>1249.7375</c:v>
                      </c:pt>
                      <c:pt idx="97">
                        <c:v>1253.35625</c:v>
                      </c:pt>
                      <c:pt idx="98">
                        <c:v>1256.9749999999999</c:v>
                      </c:pt>
                      <c:pt idx="99">
                        <c:v>1260.59375</c:v>
                      </c:pt>
                      <c:pt idx="100">
                        <c:v>1264.2125000000001</c:v>
                      </c:pt>
                      <c:pt idx="101">
                        <c:v>1267.83125</c:v>
                      </c:pt>
                      <c:pt idx="102">
                        <c:v>1271.45</c:v>
                      </c:pt>
                      <c:pt idx="103">
                        <c:v>1275.0687499999999</c:v>
                      </c:pt>
                      <c:pt idx="104">
                        <c:v>1278.6875</c:v>
                      </c:pt>
                      <c:pt idx="105">
                        <c:v>1282.3062500000001</c:v>
                      </c:pt>
                      <c:pt idx="106">
                        <c:v>1285.9250000000002</c:v>
                      </c:pt>
                      <c:pt idx="107">
                        <c:v>1289.54375</c:v>
                      </c:pt>
                      <c:pt idx="108">
                        <c:v>1293.1624999999999</c:v>
                      </c:pt>
                      <c:pt idx="109">
                        <c:v>1296.78125</c:v>
                      </c:pt>
                      <c:pt idx="110">
                        <c:v>1300.4000000000001</c:v>
                      </c:pt>
                      <c:pt idx="111">
                        <c:v>1304.0187500000002</c:v>
                      </c:pt>
                      <c:pt idx="112">
                        <c:v>1307.6375</c:v>
                      </c:pt>
                      <c:pt idx="113">
                        <c:v>1311.2562499999999</c:v>
                      </c:pt>
                      <c:pt idx="114">
                        <c:v>1314.875</c:v>
                      </c:pt>
                      <c:pt idx="115">
                        <c:v>1318.4937500000001</c:v>
                      </c:pt>
                      <c:pt idx="116">
                        <c:v>1322.1125000000002</c:v>
                      </c:pt>
                      <c:pt idx="117">
                        <c:v>1325.73125</c:v>
                      </c:pt>
                      <c:pt idx="118">
                        <c:v>1329.35</c:v>
                      </c:pt>
                      <c:pt idx="119">
                        <c:v>1332.96875</c:v>
                      </c:pt>
                      <c:pt idx="120">
                        <c:v>1336.5875000000001</c:v>
                      </c:pt>
                      <c:pt idx="121">
                        <c:v>1340.2062500000002</c:v>
                      </c:pt>
                      <c:pt idx="122">
                        <c:v>1343.825</c:v>
                      </c:pt>
                      <c:pt idx="123">
                        <c:v>1347.4437499999999</c:v>
                      </c:pt>
                      <c:pt idx="124">
                        <c:v>1351.0625</c:v>
                      </c:pt>
                      <c:pt idx="125">
                        <c:v>1354.6812500000001</c:v>
                      </c:pt>
                      <c:pt idx="126">
                        <c:v>1358.3000000000002</c:v>
                      </c:pt>
                      <c:pt idx="127">
                        <c:v>1361.91875</c:v>
                      </c:pt>
                      <c:pt idx="128">
                        <c:v>1365.5374999999999</c:v>
                      </c:pt>
                      <c:pt idx="129">
                        <c:v>1369.15625</c:v>
                      </c:pt>
                      <c:pt idx="130">
                        <c:v>1372.7750000000001</c:v>
                      </c:pt>
                      <c:pt idx="131">
                        <c:v>1376.3937500000002</c:v>
                      </c:pt>
                      <c:pt idx="132">
                        <c:v>1380.0125</c:v>
                      </c:pt>
                      <c:pt idx="133">
                        <c:v>1383.6312499999999</c:v>
                      </c:pt>
                      <c:pt idx="134">
                        <c:v>1387.25</c:v>
                      </c:pt>
                      <c:pt idx="135">
                        <c:v>1390.8687500000001</c:v>
                      </c:pt>
                      <c:pt idx="136">
                        <c:v>1394.4875000000002</c:v>
                      </c:pt>
                      <c:pt idx="137">
                        <c:v>1398.10625</c:v>
                      </c:pt>
                      <c:pt idx="138">
                        <c:v>1401.7249999999999</c:v>
                      </c:pt>
                      <c:pt idx="139">
                        <c:v>1405.34375</c:v>
                      </c:pt>
                      <c:pt idx="140">
                        <c:v>1408.9625000000001</c:v>
                      </c:pt>
                      <c:pt idx="141">
                        <c:v>1412.5812500000002</c:v>
                      </c:pt>
                      <c:pt idx="142">
                        <c:v>1416.2</c:v>
                      </c:pt>
                      <c:pt idx="143">
                        <c:v>1419.8187499999999</c:v>
                      </c:pt>
                      <c:pt idx="144">
                        <c:v>1423.4375</c:v>
                      </c:pt>
                      <c:pt idx="145">
                        <c:v>1427.0562500000001</c:v>
                      </c:pt>
                      <c:pt idx="146">
                        <c:v>1430.6750000000002</c:v>
                      </c:pt>
                      <c:pt idx="147">
                        <c:v>1434.29375</c:v>
                      </c:pt>
                      <c:pt idx="148">
                        <c:v>1437.9124999999999</c:v>
                      </c:pt>
                      <c:pt idx="149">
                        <c:v>1441.53125</c:v>
                      </c:pt>
                      <c:pt idx="150">
                        <c:v>1445.15</c:v>
                      </c:pt>
                      <c:pt idx="151">
                        <c:v>1448.7687500000002</c:v>
                      </c:pt>
                      <c:pt idx="152">
                        <c:v>1452.3875</c:v>
                      </c:pt>
                      <c:pt idx="153">
                        <c:v>1456.0062499999999</c:v>
                      </c:pt>
                      <c:pt idx="154">
                        <c:v>1459.625</c:v>
                      </c:pt>
                      <c:pt idx="155">
                        <c:v>1463.2437500000001</c:v>
                      </c:pt>
                      <c:pt idx="156">
                        <c:v>1466.8625000000002</c:v>
                      </c:pt>
                      <c:pt idx="157">
                        <c:v>1470.48125</c:v>
                      </c:pt>
                      <c:pt idx="158">
                        <c:v>1474.1</c:v>
                      </c:pt>
                      <c:pt idx="159">
                        <c:v>1477.71875</c:v>
                      </c:pt>
                      <c:pt idx="160">
                        <c:v>1481.3375000000001</c:v>
                      </c:pt>
                      <c:pt idx="161">
                        <c:v>1484.9562500000002</c:v>
                      </c:pt>
                      <c:pt idx="162">
                        <c:v>1488.575</c:v>
                      </c:pt>
                      <c:pt idx="163">
                        <c:v>1492.1937499999999</c:v>
                      </c:pt>
                      <c:pt idx="164">
                        <c:v>1495.8125</c:v>
                      </c:pt>
                      <c:pt idx="165">
                        <c:v>1499.4312500000001</c:v>
                      </c:pt>
                      <c:pt idx="166">
                        <c:v>1503.0500000000002</c:v>
                      </c:pt>
                      <c:pt idx="167">
                        <c:v>1506.66875</c:v>
                      </c:pt>
                      <c:pt idx="168">
                        <c:v>1510.2874999999999</c:v>
                      </c:pt>
                      <c:pt idx="169">
                        <c:v>1513.90625</c:v>
                      </c:pt>
                      <c:pt idx="170">
                        <c:v>1517.5250000000001</c:v>
                      </c:pt>
                      <c:pt idx="171">
                        <c:v>1521.1437500000002</c:v>
                      </c:pt>
                      <c:pt idx="172">
                        <c:v>1524.7625</c:v>
                      </c:pt>
                      <c:pt idx="173">
                        <c:v>1528.3812499999999</c:v>
                      </c:pt>
                      <c:pt idx="174">
                        <c:v>1532</c:v>
                      </c:pt>
                      <c:pt idx="175">
                        <c:v>1535.6187500000001</c:v>
                      </c:pt>
                      <c:pt idx="176">
                        <c:v>1539.2375000000002</c:v>
                      </c:pt>
                      <c:pt idx="177">
                        <c:v>1542.85625</c:v>
                      </c:pt>
                      <c:pt idx="178">
                        <c:v>1546.4749999999999</c:v>
                      </c:pt>
                      <c:pt idx="179">
                        <c:v>1550.09375</c:v>
                      </c:pt>
                      <c:pt idx="180">
                        <c:v>1553.7125000000001</c:v>
                      </c:pt>
                      <c:pt idx="181">
                        <c:v>1557.3312500000002</c:v>
                      </c:pt>
                      <c:pt idx="182">
                        <c:v>1560.95</c:v>
                      </c:pt>
                      <c:pt idx="183">
                        <c:v>1564.5687499999999</c:v>
                      </c:pt>
                      <c:pt idx="184">
                        <c:v>1568.1875</c:v>
                      </c:pt>
                      <c:pt idx="185">
                        <c:v>1571.8062500000001</c:v>
                      </c:pt>
                      <c:pt idx="186">
                        <c:v>1575.4250000000002</c:v>
                      </c:pt>
                      <c:pt idx="187">
                        <c:v>1579.04375</c:v>
                      </c:pt>
                      <c:pt idx="188">
                        <c:v>1582.6624999999999</c:v>
                      </c:pt>
                      <c:pt idx="189">
                        <c:v>1586.28125</c:v>
                      </c:pt>
                      <c:pt idx="190">
                        <c:v>1589.9</c:v>
                      </c:pt>
                      <c:pt idx="191">
                        <c:v>1593.5187500000002</c:v>
                      </c:pt>
                      <c:pt idx="192">
                        <c:v>1597.1375</c:v>
                      </c:pt>
                      <c:pt idx="193">
                        <c:v>1600.7562499999999</c:v>
                      </c:pt>
                      <c:pt idx="194">
                        <c:v>1604.375</c:v>
                      </c:pt>
                      <c:pt idx="195">
                        <c:v>1607.9937500000001</c:v>
                      </c:pt>
                      <c:pt idx="196">
                        <c:v>1611.6125000000002</c:v>
                      </c:pt>
                      <c:pt idx="197">
                        <c:v>1615.23125</c:v>
                      </c:pt>
                      <c:pt idx="198">
                        <c:v>1618.85</c:v>
                      </c:pt>
                      <c:pt idx="199">
                        <c:v>1622.46875</c:v>
                      </c:pt>
                      <c:pt idx="200">
                        <c:v>1626.0875000000001</c:v>
                      </c:pt>
                      <c:pt idx="201">
                        <c:v>1629.7062500000002</c:v>
                      </c:pt>
                      <c:pt idx="202">
                        <c:v>1633.325</c:v>
                      </c:pt>
                      <c:pt idx="203">
                        <c:v>1636.9437499999999</c:v>
                      </c:pt>
                      <c:pt idx="204">
                        <c:v>1640.5625</c:v>
                      </c:pt>
                      <c:pt idx="205">
                        <c:v>1644.1812500000001</c:v>
                      </c:pt>
                      <c:pt idx="206">
                        <c:v>1647.8000000000002</c:v>
                      </c:pt>
                      <c:pt idx="207">
                        <c:v>1651.41875</c:v>
                      </c:pt>
                      <c:pt idx="208">
                        <c:v>1655.0374999999999</c:v>
                      </c:pt>
                      <c:pt idx="209">
                        <c:v>1658.65625</c:v>
                      </c:pt>
                      <c:pt idx="210">
                        <c:v>1662.2750000000001</c:v>
                      </c:pt>
                      <c:pt idx="211">
                        <c:v>1665.8937500000002</c:v>
                      </c:pt>
                      <c:pt idx="212">
                        <c:v>1669.5125</c:v>
                      </c:pt>
                      <c:pt idx="213">
                        <c:v>1673.1312499999999</c:v>
                      </c:pt>
                      <c:pt idx="214">
                        <c:v>1676.75</c:v>
                      </c:pt>
                      <c:pt idx="215">
                        <c:v>1680.3687500000001</c:v>
                      </c:pt>
                      <c:pt idx="216">
                        <c:v>1683.9875000000002</c:v>
                      </c:pt>
                      <c:pt idx="217">
                        <c:v>1687.60625</c:v>
                      </c:pt>
                      <c:pt idx="218">
                        <c:v>1691.2249999999999</c:v>
                      </c:pt>
                      <c:pt idx="219">
                        <c:v>1694.84375</c:v>
                      </c:pt>
                      <c:pt idx="220">
                        <c:v>1698.4625000000001</c:v>
                      </c:pt>
                      <c:pt idx="221">
                        <c:v>1702.0812500000002</c:v>
                      </c:pt>
                      <c:pt idx="222">
                        <c:v>1705.7</c:v>
                      </c:pt>
                      <c:pt idx="223">
                        <c:v>1709.3187499999999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Analysis!$K$42:$K$265</c15:sqref>
                        </c15:formulaRef>
                      </c:ext>
                    </c:extLst>
                    <c:numCache>
                      <c:formatCode>0.000</c:formatCode>
                      <c:ptCount val="224"/>
                      <c:pt idx="0">
                        <c:v>0.98737054811821168</c:v>
                      </c:pt>
                      <c:pt idx="1">
                        <c:v>0.98634294385432475</c:v>
                      </c:pt>
                      <c:pt idx="2">
                        <c:v>0.98456868201366055</c:v>
                      </c:pt>
                      <c:pt idx="3">
                        <c:v>0.98456477732793524</c:v>
                      </c:pt>
                      <c:pt idx="4">
                        <c:v>0.98430379746835439</c:v>
                      </c:pt>
                      <c:pt idx="5">
                        <c:v>0.98506329113924052</c:v>
                      </c:pt>
                      <c:pt idx="6">
                        <c:v>0.98607594936708864</c:v>
                      </c:pt>
                      <c:pt idx="7">
                        <c:v>0.98633257403189067</c:v>
                      </c:pt>
                      <c:pt idx="8">
                        <c:v>0.98709187547456345</c:v>
                      </c:pt>
                      <c:pt idx="9">
                        <c:v>0.98709840627371614</c:v>
                      </c:pt>
                      <c:pt idx="10">
                        <c:v>0.98861336032388669</c:v>
                      </c:pt>
                      <c:pt idx="11">
                        <c:v>0.98988110295977738</c:v>
                      </c:pt>
                      <c:pt idx="12">
                        <c:v>0.98963861511245899</c:v>
                      </c:pt>
                      <c:pt idx="13">
                        <c:v>0.99090449722081864</c:v>
                      </c:pt>
                      <c:pt idx="14">
                        <c:v>0.99191919191919187</c:v>
                      </c:pt>
                      <c:pt idx="15">
                        <c:v>0.99268231138026752</c:v>
                      </c:pt>
                      <c:pt idx="16">
                        <c:v>0.99319041614123582</c:v>
                      </c:pt>
                      <c:pt idx="17">
                        <c:v>0.99344758064516125</c:v>
                      </c:pt>
                      <c:pt idx="18">
                        <c:v>0.99395313681027964</c:v>
                      </c:pt>
                      <c:pt idx="19">
                        <c:v>0.9944598337950139</c:v>
                      </c:pt>
                      <c:pt idx="20">
                        <c:v>0.99421092373521269</c:v>
                      </c:pt>
                      <c:pt idx="21">
                        <c:v>0.99471565173628584</c:v>
                      </c:pt>
                      <c:pt idx="22">
                        <c:v>0.99497108373145582</c:v>
                      </c:pt>
                      <c:pt idx="23">
                        <c:v>0.99472229203317419</c:v>
                      </c:pt>
                      <c:pt idx="24">
                        <c:v>0.99522493088715758</c:v>
                      </c:pt>
                      <c:pt idx="25">
                        <c:v>0.99547852298417483</c:v>
                      </c:pt>
                      <c:pt idx="26">
                        <c:v>0.99572971615172068</c:v>
                      </c:pt>
                      <c:pt idx="27">
                        <c:v>0.99573186040672856</c:v>
                      </c:pt>
                      <c:pt idx="28">
                        <c:v>0.99573400250941024</c:v>
                      </c:pt>
                      <c:pt idx="29">
                        <c:v>0.99598595082789765</c:v>
                      </c:pt>
                      <c:pt idx="30">
                        <c:v>0.9957372116349047</c:v>
                      </c:pt>
                      <c:pt idx="31">
                        <c:v>0.99623965906242162</c:v>
                      </c:pt>
                      <c:pt idx="32">
                        <c:v>0.99674185463659148</c:v>
                      </c:pt>
                      <c:pt idx="33">
                        <c:v>0.99599198396793587</c:v>
                      </c:pt>
                      <c:pt idx="34">
                        <c:v>0.99599298772852496</c:v>
                      </c:pt>
                      <c:pt idx="35">
                        <c:v>0.99624342599549209</c:v>
                      </c:pt>
                      <c:pt idx="36">
                        <c:v>0.9964947421131698</c:v>
                      </c:pt>
                      <c:pt idx="37">
                        <c:v>0.99649649649649652</c:v>
                      </c:pt>
                      <c:pt idx="38">
                        <c:v>0.99674756067050285</c:v>
                      </c:pt>
                      <c:pt idx="39">
                        <c:v>0.99674918729682416</c:v>
                      </c:pt>
                      <c:pt idx="40">
                        <c:v>0.99700074981254683</c:v>
                      </c:pt>
                      <c:pt idx="41">
                        <c:v>0.99700149925037485</c:v>
                      </c:pt>
                      <c:pt idx="42">
                        <c:v>0.99700149925037485</c:v>
                      </c:pt>
                      <c:pt idx="43">
                        <c:v>0.99675243567324512</c:v>
                      </c:pt>
                      <c:pt idx="44">
                        <c:v>0.99700299700299699</c:v>
                      </c:pt>
                      <c:pt idx="45">
                        <c:v>0.99700374531835201</c:v>
                      </c:pt>
                      <c:pt idx="46">
                        <c:v>0.99700449326010987</c:v>
                      </c:pt>
                      <c:pt idx="47">
                        <c:v>0.99700449326010987</c:v>
                      </c:pt>
                      <c:pt idx="48">
                        <c:v>0.99725480409283751</c:v>
                      </c:pt>
                      <c:pt idx="49">
                        <c:v>0.99725480409283751</c:v>
                      </c:pt>
                      <c:pt idx="50">
                        <c:v>0.997504367357125</c:v>
                      </c:pt>
                      <c:pt idx="51">
                        <c:v>0.99775393062141249</c:v>
                      </c:pt>
                      <c:pt idx="52">
                        <c:v>0.99825305714998758</c:v>
                      </c:pt>
                      <c:pt idx="53">
                        <c:v>0.99800399201596801</c:v>
                      </c:pt>
                      <c:pt idx="54">
                        <c:v>0.99875156054931336</c:v>
                      </c:pt>
                      <c:pt idx="55">
                        <c:v>0.99875187219171246</c:v>
                      </c:pt>
                      <c:pt idx="56">
                        <c:v>0.99875218367856256</c:v>
                      </c:pt>
                      <c:pt idx="57">
                        <c:v>0.99925112331502741</c:v>
                      </c:pt>
                      <c:pt idx="58">
                        <c:v>0.99975037443834247</c:v>
                      </c:pt>
                      <c:pt idx="59">
                        <c:v>0.99950074887668494</c:v>
                      </c:pt>
                      <c:pt idx="60">
                        <c:v>0.99925131020713753</c:v>
                      </c:pt>
                      <c:pt idx="61">
                        <c:v>0.99975037443834247</c:v>
                      </c:pt>
                      <c:pt idx="62">
                        <c:v>0.99975043673571251</c:v>
                      </c:pt>
                      <c:pt idx="63">
                        <c:v>1</c:v>
                      </c:pt>
                      <c:pt idx="64">
                        <c:v>1.0002496255616575</c:v>
                      </c:pt>
                      <c:pt idx="65">
                        <c:v>1</c:v>
                      </c:pt>
                      <c:pt idx="66">
                        <c:v>0.99975043673571251</c:v>
                      </c:pt>
                      <c:pt idx="67">
                        <c:v>0.99975043673571251</c:v>
                      </c:pt>
                      <c:pt idx="68">
                        <c:v>0.99975043673571251</c:v>
                      </c:pt>
                      <c:pt idx="69">
                        <c:v>1.0002496255616575</c:v>
                      </c:pt>
                      <c:pt idx="70">
                        <c:v>1.0002496255616575</c:v>
                      </c:pt>
                      <c:pt idx="71">
                        <c:v>1.0002496255616575</c:v>
                      </c:pt>
                      <c:pt idx="72">
                        <c:v>0.99975043673571251</c:v>
                      </c:pt>
                      <c:pt idx="73">
                        <c:v>0.99975043673571251</c:v>
                      </c:pt>
                      <c:pt idx="74">
                        <c:v>1</c:v>
                      </c:pt>
                      <c:pt idx="75">
                        <c:v>0.99975043673571251</c:v>
                      </c:pt>
                      <c:pt idx="76">
                        <c:v>1.0002496255616575</c:v>
                      </c:pt>
                      <c:pt idx="77">
                        <c:v>0.99975043673571251</c:v>
                      </c:pt>
                      <c:pt idx="78">
                        <c:v>1</c:v>
                      </c:pt>
                      <c:pt idx="79">
                        <c:v>0.99975043673571251</c:v>
                      </c:pt>
                      <c:pt idx="80">
                        <c:v>0.99975043673571251</c:v>
                      </c:pt>
                      <c:pt idx="81">
                        <c:v>1</c:v>
                      </c:pt>
                      <c:pt idx="82">
                        <c:v>0.99975043673571251</c:v>
                      </c:pt>
                      <c:pt idx="83">
                        <c:v>1</c:v>
                      </c:pt>
                      <c:pt idx="84">
                        <c:v>0.99975043673571251</c:v>
                      </c:pt>
                      <c:pt idx="85">
                        <c:v>1.0002496255616575</c:v>
                      </c:pt>
                      <c:pt idx="86">
                        <c:v>1.0002496255616575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0.99975043673571251</c:v>
                      </c:pt>
                      <c:pt idx="90">
                        <c:v>1.0002496255616575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1.0002496878901372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0.99975043673571251</c:v>
                      </c:pt>
                      <c:pt idx="97">
                        <c:v>1.0002496255616575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0.99975043673571251</c:v>
                      </c:pt>
                      <c:pt idx="103">
                        <c:v>1</c:v>
                      </c:pt>
                      <c:pt idx="104">
                        <c:v>0.99975043673571251</c:v>
                      </c:pt>
                      <c:pt idx="105">
                        <c:v>1.0002496255616575</c:v>
                      </c:pt>
                      <c:pt idx="106">
                        <c:v>0.99975043673571251</c:v>
                      </c:pt>
                      <c:pt idx="107">
                        <c:v>1</c:v>
                      </c:pt>
                      <c:pt idx="108">
                        <c:v>1.0002496255616575</c:v>
                      </c:pt>
                      <c:pt idx="109">
                        <c:v>1.0002496255616575</c:v>
                      </c:pt>
                      <c:pt idx="110">
                        <c:v>1.0002496255616575</c:v>
                      </c:pt>
                      <c:pt idx="111">
                        <c:v>1</c:v>
                      </c:pt>
                      <c:pt idx="112">
                        <c:v>1.0002496255616575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1.0002496255616575</c:v>
                      </c:pt>
                      <c:pt idx="120">
                        <c:v>1</c:v>
                      </c:pt>
                      <c:pt idx="121">
                        <c:v>1.0002496255616575</c:v>
                      </c:pt>
                      <c:pt idx="122">
                        <c:v>0.99975043673571251</c:v>
                      </c:pt>
                      <c:pt idx="123">
                        <c:v>1.0002496255616575</c:v>
                      </c:pt>
                      <c:pt idx="124">
                        <c:v>1.0002496255616575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1.0002496255616575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0.99975043673571251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1.0002496878901372</c:v>
                      </c:pt>
                      <c:pt idx="138">
                        <c:v>0.99975043673571251</c:v>
                      </c:pt>
                      <c:pt idx="139">
                        <c:v>1</c:v>
                      </c:pt>
                      <c:pt idx="140">
                        <c:v>1.0002496255616575</c:v>
                      </c:pt>
                      <c:pt idx="141">
                        <c:v>1.0002496255616575</c:v>
                      </c:pt>
                      <c:pt idx="142">
                        <c:v>1</c:v>
                      </c:pt>
                      <c:pt idx="143">
                        <c:v>1.0002496255616575</c:v>
                      </c:pt>
                      <c:pt idx="144">
                        <c:v>1.0002496255616575</c:v>
                      </c:pt>
                      <c:pt idx="145">
                        <c:v>0.99975043673571251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0.99975043673571251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0.99975043673571251</c:v>
                      </c:pt>
                      <c:pt idx="158">
                        <c:v>1</c:v>
                      </c:pt>
                      <c:pt idx="159">
                        <c:v>0.99975043673571251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0.99975043673571251</c:v>
                      </c:pt>
                      <c:pt idx="169">
                        <c:v>0.99975043673571251</c:v>
                      </c:pt>
                      <c:pt idx="170">
                        <c:v>1</c:v>
                      </c:pt>
                      <c:pt idx="171">
                        <c:v>1.0002496255616575</c:v>
                      </c:pt>
                      <c:pt idx="172">
                        <c:v>1.0002496255616575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0.99975043673571251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1.0002496255616575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1.0002496255616575</c:v>
                      </c:pt>
                      <c:pt idx="182">
                        <c:v>0.99975043673571251</c:v>
                      </c:pt>
                      <c:pt idx="183">
                        <c:v>1.0002495009980039</c:v>
                      </c:pt>
                      <c:pt idx="184">
                        <c:v>1</c:v>
                      </c:pt>
                      <c:pt idx="185">
                        <c:v>1.0002496255616575</c:v>
                      </c:pt>
                      <c:pt idx="186">
                        <c:v>0.99975043673571251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0.99975043673571251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0.99975043673571251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1.0002496255616575</c:v>
                      </c:pt>
                      <c:pt idx="210">
                        <c:v>1.0002496255616575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0.99975043673571251</c:v>
                      </c:pt>
                      <c:pt idx="215">
                        <c:v>1</c:v>
                      </c:pt>
                      <c:pt idx="216">
                        <c:v>0.99975043673571251</c:v>
                      </c:pt>
                      <c:pt idx="217">
                        <c:v>1.0002496255616575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0.99975043673571251</c:v>
                      </c:pt>
                      <c:pt idx="221">
                        <c:v>1.0002496255616575</c:v>
                      </c:pt>
                      <c:pt idx="222">
                        <c:v>0.99975043673571251</c:v>
                      </c:pt>
                      <c:pt idx="223">
                        <c:v>0.99975037443834247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CFA-467B-9772-44740E50823C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MWIR_High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Analysis!$U$34:$U$256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1560.03125</c:v>
                      </c:pt>
                      <c:pt idx="1">
                        <c:v>1566.734375</c:v>
                      </c:pt>
                      <c:pt idx="2">
                        <c:v>1573.4375</c:v>
                      </c:pt>
                      <c:pt idx="3">
                        <c:v>1580.140625</c:v>
                      </c:pt>
                      <c:pt idx="4">
                        <c:v>1586.84375</c:v>
                      </c:pt>
                      <c:pt idx="5">
                        <c:v>1593.546875</c:v>
                      </c:pt>
                      <c:pt idx="6">
                        <c:v>1600.25</c:v>
                      </c:pt>
                      <c:pt idx="7">
                        <c:v>1606.953125</c:v>
                      </c:pt>
                      <c:pt idx="8">
                        <c:v>1613.65625</c:v>
                      </c:pt>
                      <c:pt idx="9">
                        <c:v>1620.359375</c:v>
                      </c:pt>
                      <c:pt idx="10">
                        <c:v>1627.0625</c:v>
                      </c:pt>
                      <c:pt idx="11">
                        <c:v>1633.765625</c:v>
                      </c:pt>
                      <c:pt idx="12">
                        <c:v>1640.46875</c:v>
                      </c:pt>
                      <c:pt idx="13">
                        <c:v>1647.171875</c:v>
                      </c:pt>
                      <c:pt idx="14">
                        <c:v>1653.875</c:v>
                      </c:pt>
                      <c:pt idx="15">
                        <c:v>1660.578125</c:v>
                      </c:pt>
                      <c:pt idx="16">
                        <c:v>1667.28125</c:v>
                      </c:pt>
                      <c:pt idx="17">
                        <c:v>1673.984375</c:v>
                      </c:pt>
                      <c:pt idx="18">
                        <c:v>1680.6875</c:v>
                      </c:pt>
                      <c:pt idx="19">
                        <c:v>1687.390625</c:v>
                      </c:pt>
                      <c:pt idx="20">
                        <c:v>1694.09375</c:v>
                      </c:pt>
                      <c:pt idx="21">
                        <c:v>1700.796875</c:v>
                      </c:pt>
                      <c:pt idx="22">
                        <c:v>1707.5</c:v>
                      </c:pt>
                      <c:pt idx="23">
                        <c:v>1714.203125</c:v>
                      </c:pt>
                      <c:pt idx="24">
                        <c:v>1720.90625</c:v>
                      </c:pt>
                      <c:pt idx="25">
                        <c:v>1727.609375</c:v>
                      </c:pt>
                      <c:pt idx="26">
                        <c:v>1734.3125</c:v>
                      </c:pt>
                      <c:pt idx="27">
                        <c:v>1741.015625</c:v>
                      </c:pt>
                      <c:pt idx="28">
                        <c:v>1747.71875</c:v>
                      </c:pt>
                      <c:pt idx="29">
                        <c:v>1754.421875</c:v>
                      </c:pt>
                      <c:pt idx="30">
                        <c:v>1761.125</c:v>
                      </c:pt>
                      <c:pt idx="31">
                        <c:v>1767.828125</c:v>
                      </c:pt>
                      <c:pt idx="32">
                        <c:v>1774.53125</c:v>
                      </c:pt>
                      <c:pt idx="33">
                        <c:v>1781.234375</c:v>
                      </c:pt>
                      <c:pt idx="34">
                        <c:v>1787.9375</c:v>
                      </c:pt>
                      <c:pt idx="35">
                        <c:v>1794.640625</c:v>
                      </c:pt>
                      <c:pt idx="36">
                        <c:v>1801.34375</c:v>
                      </c:pt>
                      <c:pt idx="37">
                        <c:v>1808.046875</c:v>
                      </c:pt>
                      <c:pt idx="38">
                        <c:v>1814.75</c:v>
                      </c:pt>
                      <c:pt idx="39">
                        <c:v>1821.453125</c:v>
                      </c:pt>
                      <c:pt idx="40">
                        <c:v>1828.15625</c:v>
                      </c:pt>
                      <c:pt idx="41">
                        <c:v>1834.859375</c:v>
                      </c:pt>
                      <c:pt idx="42">
                        <c:v>1841.5625</c:v>
                      </c:pt>
                      <c:pt idx="43">
                        <c:v>1848.265625</c:v>
                      </c:pt>
                      <c:pt idx="44">
                        <c:v>1854.96875</c:v>
                      </c:pt>
                      <c:pt idx="45">
                        <c:v>1861.671875</c:v>
                      </c:pt>
                      <c:pt idx="46">
                        <c:v>1868.375</c:v>
                      </c:pt>
                      <c:pt idx="47">
                        <c:v>1875.078125</c:v>
                      </c:pt>
                      <c:pt idx="48">
                        <c:v>1881.78125</c:v>
                      </c:pt>
                      <c:pt idx="49">
                        <c:v>1888.484375</c:v>
                      </c:pt>
                      <c:pt idx="50">
                        <c:v>1895.1875</c:v>
                      </c:pt>
                      <c:pt idx="51">
                        <c:v>1901.890625</c:v>
                      </c:pt>
                      <c:pt idx="52">
                        <c:v>1908.59375</c:v>
                      </c:pt>
                      <c:pt idx="53">
                        <c:v>1915.296875</c:v>
                      </c:pt>
                      <c:pt idx="54">
                        <c:v>1922</c:v>
                      </c:pt>
                      <c:pt idx="55">
                        <c:v>1928.703125</c:v>
                      </c:pt>
                      <c:pt idx="56">
                        <c:v>1935.40625</c:v>
                      </c:pt>
                      <c:pt idx="57">
                        <c:v>1942.109375</c:v>
                      </c:pt>
                      <c:pt idx="58">
                        <c:v>1948.8125</c:v>
                      </c:pt>
                      <c:pt idx="59">
                        <c:v>1955.515625</c:v>
                      </c:pt>
                      <c:pt idx="60">
                        <c:v>1962.21875</c:v>
                      </c:pt>
                      <c:pt idx="61">
                        <c:v>1968.921875</c:v>
                      </c:pt>
                      <c:pt idx="62">
                        <c:v>1975.625</c:v>
                      </c:pt>
                      <c:pt idx="63">
                        <c:v>1982.328125</c:v>
                      </c:pt>
                      <c:pt idx="64">
                        <c:v>1989.03125</c:v>
                      </c:pt>
                      <c:pt idx="65">
                        <c:v>1995.734375</c:v>
                      </c:pt>
                      <c:pt idx="66">
                        <c:v>2002.4375</c:v>
                      </c:pt>
                      <c:pt idx="67">
                        <c:v>2009.140625</c:v>
                      </c:pt>
                      <c:pt idx="68">
                        <c:v>2015.84375</c:v>
                      </c:pt>
                      <c:pt idx="69">
                        <c:v>2022.546875</c:v>
                      </c:pt>
                      <c:pt idx="70">
                        <c:v>2029.25</c:v>
                      </c:pt>
                      <c:pt idx="71">
                        <c:v>2035.953125</c:v>
                      </c:pt>
                      <c:pt idx="72">
                        <c:v>2042.65625</c:v>
                      </c:pt>
                      <c:pt idx="73">
                        <c:v>2049.359375</c:v>
                      </c:pt>
                      <c:pt idx="74">
                        <c:v>2056.0625</c:v>
                      </c:pt>
                      <c:pt idx="75">
                        <c:v>2062.765625</c:v>
                      </c:pt>
                      <c:pt idx="76">
                        <c:v>2069.46875</c:v>
                      </c:pt>
                      <c:pt idx="77">
                        <c:v>2076.171875</c:v>
                      </c:pt>
                      <c:pt idx="78">
                        <c:v>2082.875</c:v>
                      </c:pt>
                      <c:pt idx="79">
                        <c:v>2089.578125</c:v>
                      </c:pt>
                      <c:pt idx="80">
                        <c:v>2096.28125</c:v>
                      </c:pt>
                      <c:pt idx="81">
                        <c:v>2102.984375</c:v>
                      </c:pt>
                      <c:pt idx="82">
                        <c:v>2109.6875</c:v>
                      </c:pt>
                      <c:pt idx="83">
                        <c:v>2116.390625</c:v>
                      </c:pt>
                      <c:pt idx="84">
                        <c:v>2123.09375</c:v>
                      </c:pt>
                      <c:pt idx="85">
                        <c:v>2129.796875</c:v>
                      </c:pt>
                      <c:pt idx="86">
                        <c:v>2136.5</c:v>
                      </c:pt>
                      <c:pt idx="87">
                        <c:v>2143.203125</c:v>
                      </c:pt>
                      <c:pt idx="88">
                        <c:v>2149.90625</c:v>
                      </c:pt>
                      <c:pt idx="89">
                        <c:v>2156.609375</c:v>
                      </c:pt>
                      <c:pt idx="90">
                        <c:v>2163.3125</c:v>
                      </c:pt>
                      <c:pt idx="91">
                        <c:v>2170.015625</c:v>
                      </c:pt>
                      <c:pt idx="92">
                        <c:v>2176.71875</c:v>
                      </c:pt>
                      <c:pt idx="93">
                        <c:v>2183.421875</c:v>
                      </c:pt>
                      <c:pt idx="94">
                        <c:v>2190.125</c:v>
                      </c:pt>
                      <c:pt idx="95">
                        <c:v>2196.828125</c:v>
                      </c:pt>
                      <c:pt idx="96">
                        <c:v>2203.53125</c:v>
                      </c:pt>
                      <c:pt idx="97">
                        <c:v>2210.234375</c:v>
                      </c:pt>
                      <c:pt idx="98">
                        <c:v>2216.9375</c:v>
                      </c:pt>
                      <c:pt idx="99">
                        <c:v>2223.640625</c:v>
                      </c:pt>
                      <c:pt idx="100">
                        <c:v>2230.34375</c:v>
                      </c:pt>
                      <c:pt idx="101">
                        <c:v>2237.046875</c:v>
                      </c:pt>
                      <c:pt idx="102">
                        <c:v>2243.75</c:v>
                      </c:pt>
                      <c:pt idx="103">
                        <c:v>2250.453125</c:v>
                      </c:pt>
                      <c:pt idx="104">
                        <c:v>2257.15625</c:v>
                      </c:pt>
                      <c:pt idx="105">
                        <c:v>2263.859375</c:v>
                      </c:pt>
                      <c:pt idx="106">
                        <c:v>2270.5625</c:v>
                      </c:pt>
                      <c:pt idx="107">
                        <c:v>2277.265625</c:v>
                      </c:pt>
                      <c:pt idx="108">
                        <c:v>2283.96875</c:v>
                      </c:pt>
                      <c:pt idx="109">
                        <c:v>2290.671875</c:v>
                      </c:pt>
                      <c:pt idx="110">
                        <c:v>2297.375</c:v>
                      </c:pt>
                      <c:pt idx="111">
                        <c:v>2304.078125</c:v>
                      </c:pt>
                      <c:pt idx="112">
                        <c:v>2310.78125</c:v>
                      </c:pt>
                      <c:pt idx="113">
                        <c:v>2317.484375</c:v>
                      </c:pt>
                      <c:pt idx="114">
                        <c:v>2324.1875</c:v>
                      </c:pt>
                      <c:pt idx="115">
                        <c:v>2330.890625</c:v>
                      </c:pt>
                      <c:pt idx="116">
                        <c:v>2337.59375</c:v>
                      </c:pt>
                      <c:pt idx="117">
                        <c:v>2344.296875</c:v>
                      </c:pt>
                      <c:pt idx="118">
                        <c:v>2351</c:v>
                      </c:pt>
                      <c:pt idx="119">
                        <c:v>2357.703125</c:v>
                      </c:pt>
                      <c:pt idx="120">
                        <c:v>2364.40625</c:v>
                      </c:pt>
                      <c:pt idx="121">
                        <c:v>2371.109375</c:v>
                      </c:pt>
                      <c:pt idx="122">
                        <c:v>2377.8125</c:v>
                      </c:pt>
                      <c:pt idx="123">
                        <c:v>2384.515625</c:v>
                      </c:pt>
                      <c:pt idx="124">
                        <c:v>2391.21875</c:v>
                      </c:pt>
                      <c:pt idx="125">
                        <c:v>2397.921875</c:v>
                      </c:pt>
                      <c:pt idx="126">
                        <c:v>2404.625</c:v>
                      </c:pt>
                      <c:pt idx="127">
                        <c:v>2411.328125</c:v>
                      </c:pt>
                      <c:pt idx="128">
                        <c:v>2418.03125</c:v>
                      </c:pt>
                      <c:pt idx="129">
                        <c:v>2424.734375</c:v>
                      </c:pt>
                      <c:pt idx="130">
                        <c:v>2431.4375</c:v>
                      </c:pt>
                      <c:pt idx="131">
                        <c:v>2438.140625</c:v>
                      </c:pt>
                      <c:pt idx="132">
                        <c:v>2444.84375</c:v>
                      </c:pt>
                      <c:pt idx="133">
                        <c:v>2451.546875</c:v>
                      </c:pt>
                      <c:pt idx="134">
                        <c:v>2458.25</c:v>
                      </c:pt>
                      <c:pt idx="135">
                        <c:v>2464.953125</c:v>
                      </c:pt>
                      <c:pt idx="136">
                        <c:v>2471.65625</c:v>
                      </c:pt>
                      <c:pt idx="137">
                        <c:v>2478.359375</c:v>
                      </c:pt>
                      <c:pt idx="138">
                        <c:v>2485.0625</c:v>
                      </c:pt>
                      <c:pt idx="139">
                        <c:v>2491.765625</c:v>
                      </c:pt>
                      <c:pt idx="140">
                        <c:v>2498.46875</c:v>
                      </c:pt>
                      <c:pt idx="141">
                        <c:v>2505.171875</c:v>
                      </c:pt>
                      <c:pt idx="142">
                        <c:v>2511.875</c:v>
                      </c:pt>
                      <c:pt idx="143">
                        <c:v>2518.578125</c:v>
                      </c:pt>
                      <c:pt idx="144">
                        <c:v>2525.28125</c:v>
                      </c:pt>
                      <c:pt idx="145">
                        <c:v>2531.984375</c:v>
                      </c:pt>
                      <c:pt idx="146">
                        <c:v>2538.6875</c:v>
                      </c:pt>
                      <c:pt idx="147">
                        <c:v>2545.390625</c:v>
                      </c:pt>
                      <c:pt idx="148">
                        <c:v>2552.09375</c:v>
                      </c:pt>
                      <c:pt idx="149">
                        <c:v>2558.796875</c:v>
                      </c:pt>
                      <c:pt idx="150">
                        <c:v>2565.5</c:v>
                      </c:pt>
                      <c:pt idx="151">
                        <c:v>2572.203125</c:v>
                      </c:pt>
                      <c:pt idx="152">
                        <c:v>2578.90625</c:v>
                      </c:pt>
                      <c:pt idx="153">
                        <c:v>2585.609375</c:v>
                      </c:pt>
                      <c:pt idx="154">
                        <c:v>2592.3125</c:v>
                      </c:pt>
                      <c:pt idx="155">
                        <c:v>2599.015625</c:v>
                      </c:pt>
                      <c:pt idx="156">
                        <c:v>2605.71875</c:v>
                      </c:pt>
                      <c:pt idx="157">
                        <c:v>2612.421875</c:v>
                      </c:pt>
                      <c:pt idx="158">
                        <c:v>2619.125</c:v>
                      </c:pt>
                      <c:pt idx="159">
                        <c:v>2625.828125</c:v>
                      </c:pt>
                      <c:pt idx="160">
                        <c:v>2632.53125</c:v>
                      </c:pt>
                      <c:pt idx="161">
                        <c:v>2639.234375</c:v>
                      </c:pt>
                      <c:pt idx="162">
                        <c:v>2645.9375</c:v>
                      </c:pt>
                      <c:pt idx="163">
                        <c:v>2652.640625</c:v>
                      </c:pt>
                      <c:pt idx="164">
                        <c:v>2659.34375</c:v>
                      </c:pt>
                      <c:pt idx="165">
                        <c:v>2666.046875</c:v>
                      </c:pt>
                      <c:pt idx="166">
                        <c:v>2672.75</c:v>
                      </c:pt>
                      <c:pt idx="167">
                        <c:v>2679.453125</c:v>
                      </c:pt>
                      <c:pt idx="168">
                        <c:v>2686.15625</c:v>
                      </c:pt>
                      <c:pt idx="169">
                        <c:v>2692.859375</c:v>
                      </c:pt>
                      <c:pt idx="170">
                        <c:v>2699.5625</c:v>
                      </c:pt>
                      <c:pt idx="171">
                        <c:v>2706.265625</c:v>
                      </c:pt>
                      <c:pt idx="172">
                        <c:v>2712.96875</c:v>
                      </c:pt>
                      <c:pt idx="173">
                        <c:v>2719.671875</c:v>
                      </c:pt>
                      <c:pt idx="174">
                        <c:v>2726.375</c:v>
                      </c:pt>
                      <c:pt idx="175">
                        <c:v>2733.078125</c:v>
                      </c:pt>
                      <c:pt idx="176">
                        <c:v>2739.78125</c:v>
                      </c:pt>
                      <c:pt idx="177">
                        <c:v>2746.484375</c:v>
                      </c:pt>
                      <c:pt idx="178">
                        <c:v>2753.1875</c:v>
                      </c:pt>
                      <c:pt idx="179">
                        <c:v>2759.890625</c:v>
                      </c:pt>
                      <c:pt idx="180">
                        <c:v>2766.59375</c:v>
                      </c:pt>
                      <c:pt idx="181">
                        <c:v>2773.296875</c:v>
                      </c:pt>
                      <c:pt idx="182">
                        <c:v>2780</c:v>
                      </c:pt>
                      <c:pt idx="183">
                        <c:v>2786.703125</c:v>
                      </c:pt>
                      <c:pt idx="184">
                        <c:v>2793.40625</c:v>
                      </c:pt>
                      <c:pt idx="185">
                        <c:v>2800.109375</c:v>
                      </c:pt>
                      <c:pt idx="186">
                        <c:v>2806.8125</c:v>
                      </c:pt>
                      <c:pt idx="187">
                        <c:v>2813.515625</c:v>
                      </c:pt>
                      <c:pt idx="188">
                        <c:v>2820.21875</c:v>
                      </c:pt>
                      <c:pt idx="189">
                        <c:v>2826.921875</c:v>
                      </c:pt>
                      <c:pt idx="190">
                        <c:v>2833.625</c:v>
                      </c:pt>
                      <c:pt idx="191">
                        <c:v>2840.328125</c:v>
                      </c:pt>
                      <c:pt idx="192">
                        <c:v>2847.03125</c:v>
                      </c:pt>
                      <c:pt idx="193">
                        <c:v>2853.734375</c:v>
                      </c:pt>
                      <c:pt idx="194">
                        <c:v>2860.4375</c:v>
                      </c:pt>
                      <c:pt idx="195">
                        <c:v>2867.140625</c:v>
                      </c:pt>
                      <c:pt idx="196">
                        <c:v>2873.84375</c:v>
                      </c:pt>
                      <c:pt idx="197">
                        <c:v>2880.546875</c:v>
                      </c:pt>
                      <c:pt idx="198">
                        <c:v>2887.25</c:v>
                      </c:pt>
                      <c:pt idx="199">
                        <c:v>2893.953125</c:v>
                      </c:pt>
                      <c:pt idx="200">
                        <c:v>2900.65625</c:v>
                      </c:pt>
                      <c:pt idx="201">
                        <c:v>2907.359375</c:v>
                      </c:pt>
                      <c:pt idx="202">
                        <c:v>2914.0625</c:v>
                      </c:pt>
                      <c:pt idx="203">
                        <c:v>2920.765625</c:v>
                      </c:pt>
                      <c:pt idx="204">
                        <c:v>2927.46875</c:v>
                      </c:pt>
                      <c:pt idx="205">
                        <c:v>2934.171875</c:v>
                      </c:pt>
                      <c:pt idx="206">
                        <c:v>2940.875</c:v>
                      </c:pt>
                      <c:pt idx="207">
                        <c:v>2947.578125</c:v>
                      </c:pt>
                      <c:pt idx="208">
                        <c:v>2954.28125</c:v>
                      </c:pt>
                      <c:pt idx="209">
                        <c:v>2960.984375</c:v>
                      </c:pt>
                      <c:pt idx="210">
                        <c:v>2967.6875</c:v>
                      </c:pt>
                      <c:pt idx="211">
                        <c:v>2974.390625</c:v>
                      </c:pt>
                      <c:pt idx="212">
                        <c:v>2981.09375</c:v>
                      </c:pt>
                      <c:pt idx="213">
                        <c:v>2987.796875</c:v>
                      </c:pt>
                      <c:pt idx="214">
                        <c:v>2994.5</c:v>
                      </c:pt>
                      <c:pt idx="215">
                        <c:v>3001.203125</c:v>
                      </c:pt>
                      <c:pt idx="216">
                        <c:v>3007.90625</c:v>
                      </c:pt>
                      <c:pt idx="217">
                        <c:v>3014.609375</c:v>
                      </c:pt>
                      <c:pt idx="218">
                        <c:v>3021.3125</c:v>
                      </c:pt>
                      <c:pt idx="219">
                        <c:v>3028.015625</c:v>
                      </c:pt>
                      <c:pt idx="220">
                        <c:v>3034.71875</c:v>
                      </c:pt>
                      <c:pt idx="221">
                        <c:v>3041.421875</c:v>
                      </c:pt>
                      <c:pt idx="222">
                        <c:v>3048.125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Analysis!$V$34:$V$256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1.0008012820512822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1.0004426737494467</c:v>
                      </c:pt>
                      <c:pt idx="7">
                        <c:v>1</c:v>
                      </c:pt>
                      <c:pt idx="8">
                        <c:v>1.0003598416696653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1.000281848928974</c:v>
                      </c:pt>
                      <c:pt idx="13">
                        <c:v>1</c:v>
                      </c:pt>
                      <c:pt idx="14">
                        <c:v>1.0002740476842971</c:v>
                      </c:pt>
                      <c:pt idx="15">
                        <c:v>1</c:v>
                      </c:pt>
                      <c:pt idx="16">
                        <c:v>1.0002710761724045</c:v>
                      </c:pt>
                      <c:pt idx="17">
                        <c:v>0.99972972972972973</c:v>
                      </c:pt>
                      <c:pt idx="18">
                        <c:v>0.99973024008632316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1.0002702702702704</c:v>
                      </c:pt>
                      <c:pt idx="25">
                        <c:v>1.000270197243988</c:v>
                      </c:pt>
                      <c:pt idx="26">
                        <c:v>1.0002705627705628</c:v>
                      </c:pt>
                      <c:pt idx="27">
                        <c:v>1.000271002710027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0.99972459377581935</c:v>
                      </c:pt>
                      <c:pt idx="36">
                        <c:v>1.0002761668047502</c:v>
                      </c:pt>
                      <c:pt idx="37">
                        <c:v>1.0002767017155507</c:v>
                      </c:pt>
                      <c:pt idx="38">
                        <c:v>0.9997223764575236</c:v>
                      </c:pt>
                      <c:pt idx="39">
                        <c:v>1</c:v>
                      </c:pt>
                      <c:pt idx="40">
                        <c:v>1.0002795638803466</c:v>
                      </c:pt>
                      <c:pt idx="41">
                        <c:v>1</c:v>
                      </c:pt>
                      <c:pt idx="42">
                        <c:v>0.99971894322653176</c:v>
                      </c:pt>
                      <c:pt idx="43">
                        <c:v>0.99971791255289144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0.99970768781058172</c:v>
                      </c:pt>
                      <c:pt idx="51">
                        <c:v>1</c:v>
                      </c:pt>
                      <c:pt idx="52">
                        <c:v>0.99970414201183433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1.0003210272873195</c:v>
                      </c:pt>
                      <c:pt idx="63">
                        <c:v>1</c:v>
                      </c:pt>
                      <c:pt idx="64">
                        <c:v>0.99967298888162193</c:v>
                      </c:pt>
                      <c:pt idx="65">
                        <c:v>0.99967040210942648</c:v>
                      </c:pt>
                      <c:pt idx="66">
                        <c:v>1.000332778702163</c:v>
                      </c:pt>
                      <c:pt idx="67">
                        <c:v>1</c:v>
                      </c:pt>
                      <c:pt idx="68">
                        <c:v>1.0003392130257802</c:v>
                      </c:pt>
                      <c:pt idx="69">
                        <c:v>1</c:v>
                      </c:pt>
                      <c:pt idx="70">
                        <c:v>0.99965576592082617</c:v>
                      </c:pt>
                      <c:pt idx="71">
                        <c:v>1</c:v>
                      </c:pt>
                      <c:pt idx="72">
                        <c:v>1.0003478260869565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1.0003524850193868</c:v>
                      </c:pt>
                      <c:pt idx="82">
                        <c:v>1</c:v>
                      </c:pt>
                      <c:pt idx="83">
                        <c:v>1.0003511235955056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0.99965168930686177</c:v>
                      </c:pt>
                      <c:pt idx="87">
                        <c:v>0.99965193177862866</c:v>
                      </c:pt>
                      <c:pt idx="88">
                        <c:v>1</c:v>
                      </c:pt>
                      <c:pt idx="89">
                        <c:v>1.0003461405330565</c:v>
                      </c:pt>
                      <c:pt idx="90">
                        <c:v>1</c:v>
                      </c:pt>
                      <c:pt idx="91">
                        <c:v>0.99965505346671268</c:v>
                      </c:pt>
                      <c:pt idx="92">
                        <c:v>0.99965576592082617</c:v>
                      </c:pt>
                      <c:pt idx="93">
                        <c:v>1.0003442340791739</c:v>
                      </c:pt>
                      <c:pt idx="94">
                        <c:v>1.0003441156228492</c:v>
                      </c:pt>
                      <c:pt idx="95">
                        <c:v>0.99965647543799385</c:v>
                      </c:pt>
                      <c:pt idx="96">
                        <c:v>1.0003430531732418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1.0003430531732418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1.0003442340791739</c:v>
                      </c:pt>
                      <c:pt idx="106">
                        <c:v>0.99965541006202618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1.0003462603878117</c:v>
                      </c:pt>
                      <c:pt idx="112">
                        <c:v>1</c:v>
                      </c:pt>
                      <c:pt idx="113">
                        <c:v>1.0003471017007983</c:v>
                      </c:pt>
                      <c:pt idx="114">
                        <c:v>0.99965253648366925</c:v>
                      </c:pt>
                      <c:pt idx="115">
                        <c:v>0.99965193177862866</c:v>
                      </c:pt>
                      <c:pt idx="116">
                        <c:v>1.0003480682213715</c:v>
                      </c:pt>
                      <c:pt idx="117">
                        <c:v>1</c:v>
                      </c:pt>
                      <c:pt idx="118">
                        <c:v>0.99965120334844781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0.99965071603213418</c:v>
                      </c:pt>
                      <c:pt idx="122">
                        <c:v>1</c:v>
                      </c:pt>
                      <c:pt idx="123">
                        <c:v>1.0003486750348676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0.99965229485396379</c:v>
                      </c:pt>
                      <c:pt idx="128">
                        <c:v>1.0003463803255974</c:v>
                      </c:pt>
                      <c:pt idx="129">
                        <c:v>0.99965469613259672</c:v>
                      </c:pt>
                      <c:pt idx="130">
                        <c:v>1</c:v>
                      </c:pt>
                      <c:pt idx="131">
                        <c:v>1.0003429355281208</c:v>
                      </c:pt>
                      <c:pt idx="132">
                        <c:v>1</c:v>
                      </c:pt>
                      <c:pt idx="133">
                        <c:v>1.0003404834865508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1.0003378378378378</c:v>
                      </c:pt>
                      <c:pt idx="137">
                        <c:v>0.99966341299225847</c:v>
                      </c:pt>
                      <c:pt idx="138">
                        <c:v>1.0003351206434317</c:v>
                      </c:pt>
                      <c:pt idx="139">
                        <c:v>1.0003343363423605</c:v>
                      </c:pt>
                      <c:pt idx="140">
                        <c:v>1</c:v>
                      </c:pt>
                      <c:pt idx="141">
                        <c:v>1.0003325573661457</c:v>
                      </c:pt>
                      <c:pt idx="142">
                        <c:v>0.99966865473823729</c:v>
                      </c:pt>
                      <c:pt idx="143">
                        <c:v>1.0003306878306879</c:v>
                      </c:pt>
                      <c:pt idx="144">
                        <c:v>0.99966996699669963</c:v>
                      </c:pt>
                      <c:pt idx="145">
                        <c:v>1.0003292723081989</c:v>
                      </c:pt>
                      <c:pt idx="146">
                        <c:v>1</c:v>
                      </c:pt>
                      <c:pt idx="147">
                        <c:v>0.99967180833606828</c:v>
                      </c:pt>
                      <c:pt idx="148">
                        <c:v>1</c:v>
                      </c:pt>
                      <c:pt idx="149">
                        <c:v>0.99967256057629339</c:v>
                      </c:pt>
                      <c:pt idx="150">
                        <c:v>1</c:v>
                      </c:pt>
                      <c:pt idx="151">
                        <c:v>0.99967341606792948</c:v>
                      </c:pt>
                      <c:pt idx="152">
                        <c:v>1</c:v>
                      </c:pt>
                      <c:pt idx="153">
                        <c:v>0.99967437316834906</c:v>
                      </c:pt>
                      <c:pt idx="154">
                        <c:v>1.0003250975292588</c:v>
                      </c:pt>
                      <c:pt idx="155">
                        <c:v>0.99967564060979563</c:v>
                      </c:pt>
                      <c:pt idx="156">
                        <c:v>0.99902723735408561</c:v>
                      </c:pt>
                      <c:pt idx="157">
                        <c:v>0.99870256243918265</c:v>
                      </c:pt>
                      <c:pt idx="158">
                        <c:v>0.99805699481865284</c:v>
                      </c:pt>
                      <c:pt idx="159">
                        <c:v>0.99838240051763183</c:v>
                      </c:pt>
                      <c:pt idx="160">
                        <c:v>0.99806201550387597</c:v>
                      </c:pt>
                      <c:pt idx="161">
                        <c:v>0.99774484536082475</c:v>
                      </c:pt>
                      <c:pt idx="162">
                        <c:v>0.99742433998712166</c:v>
                      </c:pt>
                      <c:pt idx="163">
                        <c:v>0.99710796915167099</c:v>
                      </c:pt>
                      <c:pt idx="164">
                        <c:v>0.99679178697465509</c:v>
                      </c:pt>
                      <c:pt idx="165">
                        <c:v>0.99743671900032038</c:v>
                      </c:pt>
                      <c:pt idx="166">
                        <c:v>0.99680715197956582</c:v>
                      </c:pt>
                      <c:pt idx="167">
                        <c:v>0.99744735162731335</c:v>
                      </c:pt>
                      <c:pt idx="168">
                        <c:v>0.9971355824315723</c:v>
                      </c:pt>
                      <c:pt idx="169">
                        <c:v>0.99777707208637667</c:v>
                      </c:pt>
                      <c:pt idx="170">
                        <c:v>0.99778340721975933</c:v>
                      </c:pt>
                      <c:pt idx="171">
                        <c:v>0.99810665825181444</c:v>
                      </c:pt>
                      <c:pt idx="172">
                        <c:v>0.99842569269521408</c:v>
                      </c:pt>
                      <c:pt idx="173">
                        <c:v>0.99874608150470223</c:v>
                      </c:pt>
                      <c:pt idx="174">
                        <c:v>0.99906425452276981</c:v>
                      </c:pt>
                      <c:pt idx="175">
                        <c:v>0.99968953741074196</c:v>
                      </c:pt>
                      <c:pt idx="176">
                        <c:v>0.9996908809891808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0.99969512195121957</c:v>
                      </c:pt>
                      <c:pt idx="180">
                        <c:v>1</c:v>
                      </c:pt>
                      <c:pt idx="181">
                        <c:v>0.99969879518072291</c:v>
                      </c:pt>
                      <c:pt idx="182">
                        <c:v>0.99970095693779903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0.99970596883269625</c:v>
                      </c:pt>
                      <c:pt idx="186">
                        <c:v>1.0002920560747663</c:v>
                      </c:pt>
                      <c:pt idx="187">
                        <c:v>1.0002901073397157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0.99971558589306031</c:v>
                      </c:pt>
                      <c:pt idx="192">
                        <c:v>1</c:v>
                      </c:pt>
                      <c:pt idx="193">
                        <c:v>1.000280662363177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1.0002747252747253</c:v>
                      </c:pt>
                      <c:pt idx="199">
                        <c:v>1.0002738225629793</c:v>
                      </c:pt>
                      <c:pt idx="200">
                        <c:v>1.0002728512960437</c:v>
                      </c:pt>
                      <c:pt idx="201">
                        <c:v>1</c:v>
                      </c:pt>
                      <c:pt idx="202">
                        <c:v>1.0002711496746204</c:v>
                      </c:pt>
                      <c:pt idx="203">
                        <c:v>1</c:v>
                      </c:pt>
                      <c:pt idx="204">
                        <c:v>0.99973067600323184</c:v>
                      </c:pt>
                      <c:pt idx="205">
                        <c:v>0.99973154362416106</c:v>
                      </c:pt>
                      <c:pt idx="206">
                        <c:v>1.000267881060809</c:v>
                      </c:pt>
                      <c:pt idx="207">
                        <c:v>1</c:v>
                      </c:pt>
                      <c:pt idx="208">
                        <c:v>1.0002663825253064</c:v>
                      </c:pt>
                      <c:pt idx="209">
                        <c:v>1.0002657454158916</c:v>
                      </c:pt>
                      <c:pt idx="210">
                        <c:v>1.0002653223666755</c:v>
                      </c:pt>
                      <c:pt idx="211">
                        <c:v>1.0002647603918453</c:v>
                      </c:pt>
                      <c:pt idx="212">
                        <c:v>0.99973614775725594</c:v>
                      </c:pt>
                      <c:pt idx="213">
                        <c:v>1</c:v>
                      </c:pt>
                      <c:pt idx="214">
                        <c:v>1.0002632964718272</c:v>
                      </c:pt>
                      <c:pt idx="215">
                        <c:v>0.99973698053655968</c:v>
                      </c:pt>
                      <c:pt idx="216">
                        <c:v>1.0002626050420169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1.0002626740215392</c:v>
                      </c:pt>
                      <c:pt idx="220">
                        <c:v>0.99973732597846077</c:v>
                      </c:pt>
                      <c:pt idx="221">
                        <c:v>1.0002623983206507</c:v>
                      </c:pt>
                      <c:pt idx="222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CFA-467B-9772-44740E50823C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MWIR_Med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Analysis!$U$34:$U$256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1560.03125</c:v>
                      </c:pt>
                      <c:pt idx="1">
                        <c:v>1566.734375</c:v>
                      </c:pt>
                      <c:pt idx="2">
                        <c:v>1573.4375</c:v>
                      </c:pt>
                      <c:pt idx="3">
                        <c:v>1580.140625</c:v>
                      </c:pt>
                      <c:pt idx="4">
                        <c:v>1586.84375</c:v>
                      </c:pt>
                      <c:pt idx="5">
                        <c:v>1593.546875</c:v>
                      </c:pt>
                      <c:pt idx="6">
                        <c:v>1600.25</c:v>
                      </c:pt>
                      <c:pt idx="7">
                        <c:v>1606.953125</c:v>
                      </c:pt>
                      <c:pt idx="8">
                        <c:v>1613.65625</c:v>
                      </c:pt>
                      <c:pt idx="9">
                        <c:v>1620.359375</c:v>
                      </c:pt>
                      <c:pt idx="10">
                        <c:v>1627.0625</c:v>
                      </c:pt>
                      <c:pt idx="11">
                        <c:v>1633.765625</c:v>
                      </c:pt>
                      <c:pt idx="12">
                        <c:v>1640.46875</c:v>
                      </c:pt>
                      <c:pt idx="13">
                        <c:v>1647.171875</c:v>
                      </c:pt>
                      <c:pt idx="14">
                        <c:v>1653.875</c:v>
                      </c:pt>
                      <c:pt idx="15">
                        <c:v>1660.578125</c:v>
                      </c:pt>
                      <c:pt idx="16">
                        <c:v>1667.28125</c:v>
                      </c:pt>
                      <c:pt idx="17">
                        <c:v>1673.984375</c:v>
                      </c:pt>
                      <c:pt idx="18">
                        <c:v>1680.6875</c:v>
                      </c:pt>
                      <c:pt idx="19">
                        <c:v>1687.390625</c:v>
                      </c:pt>
                      <c:pt idx="20">
                        <c:v>1694.09375</c:v>
                      </c:pt>
                      <c:pt idx="21">
                        <c:v>1700.796875</c:v>
                      </c:pt>
                      <c:pt idx="22">
                        <c:v>1707.5</c:v>
                      </c:pt>
                      <c:pt idx="23">
                        <c:v>1714.203125</c:v>
                      </c:pt>
                      <c:pt idx="24">
                        <c:v>1720.90625</c:v>
                      </c:pt>
                      <c:pt idx="25">
                        <c:v>1727.609375</c:v>
                      </c:pt>
                      <c:pt idx="26">
                        <c:v>1734.3125</c:v>
                      </c:pt>
                      <c:pt idx="27">
                        <c:v>1741.015625</c:v>
                      </c:pt>
                      <c:pt idx="28">
                        <c:v>1747.71875</c:v>
                      </c:pt>
                      <c:pt idx="29">
                        <c:v>1754.421875</c:v>
                      </c:pt>
                      <c:pt idx="30">
                        <c:v>1761.125</c:v>
                      </c:pt>
                      <c:pt idx="31">
                        <c:v>1767.828125</c:v>
                      </c:pt>
                      <c:pt idx="32">
                        <c:v>1774.53125</c:v>
                      </c:pt>
                      <c:pt idx="33">
                        <c:v>1781.234375</c:v>
                      </c:pt>
                      <c:pt idx="34">
                        <c:v>1787.9375</c:v>
                      </c:pt>
                      <c:pt idx="35">
                        <c:v>1794.640625</c:v>
                      </c:pt>
                      <c:pt idx="36">
                        <c:v>1801.34375</c:v>
                      </c:pt>
                      <c:pt idx="37">
                        <c:v>1808.046875</c:v>
                      </c:pt>
                      <c:pt idx="38">
                        <c:v>1814.75</c:v>
                      </c:pt>
                      <c:pt idx="39">
                        <c:v>1821.453125</c:v>
                      </c:pt>
                      <c:pt idx="40">
                        <c:v>1828.15625</c:v>
                      </c:pt>
                      <c:pt idx="41">
                        <c:v>1834.859375</c:v>
                      </c:pt>
                      <c:pt idx="42">
                        <c:v>1841.5625</c:v>
                      </c:pt>
                      <c:pt idx="43">
                        <c:v>1848.265625</c:v>
                      </c:pt>
                      <c:pt idx="44">
                        <c:v>1854.96875</c:v>
                      </c:pt>
                      <c:pt idx="45">
                        <c:v>1861.671875</c:v>
                      </c:pt>
                      <c:pt idx="46">
                        <c:v>1868.375</c:v>
                      </c:pt>
                      <c:pt idx="47">
                        <c:v>1875.078125</c:v>
                      </c:pt>
                      <c:pt idx="48">
                        <c:v>1881.78125</c:v>
                      </c:pt>
                      <c:pt idx="49">
                        <c:v>1888.484375</c:v>
                      </c:pt>
                      <c:pt idx="50">
                        <c:v>1895.1875</c:v>
                      </c:pt>
                      <c:pt idx="51">
                        <c:v>1901.890625</c:v>
                      </c:pt>
                      <c:pt idx="52">
                        <c:v>1908.59375</c:v>
                      </c:pt>
                      <c:pt idx="53">
                        <c:v>1915.296875</c:v>
                      </c:pt>
                      <c:pt idx="54">
                        <c:v>1922</c:v>
                      </c:pt>
                      <c:pt idx="55">
                        <c:v>1928.703125</c:v>
                      </c:pt>
                      <c:pt idx="56">
                        <c:v>1935.40625</c:v>
                      </c:pt>
                      <c:pt idx="57">
                        <c:v>1942.109375</c:v>
                      </c:pt>
                      <c:pt idx="58">
                        <c:v>1948.8125</c:v>
                      </c:pt>
                      <c:pt idx="59">
                        <c:v>1955.515625</c:v>
                      </c:pt>
                      <c:pt idx="60">
                        <c:v>1962.21875</c:v>
                      </c:pt>
                      <c:pt idx="61">
                        <c:v>1968.921875</c:v>
                      </c:pt>
                      <c:pt idx="62">
                        <c:v>1975.625</c:v>
                      </c:pt>
                      <c:pt idx="63">
                        <c:v>1982.328125</c:v>
                      </c:pt>
                      <c:pt idx="64">
                        <c:v>1989.03125</c:v>
                      </c:pt>
                      <c:pt idx="65">
                        <c:v>1995.734375</c:v>
                      </c:pt>
                      <c:pt idx="66">
                        <c:v>2002.4375</c:v>
                      </c:pt>
                      <c:pt idx="67">
                        <c:v>2009.140625</c:v>
                      </c:pt>
                      <c:pt idx="68">
                        <c:v>2015.84375</c:v>
                      </c:pt>
                      <c:pt idx="69">
                        <c:v>2022.546875</c:v>
                      </c:pt>
                      <c:pt idx="70">
                        <c:v>2029.25</c:v>
                      </c:pt>
                      <c:pt idx="71">
                        <c:v>2035.953125</c:v>
                      </c:pt>
                      <c:pt idx="72">
                        <c:v>2042.65625</c:v>
                      </c:pt>
                      <c:pt idx="73">
                        <c:v>2049.359375</c:v>
                      </c:pt>
                      <c:pt idx="74">
                        <c:v>2056.0625</c:v>
                      </c:pt>
                      <c:pt idx="75">
                        <c:v>2062.765625</c:v>
                      </c:pt>
                      <c:pt idx="76">
                        <c:v>2069.46875</c:v>
                      </c:pt>
                      <c:pt idx="77">
                        <c:v>2076.171875</c:v>
                      </c:pt>
                      <c:pt idx="78">
                        <c:v>2082.875</c:v>
                      </c:pt>
                      <c:pt idx="79">
                        <c:v>2089.578125</c:v>
                      </c:pt>
                      <c:pt idx="80">
                        <c:v>2096.28125</c:v>
                      </c:pt>
                      <c:pt idx="81">
                        <c:v>2102.984375</c:v>
                      </c:pt>
                      <c:pt idx="82">
                        <c:v>2109.6875</c:v>
                      </c:pt>
                      <c:pt idx="83">
                        <c:v>2116.390625</c:v>
                      </c:pt>
                      <c:pt idx="84">
                        <c:v>2123.09375</c:v>
                      </c:pt>
                      <c:pt idx="85">
                        <c:v>2129.796875</c:v>
                      </c:pt>
                      <c:pt idx="86">
                        <c:v>2136.5</c:v>
                      </c:pt>
                      <c:pt idx="87">
                        <c:v>2143.203125</c:v>
                      </c:pt>
                      <c:pt idx="88">
                        <c:v>2149.90625</c:v>
                      </c:pt>
                      <c:pt idx="89">
                        <c:v>2156.609375</c:v>
                      </c:pt>
                      <c:pt idx="90">
                        <c:v>2163.3125</c:v>
                      </c:pt>
                      <c:pt idx="91">
                        <c:v>2170.015625</c:v>
                      </c:pt>
                      <c:pt idx="92">
                        <c:v>2176.71875</c:v>
                      </c:pt>
                      <c:pt idx="93">
                        <c:v>2183.421875</c:v>
                      </c:pt>
                      <c:pt idx="94">
                        <c:v>2190.125</c:v>
                      </c:pt>
                      <c:pt idx="95">
                        <c:v>2196.828125</c:v>
                      </c:pt>
                      <c:pt idx="96">
                        <c:v>2203.53125</c:v>
                      </c:pt>
                      <c:pt idx="97">
                        <c:v>2210.234375</c:v>
                      </c:pt>
                      <c:pt idx="98">
                        <c:v>2216.9375</c:v>
                      </c:pt>
                      <c:pt idx="99">
                        <c:v>2223.640625</c:v>
                      </c:pt>
                      <c:pt idx="100">
                        <c:v>2230.34375</c:v>
                      </c:pt>
                      <c:pt idx="101">
                        <c:v>2237.046875</c:v>
                      </c:pt>
                      <c:pt idx="102">
                        <c:v>2243.75</c:v>
                      </c:pt>
                      <c:pt idx="103">
                        <c:v>2250.453125</c:v>
                      </c:pt>
                      <c:pt idx="104">
                        <c:v>2257.15625</c:v>
                      </c:pt>
                      <c:pt idx="105">
                        <c:v>2263.859375</c:v>
                      </c:pt>
                      <c:pt idx="106">
                        <c:v>2270.5625</c:v>
                      </c:pt>
                      <c:pt idx="107">
                        <c:v>2277.265625</c:v>
                      </c:pt>
                      <c:pt idx="108">
                        <c:v>2283.96875</c:v>
                      </c:pt>
                      <c:pt idx="109">
                        <c:v>2290.671875</c:v>
                      </c:pt>
                      <c:pt idx="110">
                        <c:v>2297.375</c:v>
                      </c:pt>
                      <c:pt idx="111">
                        <c:v>2304.078125</c:v>
                      </c:pt>
                      <c:pt idx="112">
                        <c:v>2310.78125</c:v>
                      </c:pt>
                      <c:pt idx="113">
                        <c:v>2317.484375</c:v>
                      </c:pt>
                      <c:pt idx="114">
                        <c:v>2324.1875</c:v>
                      </c:pt>
                      <c:pt idx="115">
                        <c:v>2330.890625</c:v>
                      </c:pt>
                      <c:pt idx="116">
                        <c:v>2337.59375</c:v>
                      </c:pt>
                      <c:pt idx="117">
                        <c:v>2344.296875</c:v>
                      </c:pt>
                      <c:pt idx="118">
                        <c:v>2351</c:v>
                      </c:pt>
                      <c:pt idx="119">
                        <c:v>2357.703125</c:v>
                      </c:pt>
                      <c:pt idx="120">
                        <c:v>2364.40625</c:v>
                      </c:pt>
                      <c:pt idx="121">
                        <c:v>2371.109375</c:v>
                      </c:pt>
                      <c:pt idx="122">
                        <c:v>2377.8125</c:v>
                      </c:pt>
                      <c:pt idx="123">
                        <c:v>2384.515625</c:v>
                      </c:pt>
                      <c:pt idx="124">
                        <c:v>2391.21875</c:v>
                      </c:pt>
                      <c:pt idx="125">
                        <c:v>2397.921875</c:v>
                      </c:pt>
                      <c:pt idx="126">
                        <c:v>2404.625</c:v>
                      </c:pt>
                      <c:pt idx="127">
                        <c:v>2411.328125</c:v>
                      </c:pt>
                      <c:pt idx="128">
                        <c:v>2418.03125</c:v>
                      </c:pt>
                      <c:pt idx="129">
                        <c:v>2424.734375</c:v>
                      </c:pt>
                      <c:pt idx="130">
                        <c:v>2431.4375</c:v>
                      </c:pt>
                      <c:pt idx="131">
                        <c:v>2438.140625</c:v>
                      </c:pt>
                      <c:pt idx="132">
                        <c:v>2444.84375</c:v>
                      </c:pt>
                      <c:pt idx="133">
                        <c:v>2451.546875</c:v>
                      </c:pt>
                      <c:pt idx="134">
                        <c:v>2458.25</c:v>
                      </c:pt>
                      <c:pt idx="135">
                        <c:v>2464.953125</c:v>
                      </c:pt>
                      <c:pt idx="136">
                        <c:v>2471.65625</c:v>
                      </c:pt>
                      <c:pt idx="137">
                        <c:v>2478.359375</c:v>
                      </c:pt>
                      <c:pt idx="138">
                        <c:v>2485.0625</c:v>
                      </c:pt>
                      <c:pt idx="139">
                        <c:v>2491.765625</c:v>
                      </c:pt>
                      <c:pt idx="140">
                        <c:v>2498.46875</c:v>
                      </c:pt>
                      <c:pt idx="141">
                        <c:v>2505.171875</c:v>
                      </c:pt>
                      <c:pt idx="142">
                        <c:v>2511.875</c:v>
                      </c:pt>
                      <c:pt idx="143">
                        <c:v>2518.578125</c:v>
                      </c:pt>
                      <c:pt idx="144">
                        <c:v>2525.28125</c:v>
                      </c:pt>
                      <c:pt idx="145">
                        <c:v>2531.984375</c:v>
                      </c:pt>
                      <c:pt idx="146">
                        <c:v>2538.6875</c:v>
                      </c:pt>
                      <c:pt idx="147">
                        <c:v>2545.390625</c:v>
                      </c:pt>
                      <c:pt idx="148">
                        <c:v>2552.09375</c:v>
                      </c:pt>
                      <c:pt idx="149">
                        <c:v>2558.796875</c:v>
                      </c:pt>
                      <c:pt idx="150">
                        <c:v>2565.5</c:v>
                      </c:pt>
                      <c:pt idx="151">
                        <c:v>2572.203125</c:v>
                      </c:pt>
                      <c:pt idx="152">
                        <c:v>2578.90625</c:v>
                      </c:pt>
                      <c:pt idx="153">
                        <c:v>2585.609375</c:v>
                      </c:pt>
                      <c:pt idx="154">
                        <c:v>2592.3125</c:v>
                      </c:pt>
                      <c:pt idx="155">
                        <c:v>2599.015625</c:v>
                      </c:pt>
                      <c:pt idx="156">
                        <c:v>2605.71875</c:v>
                      </c:pt>
                      <c:pt idx="157">
                        <c:v>2612.421875</c:v>
                      </c:pt>
                      <c:pt idx="158">
                        <c:v>2619.125</c:v>
                      </c:pt>
                      <c:pt idx="159">
                        <c:v>2625.828125</c:v>
                      </c:pt>
                      <c:pt idx="160">
                        <c:v>2632.53125</c:v>
                      </c:pt>
                      <c:pt idx="161">
                        <c:v>2639.234375</c:v>
                      </c:pt>
                      <c:pt idx="162">
                        <c:v>2645.9375</c:v>
                      </c:pt>
                      <c:pt idx="163">
                        <c:v>2652.640625</c:v>
                      </c:pt>
                      <c:pt idx="164">
                        <c:v>2659.34375</c:v>
                      </c:pt>
                      <c:pt idx="165">
                        <c:v>2666.046875</c:v>
                      </c:pt>
                      <c:pt idx="166">
                        <c:v>2672.75</c:v>
                      </c:pt>
                      <c:pt idx="167">
                        <c:v>2679.453125</c:v>
                      </c:pt>
                      <c:pt idx="168">
                        <c:v>2686.15625</c:v>
                      </c:pt>
                      <c:pt idx="169">
                        <c:v>2692.859375</c:v>
                      </c:pt>
                      <c:pt idx="170">
                        <c:v>2699.5625</c:v>
                      </c:pt>
                      <c:pt idx="171">
                        <c:v>2706.265625</c:v>
                      </c:pt>
                      <c:pt idx="172">
                        <c:v>2712.96875</c:v>
                      </c:pt>
                      <c:pt idx="173">
                        <c:v>2719.671875</c:v>
                      </c:pt>
                      <c:pt idx="174">
                        <c:v>2726.375</c:v>
                      </c:pt>
                      <c:pt idx="175">
                        <c:v>2733.078125</c:v>
                      </c:pt>
                      <c:pt idx="176">
                        <c:v>2739.78125</c:v>
                      </c:pt>
                      <c:pt idx="177">
                        <c:v>2746.484375</c:v>
                      </c:pt>
                      <c:pt idx="178">
                        <c:v>2753.1875</c:v>
                      </c:pt>
                      <c:pt idx="179">
                        <c:v>2759.890625</c:v>
                      </c:pt>
                      <c:pt idx="180">
                        <c:v>2766.59375</c:v>
                      </c:pt>
                      <c:pt idx="181">
                        <c:v>2773.296875</c:v>
                      </c:pt>
                      <c:pt idx="182">
                        <c:v>2780</c:v>
                      </c:pt>
                      <c:pt idx="183">
                        <c:v>2786.703125</c:v>
                      </c:pt>
                      <c:pt idx="184">
                        <c:v>2793.40625</c:v>
                      </c:pt>
                      <c:pt idx="185">
                        <c:v>2800.109375</c:v>
                      </c:pt>
                      <c:pt idx="186">
                        <c:v>2806.8125</c:v>
                      </c:pt>
                      <c:pt idx="187">
                        <c:v>2813.515625</c:v>
                      </c:pt>
                      <c:pt idx="188">
                        <c:v>2820.21875</c:v>
                      </c:pt>
                      <c:pt idx="189">
                        <c:v>2826.921875</c:v>
                      </c:pt>
                      <c:pt idx="190">
                        <c:v>2833.625</c:v>
                      </c:pt>
                      <c:pt idx="191">
                        <c:v>2840.328125</c:v>
                      </c:pt>
                      <c:pt idx="192">
                        <c:v>2847.03125</c:v>
                      </c:pt>
                      <c:pt idx="193">
                        <c:v>2853.734375</c:v>
                      </c:pt>
                      <c:pt idx="194">
                        <c:v>2860.4375</c:v>
                      </c:pt>
                      <c:pt idx="195">
                        <c:v>2867.140625</c:v>
                      </c:pt>
                      <c:pt idx="196">
                        <c:v>2873.84375</c:v>
                      </c:pt>
                      <c:pt idx="197">
                        <c:v>2880.546875</c:v>
                      </c:pt>
                      <c:pt idx="198">
                        <c:v>2887.25</c:v>
                      </c:pt>
                      <c:pt idx="199">
                        <c:v>2893.953125</c:v>
                      </c:pt>
                      <c:pt idx="200">
                        <c:v>2900.65625</c:v>
                      </c:pt>
                      <c:pt idx="201">
                        <c:v>2907.359375</c:v>
                      </c:pt>
                      <c:pt idx="202">
                        <c:v>2914.0625</c:v>
                      </c:pt>
                      <c:pt idx="203">
                        <c:v>2920.765625</c:v>
                      </c:pt>
                      <c:pt idx="204">
                        <c:v>2927.46875</c:v>
                      </c:pt>
                      <c:pt idx="205">
                        <c:v>2934.171875</c:v>
                      </c:pt>
                      <c:pt idx="206">
                        <c:v>2940.875</c:v>
                      </c:pt>
                      <c:pt idx="207">
                        <c:v>2947.578125</c:v>
                      </c:pt>
                      <c:pt idx="208">
                        <c:v>2954.28125</c:v>
                      </c:pt>
                      <c:pt idx="209">
                        <c:v>2960.984375</c:v>
                      </c:pt>
                      <c:pt idx="210">
                        <c:v>2967.6875</c:v>
                      </c:pt>
                      <c:pt idx="211">
                        <c:v>2974.390625</c:v>
                      </c:pt>
                      <c:pt idx="212">
                        <c:v>2981.09375</c:v>
                      </c:pt>
                      <c:pt idx="213">
                        <c:v>2987.796875</c:v>
                      </c:pt>
                      <c:pt idx="214">
                        <c:v>2994.5</c:v>
                      </c:pt>
                      <c:pt idx="215">
                        <c:v>3001.203125</c:v>
                      </c:pt>
                      <c:pt idx="216">
                        <c:v>3007.90625</c:v>
                      </c:pt>
                      <c:pt idx="217">
                        <c:v>3014.609375</c:v>
                      </c:pt>
                      <c:pt idx="218">
                        <c:v>3021.3125</c:v>
                      </c:pt>
                      <c:pt idx="219">
                        <c:v>3028.015625</c:v>
                      </c:pt>
                      <c:pt idx="220">
                        <c:v>3034.71875</c:v>
                      </c:pt>
                      <c:pt idx="221">
                        <c:v>3041.421875</c:v>
                      </c:pt>
                      <c:pt idx="222">
                        <c:v>3048.125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Analysis!$W$34:$W$256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0.81162540365984925</c:v>
                      </c:pt>
                      <c:pt idx="1">
                        <c:v>0.81073170731707322</c:v>
                      </c:pt>
                      <c:pt idx="2">
                        <c:v>0.81313598519888997</c:v>
                      </c:pt>
                      <c:pt idx="3">
                        <c:v>0.81125226860254085</c:v>
                      </c:pt>
                      <c:pt idx="4">
                        <c:v>0.81090909090909091</c:v>
                      </c:pt>
                      <c:pt idx="5">
                        <c:v>0.81244364292155091</c:v>
                      </c:pt>
                      <c:pt idx="6">
                        <c:v>0.81364829396325455</c:v>
                      </c:pt>
                      <c:pt idx="7">
                        <c:v>0.81596638655462184</c:v>
                      </c:pt>
                      <c:pt idx="8">
                        <c:v>0.81709265175718848</c:v>
                      </c:pt>
                      <c:pt idx="9">
                        <c:v>0.81954887218045114</c:v>
                      </c:pt>
                      <c:pt idx="10">
                        <c:v>0.82496513249651326</c:v>
                      </c:pt>
                      <c:pt idx="11">
                        <c:v>0.83143219264892265</c:v>
                      </c:pt>
                      <c:pt idx="12">
                        <c:v>0.8360748723766307</c:v>
                      </c:pt>
                      <c:pt idx="13">
                        <c:v>0.84122287968441811</c:v>
                      </c:pt>
                      <c:pt idx="14">
                        <c:v>0.84783522488440521</c:v>
                      </c:pt>
                      <c:pt idx="15">
                        <c:v>0.85457112601482532</c:v>
                      </c:pt>
                      <c:pt idx="16">
                        <c:v>0.88030888030888033</c:v>
                      </c:pt>
                      <c:pt idx="17">
                        <c:v>0.92319547906498844</c:v>
                      </c:pt>
                      <c:pt idx="18">
                        <c:v>0.99316282603190686</c:v>
                      </c:pt>
                      <c:pt idx="19">
                        <c:v>0.99571680524061479</c:v>
                      </c:pt>
                      <c:pt idx="20">
                        <c:v>0.99648329565435823</c:v>
                      </c:pt>
                      <c:pt idx="21">
                        <c:v>0.99724241664577584</c:v>
                      </c:pt>
                      <c:pt idx="22">
                        <c:v>0.99724655819774721</c:v>
                      </c:pt>
                      <c:pt idx="23">
                        <c:v>0.9977488744372186</c:v>
                      </c:pt>
                      <c:pt idx="24">
                        <c:v>0.99874937468734371</c:v>
                      </c:pt>
                      <c:pt idx="25">
                        <c:v>0.9997498749374687</c:v>
                      </c:pt>
                      <c:pt idx="26">
                        <c:v>1</c:v>
                      </c:pt>
                      <c:pt idx="27">
                        <c:v>1.0002501876407306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0.99974981235926941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1.000250501002004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1.0002505637684791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0.99974918485076503</c:v>
                      </c:pt>
                      <c:pt idx="55">
                        <c:v>1</c:v>
                      </c:pt>
                      <c:pt idx="56">
                        <c:v>0.99974905897114175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0.99974899598393574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0.99974868057300825</c:v>
                      </c:pt>
                      <c:pt idx="64">
                        <c:v>1</c:v>
                      </c:pt>
                      <c:pt idx="65">
                        <c:v>1.000251509054326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0.99974804736709499</c:v>
                      </c:pt>
                      <c:pt idx="75">
                        <c:v>1</c:v>
                      </c:pt>
                      <c:pt idx="76">
                        <c:v>0.99949609473418999</c:v>
                      </c:pt>
                      <c:pt idx="77">
                        <c:v>1</c:v>
                      </c:pt>
                      <c:pt idx="78">
                        <c:v>0.99974804736709499</c:v>
                      </c:pt>
                      <c:pt idx="79">
                        <c:v>1.0002520161290323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0.99974804736709499</c:v>
                      </c:pt>
                      <c:pt idx="83">
                        <c:v>0.99974804736709499</c:v>
                      </c:pt>
                      <c:pt idx="84">
                        <c:v>1.0002520161290323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0.99974817426340967</c:v>
                      </c:pt>
                      <c:pt idx="90">
                        <c:v>0.99974811083123427</c:v>
                      </c:pt>
                      <c:pt idx="91">
                        <c:v>0.99949622166246854</c:v>
                      </c:pt>
                      <c:pt idx="92">
                        <c:v>0.99874087131704858</c:v>
                      </c:pt>
                      <c:pt idx="93">
                        <c:v>0.99899244332493697</c:v>
                      </c:pt>
                      <c:pt idx="94">
                        <c:v>0.99874055415617125</c:v>
                      </c:pt>
                      <c:pt idx="95">
                        <c:v>0.99874055415617125</c:v>
                      </c:pt>
                      <c:pt idx="96">
                        <c:v>0.99798488664987406</c:v>
                      </c:pt>
                      <c:pt idx="97">
                        <c:v>0.9974811083123426</c:v>
                      </c:pt>
                      <c:pt idx="98">
                        <c:v>0.99697732997481103</c:v>
                      </c:pt>
                      <c:pt idx="99">
                        <c:v>0.9974811083123426</c:v>
                      </c:pt>
                      <c:pt idx="100">
                        <c:v>0.99874055415617125</c:v>
                      </c:pt>
                      <c:pt idx="101">
                        <c:v>0.99949622166246854</c:v>
                      </c:pt>
                      <c:pt idx="102">
                        <c:v>0.99974811083123427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0.99974811083123427</c:v>
                      </c:pt>
                      <c:pt idx="106">
                        <c:v>0.99974804736709499</c:v>
                      </c:pt>
                      <c:pt idx="107">
                        <c:v>0.99949622166246854</c:v>
                      </c:pt>
                      <c:pt idx="108">
                        <c:v>0.99949622166246854</c:v>
                      </c:pt>
                      <c:pt idx="109">
                        <c:v>0.99899218946837998</c:v>
                      </c:pt>
                      <c:pt idx="110">
                        <c:v>0.99848866498740552</c:v>
                      </c:pt>
                      <c:pt idx="111">
                        <c:v>0.99848866498740552</c:v>
                      </c:pt>
                      <c:pt idx="112">
                        <c:v>0.99773299748110833</c:v>
                      </c:pt>
                      <c:pt idx="113">
                        <c:v>0.99722991689750695</c:v>
                      </c:pt>
                      <c:pt idx="114">
                        <c:v>0.99697656840513982</c:v>
                      </c:pt>
                      <c:pt idx="115">
                        <c:v>0.99672461577223481</c:v>
                      </c:pt>
                      <c:pt idx="116">
                        <c:v>0.99647355163727958</c:v>
                      </c:pt>
                      <c:pt idx="117">
                        <c:v>0.9962207105064248</c:v>
                      </c:pt>
                      <c:pt idx="118">
                        <c:v>0.99571572580645162</c:v>
                      </c:pt>
                      <c:pt idx="119">
                        <c:v>0.99521289997480478</c:v>
                      </c:pt>
                      <c:pt idx="120">
                        <c:v>0.99471032745591936</c:v>
                      </c:pt>
                      <c:pt idx="121">
                        <c:v>0.99420362903225812</c:v>
                      </c:pt>
                      <c:pt idx="122">
                        <c:v>0.99344923154446962</c:v>
                      </c:pt>
                      <c:pt idx="123">
                        <c:v>0.99218946837994459</c:v>
                      </c:pt>
                      <c:pt idx="124">
                        <c:v>0.99143145161290325</c:v>
                      </c:pt>
                      <c:pt idx="125">
                        <c:v>0.99017384731670444</c:v>
                      </c:pt>
                      <c:pt idx="126">
                        <c:v>0.98891687657430727</c:v>
                      </c:pt>
                      <c:pt idx="127">
                        <c:v>0.98740236835474926</c:v>
                      </c:pt>
                      <c:pt idx="128">
                        <c:v>0.9846308893927942</c:v>
                      </c:pt>
                      <c:pt idx="129">
                        <c:v>0.97959697732997486</c:v>
                      </c:pt>
                      <c:pt idx="130">
                        <c:v>0.96246851385390431</c:v>
                      </c:pt>
                      <c:pt idx="131">
                        <c:v>0.85638566380615855</c:v>
                      </c:pt>
                      <c:pt idx="132">
                        <c:v>0.73969137364027326</c:v>
                      </c:pt>
                      <c:pt idx="133">
                        <c:v>0.63280853224987299</c:v>
                      </c:pt>
                      <c:pt idx="134">
                        <c:v>0.53687165093136002</c:v>
                      </c:pt>
                      <c:pt idx="135">
                        <c:v>0.46296774193548385</c:v>
                      </c:pt>
                      <c:pt idx="136">
                        <c:v>0.43537414965986393</c:v>
                      </c:pt>
                      <c:pt idx="137">
                        <c:v>0.43868232224396608</c:v>
                      </c:pt>
                      <c:pt idx="138">
                        <c:v>0.43958099513655069</c:v>
                      </c:pt>
                      <c:pt idx="139">
                        <c:v>0.44164172723386064</c:v>
                      </c:pt>
                      <c:pt idx="140">
                        <c:v>0.44570024570024569</c:v>
                      </c:pt>
                      <c:pt idx="141">
                        <c:v>0.4533106960950764</c:v>
                      </c:pt>
                      <c:pt idx="142">
                        <c:v>0.46013071895424834</c:v>
                      </c:pt>
                      <c:pt idx="143">
                        <c:v>0.46581517655897819</c:v>
                      </c:pt>
                      <c:pt idx="144">
                        <c:v>0.47540983606557374</c:v>
                      </c:pt>
                      <c:pt idx="145">
                        <c:v>0.48675171736997058</c:v>
                      </c:pt>
                      <c:pt idx="146">
                        <c:v>0.49668874172185429</c:v>
                      </c:pt>
                      <c:pt idx="147">
                        <c:v>0.50735294117647056</c:v>
                      </c:pt>
                      <c:pt idx="148">
                        <c:v>0.52162162162162162</c:v>
                      </c:pt>
                      <c:pt idx="149">
                        <c:v>0.53333333333333333</c:v>
                      </c:pt>
                      <c:pt idx="150">
                        <c:v>0.551219512195122</c:v>
                      </c:pt>
                      <c:pt idx="151">
                        <c:v>0.56382978723404253</c:v>
                      </c:pt>
                      <c:pt idx="152">
                        <c:v>0.57499999999999996</c:v>
                      </c:pt>
                      <c:pt idx="153">
                        <c:v>0.59043659043659047</c:v>
                      </c:pt>
                      <c:pt idx="154">
                        <c:v>0.6049107142857143</c:v>
                      </c:pt>
                      <c:pt idx="155">
                        <c:v>0.61792452830188682</c:v>
                      </c:pt>
                      <c:pt idx="156">
                        <c:v>0.6216216216216216</c:v>
                      </c:pt>
                      <c:pt idx="157">
                        <c:v>0.63171355498721227</c:v>
                      </c:pt>
                      <c:pt idx="158">
                        <c:v>0.64456233421750664</c:v>
                      </c:pt>
                      <c:pt idx="159">
                        <c:v>0.64850136239782019</c:v>
                      </c:pt>
                      <c:pt idx="160">
                        <c:v>0.66016713091922008</c:v>
                      </c:pt>
                      <c:pt idx="161">
                        <c:v>0.66572237960339942</c:v>
                      </c:pt>
                      <c:pt idx="162">
                        <c:v>0.67251461988304095</c:v>
                      </c:pt>
                      <c:pt idx="163">
                        <c:v>0.68562874251497008</c:v>
                      </c:pt>
                      <c:pt idx="164">
                        <c:v>0.69512195121951215</c:v>
                      </c:pt>
                      <c:pt idx="165">
                        <c:v>0.71207430340557276</c:v>
                      </c:pt>
                      <c:pt idx="166">
                        <c:v>0.71562499999999996</c:v>
                      </c:pt>
                      <c:pt idx="167">
                        <c:v>0.72413793103448276</c:v>
                      </c:pt>
                      <c:pt idx="168">
                        <c:v>0.72585669781931461</c:v>
                      </c:pt>
                      <c:pt idx="169">
                        <c:v>0.73374613003095979</c:v>
                      </c:pt>
                      <c:pt idx="170">
                        <c:v>0.74143302180685355</c:v>
                      </c:pt>
                      <c:pt idx="171">
                        <c:v>0.74223602484472051</c:v>
                      </c:pt>
                      <c:pt idx="172">
                        <c:v>0.75</c:v>
                      </c:pt>
                      <c:pt idx="173">
                        <c:v>0.75075987841945291</c:v>
                      </c:pt>
                      <c:pt idx="174">
                        <c:v>0.75449101796407181</c:v>
                      </c:pt>
                      <c:pt idx="175">
                        <c:v>0.75811209439528027</c:v>
                      </c:pt>
                      <c:pt idx="176">
                        <c:v>0.76231884057971011</c:v>
                      </c:pt>
                      <c:pt idx="177">
                        <c:v>0.76770538243626063</c:v>
                      </c:pt>
                      <c:pt idx="178">
                        <c:v>0.77285318559556782</c:v>
                      </c:pt>
                      <c:pt idx="179">
                        <c:v>0.77567567567567564</c:v>
                      </c:pt>
                      <c:pt idx="180">
                        <c:v>0.77894736842105261</c:v>
                      </c:pt>
                      <c:pt idx="181">
                        <c:v>0.78205128205128205</c:v>
                      </c:pt>
                      <c:pt idx="182">
                        <c:v>0.78024691358024689</c:v>
                      </c:pt>
                      <c:pt idx="183">
                        <c:v>0.78281622911694515</c:v>
                      </c:pt>
                      <c:pt idx="184">
                        <c:v>0.78718535469107553</c:v>
                      </c:pt>
                      <c:pt idx="185">
                        <c:v>0.78774617067833697</c:v>
                      </c:pt>
                      <c:pt idx="186">
                        <c:v>0.78496868475991655</c:v>
                      </c:pt>
                      <c:pt idx="187">
                        <c:v>0.78873239436619713</c:v>
                      </c:pt>
                      <c:pt idx="188">
                        <c:v>0.78916827852998062</c:v>
                      </c:pt>
                      <c:pt idx="189">
                        <c:v>0.78810408921933084</c:v>
                      </c:pt>
                      <c:pt idx="190">
                        <c:v>0.7871198568872988</c:v>
                      </c:pt>
                      <c:pt idx="191">
                        <c:v>0.78756476683937826</c:v>
                      </c:pt>
                      <c:pt idx="192">
                        <c:v>0.78535773710482526</c:v>
                      </c:pt>
                      <c:pt idx="193">
                        <c:v>0.78559999999999997</c:v>
                      </c:pt>
                      <c:pt idx="194">
                        <c:v>0.78549382716049387</c:v>
                      </c:pt>
                      <c:pt idx="195">
                        <c:v>0.78138847858197935</c:v>
                      </c:pt>
                      <c:pt idx="196">
                        <c:v>0.78359264497878356</c:v>
                      </c:pt>
                      <c:pt idx="197">
                        <c:v>0.78032345013477089</c:v>
                      </c:pt>
                      <c:pt idx="198">
                        <c:v>0.78249678249678245</c:v>
                      </c:pt>
                      <c:pt idx="199">
                        <c:v>0.77764127764127766</c:v>
                      </c:pt>
                      <c:pt idx="200">
                        <c:v>0.7767332549941246</c:v>
                      </c:pt>
                      <c:pt idx="201">
                        <c:v>0.77564825253664038</c:v>
                      </c:pt>
                      <c:pt idx="202">
                        <c:v>0.77429805615550751</c:v>
                      </c:pt>
                      <c:pt idx="203">
                        <c:v>0.77456049638055846</c:v>
                      </c:pt>
                      <c:pt idx="204">
                        <c:v>0.77120315581854049</c:v>
                      </c:pt>
                      <c:pt idx="205">
                        <c:v>0.77161654135338342</c:v>
                      </c:pt>
                      <c:pt idx="206">
                        <c:v>0.7701252236135957</c:v>
                      </c:pt>
                      <c:pt idx="207">
                        <c:v>0.76843910806174953</c:v>
                      </c:pt>
                      <c:pt idx="208">
                        <c:v>0.76683087027914609</c:v>
                      </c:pt>
                      <c:pt idx="209">
                        <c:v>0.76442687747035576</c:v>
                      </c:pt>
                      <c:pt idx="210">
                        <c:v>0.76452599388379205</c:v>
                      </c:pt>
                      <c:pt idx="211">
                        <c:v>0.76374442793462105</c:v>
                      </c:pt>
                      <c:pt idx="212">
                        <c:v>0.76334776334776333</c:v>
                      </c:pt>
                      <c:pt idx="213">
                        <c:v>0.76507713884992989</c:v>
                      </c:pt>
                      <c:pt idx="214">
                        <c:v>0.76514635806671205</c:v>
                      </c:pt>
                      <c:pt idx="215">
                        <c:v>0.76190476190476186</c:v>
                      </c:pt>
                      <c:pt idx="216">
                        <c:v>0.76273372018052865</c:v>
                      </c:pt>
                      <c:pt idx="217">
                        <c:v>0.76029962546816476</c:v>
                      </c:pt>
                      <c:pt idx="218">
                        <c:v>0.75859987929993966</c:v>
                      </c:pt>
                      <c:pt idx="219">
                        <c:v>0.75526932084309129</c:v>
                      </c:pt>
                      <c:pt idx="220">
                        <c:v>0.7531285551763367</c:v>
                      </c:pt>
                      <c:pt idx="221">
                        <c:v>0.75124653739612191</c:v>
                      </c:pt>
                      <c:pt idx="222">
                        <c:v>0.74986522911051212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CFA-467B-9772-44740E50823C}"/>
                  </c:ext>
                </c:extLst>
              </c15:ser>
            </c15:filteredScatterSeries>
          </c:ext>
        </c:extLst>
      </c:scatterChart>
      <c:valAx>
        <c:axId val="1824532655"/>
        <c:scaling>
          <c:orientation val="minMax"/>
          <c:max val="25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02479"/>
        <c:crosses val="autoZero"/>
        <c:crossBetween val="midCat"/>
      </c:valAx>
      <c:valAx>
        <c:axId val="20514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53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F40887-288B-4AE9-B30C-59DCEF79C3E2}">
  <sheetPr/>
  <sheetViews>
    <sheetView tabSelected="1"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301625</xdr:colOff>
      <xdr:row>4</xdr:row>
      <xdr:rowOff>95250</xdr:rowOff>
    </xdr:from>
    <xdr:to>
      <xdr:col>12</xdr:col>
      <xdr:colOff>606425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84229-5589-D086-BB3C-FCBAB581C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321467</xdr:colOff>
      <xdr:row>2</xdr:row>
      <xdr:rowOff>61118</xdr:rowOff>
    </xdr:from>
    <xdr:to>
      <xdr:col>35</xdr:col>
      <xdr:colOff>523874</xdr:colOff>
      <xdr:row>27</xdr:row>
      <xdr:rowOff>134937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D70AD0-F689-EAE2-5FB5-0AC9C4C82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933" cy="6045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B2C6E-45EF-EF9A-BCC0-DF21B3544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9"/>
  <sheetViews>
    <sheetView topLeftCell="B1" workbookViewId="0">
      <selection activeCell="O2" sqref="O2:O289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45888</v>
      </c>
      <c r="B2" s="2">
        <v>0.80381722222222229</v>
      </c>
      <c r="C2">
        <v>79</v>
      </c>
      <c r="D2">
        <v>238</v>
      </c>
      <c r="E2">
        <v>0</v>
      </c>
      <c r="F2">
        <v>8</v>
      </c>
      <c r="G2">
        <v>0</v>
      </c>
      <c r="H2">
        <v>2368</v>
      </c>
      <c r="I2">
        <v>1784</v>
      </c>
      <c r="J2">
        <v>0</v>
      </c>
      <c r="K2">
        <v>100</v>
      </c>
      <c r="L2">
        <v>174</v>
      </c>
      <c r="M2">
        <v>6</v>
      </c>
      <c r="N2">
        <v>2</v>
      </c>
      <c r="O2">
        <v>3947</v>
      </c>
      <c r="P2">
        <v>155</v>
      </c>
      <c r="Q2">
        <v>6</v>
      </c>
      <c r="R2">
        <v>404</v>
      </c>
      <c r="S2">
        <v>398</v>
      </c>
      <c r="T2">
        <v>207</v>
      </c>
    </row>
    <row r="3" spans="1:20" x14ac:dyDescent="0.35">
      <c r="A3" s="1">
        <v>45888</v>
      </c>
      <c r="B3" s="2">
        <v>0.80382980324074083</v>
      </c>
      <c r="C3">
        <v>79</v>
      </c>
      <c r="D3">
        <v>242</v>
      </c>
      <c r="E3">
        <v>0</v>
      </c>
      <c r="F3">
        <v>8</v>
      </c>
      <c r="G3">
        <v>0</v>
      </c>
      <c r="H3">
        <v>2368</v>
      </c>
      <c r="I3">
        <v>1784</v>
      </c>
      <c r="J3">
        <v>0</v>
      </c>
      <c r="K3">
        <v>100</v>
      </c>
      <c r="L3">
        <v>166</v>
      </c>
      <c r="M3">
        <v>6</v>
      </c>
      <c r="N3">
        <v>0</v>
      </c>
      <c r="O3">
        <v>3950</v>
      </c>
      <c r="P3">
        <v>158</v>
      </c>
      <c r="Q3">
        <v>6</v>
      </c>
      <c r="R3">
        <v>404</v>
      </c>
      <c r="S3">
        <v>397</v>
      </c>
      <c r="T3">
        <v>157</v>
      </c>
    </row>
    <row r="4" spans="1:20" x14ac:dyDescent="0.35">
      <c r="A4" s="1">
        <v>45888</v>
      </c>
      <c r="B4" s="2">
        <v>0.80384552083333327</v>
      </c>
      <c r="C4">
        <v>79</v>
      </c>
      <c r="D4">
        <v>247</v>
      </c>
      <c r="E4">
        <v>0</v>
      </c>
      <c r="F4">
        <v>8</v>
      </c>
      <c r="G4">
        <v>0</v>
      </c>
      <c r="H4">
        <v>2368</v>
      </c>
      <c r="I4">
        <v>1784</v>
      </c>
      <c r="J4">
        <v>0</v>
      </c>
      <c r="K4">
        <v>100</v>
      </c>
      <c r="L4">
        <v>170</v>
      </c>
      <c r="M4">
        <v>6</v>
      </c>
      <c r="N4">
        <v>1</v>
      </c>
      <c r="O4">
        <v>3954</v>
      </c>
      <c r="P4">
        <v>161</v>
      </c>
      <c r="Q4">
        <v>6</v>
      </c>
      <c r="R4">
        <v>404</v>
      </c>
      <c r="S4">
        <v>398</v>
      </c>
      <c r="T4">
        <v>8</v>
      </c>
    </row>
    <row r="5" spans="1:20" x14ac:dyDescent="0.35">
      <c r="A5" s="1">
        <v>45888</v>
      </c>
      <c r="B5" s="2">
        <v>0.80386150462962969</v>
      </c>
      <c r="C5">
        <v>79</v>
      </c>
      <c r="D5">
        <v>252</v>
      </c>
      <c r="E5">
        <v>0</v>
      </c>
      <c r="F5">
        <v>8</v>
      </c>
      <c r="G5">
        <v>0</v>
      </c>
      <c r="H5">
        <v>2368</v>
      </c>
      <c r="I5">
        <v>1784</v>
      </c>
      <c r="J5">
        <v>0</v>
      </c>
      <c r="K5">
        <v>100</v>
      </c>
      <c r="L5">
        <v>165</v>
      </c>
      <c r="M5">
        <v>6</v>
      </c>
      <c r="N5">
        <v>1</v>
      </c>
      <c r="O5">
        <v>3958</v>
      </c>
      <c r="P5">
        <v>166</v>
      </c>
      <c r="Q5">
        <v>6</v>
      </c>
      <c r="R5">
        <v>404</v>
      </c>
      <c r="S5">
        <v>398</v>
      </c>
      <c r="T5">
        <v>252</v>
      </c>
    </row>
    <row r="6" spans="1:20" x14ac:dyDescent="0.35">
      <c r="A6" s="1">
        <v>45888</v>
      </c>
      <c r="B6" s="2">
        <v>0.80387748842592588</v>
      </c>
      <c r="C6">
        <v>79</v>
      </c>
      <c r="D6">
        <v>1</v>
      </c>
      <c r="E6">
        <v>0</v>
      </c>
      <c r="F6">
        <v>8</v>
      </c>
      <c r="G6">
        <v>0</v>
      </c>
      <c r="H6">
        <v>2368</v>
      </c>
      <c r="I6">
        <v>1784</v>
      </c>
      <c r="J6">
        <v>0</v>
      </c>
      <c r="K6">
        <v>100</v>
      </c>
      <c r="L6">
        <v>170</v>
      </c>
      <c r="M6">
        <v>6</v>
      </c>
      <c r="N6">
        <v>0</v>
      </c>
      <c r="O6">
        <v>3961</v>
      </c>
      <c r="P6">
        <v>168</v>
      </c>
      <c r="Q6">
        <v>6</v>
      </c>
      <c r="R6">
        <v>404</v>
      </c>
      <c r="S6">
        <v>398</v>
      </c>
      <c r="T6">
        <v>32</v>
      </c>
    </row>
    <row r="7" spans="1:20" x14ac:dyDescent="0.35">
      <c r="A7" s="1">
        <v>45888</v>
      </c>
      <c r="B7" s="2">
        <v>0.80389346064814815</v>
      </c>
      <c r="C7">
        <v>79</v>
      </c>
      <c r="D7">
        <v>6</v>
      </c>
      <c r="E7">
        <v>0</v>
      </c>
      <c r="F7">
        <v>8</v>
      </c>
      <c r="G7">
        <v>0</v>
      </c>
      <c r="H7">
        <v>2368</v>
      </c>
      <c r="I7">
        <v>1784</v>
      </c>
      <c r="J7">
        <v>0</v>
      </c>
      <c r="K7">
        <v>100</v>
      </c>
      <c r="L7">
        <v>171</v>
      </c>
      <c r="M7">
        <v>6</v>
      </c>
      <c r="N7">
        <v>0</v>
      </c>
      <c r="O7">
        <v>3964</v>
      </c>
      <c r="P7">
        <v>172</v>
      </c>
      <c r="Q7">
        <v>7</v>
      </c>
      <c r="R7">
        <v>404</v>
      </c>
      <c r="S7">
        <v>398</v>
      </c>
      <c r="T7">
        <v>162</v>
      </c>
    </row>
    <row r="8" spans="1:20" x14ac:dyDescent="0.35">
      <c r="A8" s="1">
        <v>45888</v>
      </c>
      <c r="B8" s="2">
        <v>0.80390937500000004</v>
      </c>
      <c r="C8">
        <v>79</v>
      </c>
      <c r="D8">
        <v>11</v>
      </c>
      <c r="E8">
        <v>0</v>
      </c>
      <c r="F8">
        <v>0</v>
      </c>
      <c r="G8">
        <v>0</v>
      </c>
      <c r="H8">
        <v>2368</v>
      </c>
      <c r="I8">
        <v>1784</v>
      </c>
      <c r="J8">
        <v>0</v>
      </c>
      <c r="K8">
        <v>100</v>
      </c>
      <c r="L8">
        <v>180</v>
      </c>
      <c r="M8">
        <v>6</v>
      </c>
      <c r="N8">
        <v>1</v>
      </c>
      <c r="O8">
        <v>3969</v>
      </c>
      <c r="P8">
        <v>178</v>
      </c>
      <c r="Q8">
        <v>6</v>
      </c>
      <c r="R8">
        <v>404</v>
      </c>
      <c r="S8">
        <v>398</v>
      </c>
      <c r="T8">
        <v>1</v>
      </c>
    </row>
    <row r="9" spans="1:20" x14ac:dyDescent="0.35">
      <c r="A9" s="1">
        <v>45888</v>
      </c>
      <c r="B9" s="2">
        <v>0.80392533564814816</v>
      </c>
      <c r="C9">
        <v>79</v>
      </c>
      <c r="D9">
        <v>16</v>
      </c>
      <c r="E9">
        <v>0</v>
      </c>
      <c r="F9">
        <v>0</v>
      </c>
      <c r="G9">
        <v>0</v>
      </c>
      <c r="H9">
        <v>2368</v>
      </c>
      <c r="I9">
        <v>1784</v>
      </c>
      <c r="J9">
        <v>0</v>
      </c>
      <c r="K9">
        <v>100</v>
      </c>
      <c r="L9">
        <v>178</v>
      </c>
      <c r="M9">
        <v>6</v>
      </c>
      <c r="N9">
        <v>2</v>
      </c>
      <c r="O9">
        <v>3971</v>
      </c>
      <c r="P9">
        <v>182</v>
      </c>
      <c r="Q9">
        <v>7</v>
      </c>
      <c r="R9">
        <v>403</v>
      </c>
      <c r="S9">
        <v>398</v>
      </c>
      <c r="T9">
        <v>56</v>
      </c>
    </row>
    <row r="10" spans="1:20" x14ac:dyDescent="0.35">
      <c r="A10" s="1">
        <v>45888</v>
      </c>
      <c r="B10" s="2">
        <v>0.80394125000000005</v>
      </c>
      <c r="C10">
        <v>79</v>
      </c>
      <c r="D10">
        <v>21</v>
      </c>
      <c r="E10">
        <v>0</v>
      </c>
      <c r="F10">
        <v>0</v>
      </c>
      <c r="G10">
        <v>0</v>
      </c>
      <c r="H10">
        <v>2368</v>
      </c>
      <c r="I10">
        <v>1784</v>
      </c>
      <c r="J10">
        <v>0</v>
      </c>
      <c r="K10">
        <v>100</v>
      </c>
      <c r="L10">
        <v>176</v>
      </c>
      <c r="M10">
        <v>6</v>
      </c>
      <c r="N10">
        <v>1</v>
      </c>
      <c r="O10">
        <v>3975</v>
      </c>
      <c r="P10">
        <v>186</v>
      </c>
      <c r="Q10">
        <v>8</v>
      </c>
      <c r="R10">
        <v>404</v>
      </c>
      <c r="S10">
        <v>398</v>
      </c>
      <c r="T10">
        <v>232</v>
      </c>
    </row>
    <row r="11" spans="1:20" x14ac:dyDescent="0.35">
      <c r="A11" s="1">
        <v>45888</v>
      </c>
      <c r="B11" s="2">
        <v>0.80395722222222221</v>
      </c>
      <c r="C11">
        <v>79</v>
      </c>
      <c r="D11">
        <v>26</v>
      </c>
      <c r="E11">
        <v>0</v>
      </c>
      <c r="F11">
        <v>0</v>
      </c>
      <c r="G11">
        <v>0</v>
      </c>
      <c r="H11">
        <v>2368</v>
      </c>
      <c r="I11">
        <v>1784</v>
      </c>
      <c r="J11">
        <v>0</v>
      </c>
      <c r="K11">
        <v>100</v>
      </c>
      <c r="L11">
        <v>179</v>
      </c>
      <c r="M11">
        <v>6</v>
      </c>
      <c r="N11">
        <v>0</v>
      </c>
      <c r="O11">
        <v>3976</v>
      </c>
      <c r="P11">
        <v>190</v>
      </c>
      <c r="Q11">
        <v>8</v>
      </c>
      <c r="R11">
        <v>404</v>
      </c>
      <c r="S11">
        <v>399</v>
      </c>
      <c r="T11">
        <v>185</v>
      </c>
    </row>
    <row r="12" spans="1:20" x14ac:dyDescent="0.35">
      <c r="A12" s="1">
        <v>45888</v>
      </c>
      <c r="B12" s="2">
        <v>0.80397306712962968</v>
      </c>
      <c r="C12">
        <v>79</v>
      </c>
      <c r="D12">
        <v>31</v>
      </c>
      <c r="E12">
        <v>0</v>
      </c>
      <c r="F12">
        <v>0</v>
      </c>
      <c r="G12">
        <v>0</v>
      </c>
      <c r="H12">
        <v>2368</v>
      </c>
      <c r="I12">
        <v>1784</v>
      </c>
      <c r="J12">
        <v>0</v>
      </c>
      <c r="K12">
        <v>100</v>
      </c>
      <c r="L12">
        <v>172</v>
      </c>
      <c r="M12">
        <v>7</v>
      </c>
      <c r="N12">
        <v>2</v>
      </c>
      <c r="O12">
        <v>3979</v>
      </c>
      <c r="P12">
        <v>194</v>
      </c>
      <c r="Q12">
        <v>8</v>
      </c>
      <c r="R12">
        <v>404</v>
      </c>
      <c r="S12">
        <v>398</v>
      </c>
      <c r="T12">
        <v>33</v>
      </c>
    </row>
    <row r="13" spans="1:20" x14ac:dyDescent="0.35">
      <c r="A13" s="1">
        <v>45888</v>
      </c>
      <c r="B13" s="2">
        <v>0.80398888888888886</v>
      </c>
      <c r="C13">
        <v>79</v>
      </c>
      <c r="D13">
        <v>36</v>
      </c>
      <c r="E13">
        <v>0</v>
      </c>
      <c r="F13">
        <v>0</v>
      </c>
      <c r="G13">
        <v>0</v>
      </c>
      <c r="H13">
        <v>2368</v>
      </c>
      <c r="I13">
        <v>1784</v>
      </c>
      <c r="J13">
        <v>0</v>
      </c>
      <c r="K13">
        <v>100</v>
      </c>
      <c r="L13">
        <v>179</v>
      </c>
      <c r="M13">
        <v>6</v>
      </c>
      <c r="N13">
        <v>0</v>
      </c>
      <c r="O13">
        <v>3980</v>
      </c>
      <c r="P13">
        <v>198</v>
      </c>
      <c r="Q13">
        <v>7</v>
      </c>
      <c r="R13">
        <v>404</v>
      </c>
      <c r="S13">
        <v>397</v>
      </c>
      <c r="T13">
        <v>246</v>
      </c>
    </row>
    <row r="14" spans="1:20" x14ac:dyDescent="0.35">
      <c r="A14" s="1">
        <v>45888</v>
      </c>
      <c r="B14" s="2">
        <v>0.80400469907407401</v>
      </c>
      <c r="C14">
        <v>79</v>
      </c>
      <c r="D14">
        <v>41</v>
      </c>
      <c r="E14">
        <v>0</v>
      </c>
      <c r="F14">
        <v>0</v>
      </c>
      <c r="G14">
        <v>0</v>
      </c>
      <c r="H14">
        <v>2368</v>
      </c>
      <c r="I14">
        <v>1784</v>
      </c>
      <c r="J14">
        <v>0</v>
      </c>
      <c r="K14">
        <v>100</v>
      </c>
      <c r="L14">
        <v>176</v>
      </c>
      <c r="M14">
        <v>6</v>
      </c>
      <c r="N14">
        <v>0</v>
      </c>
      <c r="O14">
        <v>3983</v>
      </c>
      <c r="P14">
        <v>200</v>
      </c>
      <c r="Q14">
        <v>8</v>
      </c>
      <c r="R14">
        <v>404</v>
      </c>
      <c r="S14">
        <v>398</v>
      </c>
      <c r="T14">
        <v>139</v>
      </c>
    </row>
    <row r="15" spans="1:20" x14ac:dyDescent="0.35">
      <c r="A15" s="1">
        <v>45888</v>
      </c>
      <c r="B15" s="2">
        <v>0.80402067129629629</v>
      </c>
      <c r="C15">
        <v>79</v>
      </c>
      <c r="D15">
        <v>46</v>
      </c>
      <c r="E15">
        <v>0</v>
      </c>
      <c r="F15">
        <v>0</v>
      </c>
      <c r="G15">
        <v>0</v>
      </c>
      <c r="H15">
        <v>2368</v>
      </c>
      <c r="I15">
        <v>1784</v>
      </c>
      <c r="J15">
        <v>0</v>
      </c>
      <c r="K15">
        <v>100</v>
      </c>
      <c r="L15">
        <v>185</v>
      </c>
      <c r="M15">
        <v>6</v>
      </c>
      <c r="N15">
        <v>1</v>
      </c>
      <c r="O15">
        <v>3985</v>
      </c>
      <c r="P15">
        <v>204</v>
      </c>
      <c r="Q15">
        <v>8</v>
      </c>
      <c r="R15">
        <v>404</v>
      </c>
      <c r="S15">
        <v>397</v>
      </c>
      <c r="T15">
        <v>1</v>
      </c>
    </row>
    <row r="16" spans="1:20" x14ac:dyDescent="0.35">
      <c r="A16" s="1">
        <v>45888</v>
      </c>
      <c r="B16" s="2">
        <v>0.80403648148148144</v>
      </c>
      <c r="C16">
        <v>79</v>
      </c>
      <c r="D16">
        <v>51</v>
      </c>
      <c r="E16">
        <v>0</v>
      </c>
      <c r="F16">
        <v>0</v>
      </c>
      <c r="G16">
        <v>0</v>
      </c>
      <c r="H16">
        <v>2368</v>
      </c>
      <c r="I16">
        <v>1784</v>
      </c>
      <c r="J16">
        <v>0</v>
      </c>
      <c r="K16">
        <v>100</v>
      </c>
      <c r="L16">
        <v>182</v>
      </c>
      <c r="M16">
        <v>6</v>
      </c>
      <c r="N16">
        <v>2</v>
      </c>
      <c r="O16">
        <v>3987</v>
      </c>
      <c r="P16">
        <v>208</v>
      </c>
      <c r="Q16">
        <v>8</v>
      </c>
      <c r="R16">
        <v>404</v>
      </c>
      <c r="S16">
        <v>398</v>
      </c>
      <c r="T16">
        <v>254</v>
      </c>
    </row>
    <row r="17" spans="1:20" x14ac:dyDescent="0.35">
      <c r="A17" s="1">
        <v>45888</v>
      </c>
      <c r="B17" s="2">
        <v>0.80405247685185188</v>
      </c>
      <c r="C17">
        <v>79</v>
      </c>
      <c r="D17">
        <v>56</v>
      </c>
      <c r="E17">
        <v>0</v>
      </c>
      <c r="F17">
        <v>0</v>
      </c>
      <c r="G17">
        <v>0</v>
      </c>
      <c r="H17">
        <v>2368</v>
      </c>
      <c r="I17">
        <v>1784</v>
      </c>
      <c r="J17">
        <v>0</v>
      </c>
      <c r="K17">
        <v>100</v>
      </c>
      <c r="L17">
        <v>182</v>
      </c>
      <c r="M17">
        <v>6</v>
      </c>
      <c r="N17">
        <v>0</v>
      </c>
      <c r="O17">
        <v>3987</v>
      </c>
      <c r="P17">
        <v>210</v>
      </c>
      <c r="Q17">
        <v>8</v>
      </c>
      <c r="R17">
        <v>405</v>
      </c>
      <c r="S17">
        <v>398</v>
      </c>
      <c r="T17">
        <v>167</v>
      </c>
    </row>
    <row r="18" spans="1:20" x14ac:dyDescent="0.35">
      <c r="A18" s="1">
        <v>45888</v>
      </c>
      <c r="B18" s="2">
        <v>0.80406828703703703</v>
      </c>
      <c r="C18">
        <v>79</v>
      </c>
      <c r="D18">
        <v>61</v>
      </c>
      <c r="E18">
        <v>0</v>
      </c>
      <c r="F18">
        <v>0</v>
      </c>
      <c r="G18">
        <v>0</v>
      </c>
      <c r="H18">
        <v>2368</v>
      </c>
      <c r="I18">
        <v>1784</v>
      </c>
      <c r="J18">
        <v>0</v>
      </c>
      <c r="K18">
        <v>100</v>
      </c>
      <c r="L18">
        <v>184</v>
      </c>
      <c r="M18">
        <v>6</v>
      </c>
      <c r="N18">
        <v>1</v>
      </c>
      <c r="O18">
        <v>3988</v>
      </c>
      <c r="P18">
        <v>212</v>
      </c>
      <c r="Q18">
        <v>8</v>
      </c>
      <c r="R18">
        <v>404</v>
      </c>
      <c r="S18">
        <v>398</v>
      </c>
      <c r="T18">
        <v>181</v>
      </c>
    </row>
    <row r="19" spans="1:20" x14ac:dyDescent="0.35">
      <c r="A19" s="1">
        <v>45888</v>
      </c>
      <c r="B19" s="2">
        <v>0.80408430555555566</v>
      </c>
      <c r="C19">
        <v>79</v>
      </c>
      <c r="D19">
        <v>66</v>
      </c>
      <c r="E19">
        <v>0</v>
      </c>
      <c r="F19">
        <v>0</v>
      </c>
      <c r="G19">
        <v>0</v>
      </c>
      <c r="H19">
        <v>2368</v>
      </c>
      <c r="I19">
        <v>1784</v>
      </c>
      <c r="J19">
        <v>0</v>
      </c>
      <c r="K19">
        <v>100</v>
      </c>
      <c r="L19">
        <v>181</v>
      </c>
      <c r="M19">
        <v>6</v>
      </c>
      <c r="N19">
        <v>1</v>
      </c>
      <c r="O19">
        <v>3988</v>
      </c>
      <c r="P19">
        <v>214</v>
      </c>
      <c r="Q19">
        <v>8</v>
      </c>
      <c r="R19">
        <v>404</v>
      </c>
      <c r="S19">
        <v>398</v>
      </c>
      <c r="T19">
        <v>12</v>
      </c>
    </row>
    <row r="20" spans="1:20" x14ac:dyDescent="0.35">
      <c r="A20" s="1">
        <v>45888</v>
      </c>
      <c r="B20" s="2">
        <v>0.80410010416666666</v>
      </c>
      <c r="C20">
        <v>79</v>
      </c>
      <c r="D20">
        <v>71</v>
      </c>
      <c r="E20">
        <v>0</v>
      </c>
      <c r="F20">
        <v>0</v>
      </c>
      <c r="G20">
        <v>0</v>
      </c>
      <c r="H20">
        <v>2368</v>
      </c>
      <c r="I20">
        <v>1784</v>
      </c>
      <c r="J20">
        <v>0</v>
      </c>
      <c r="K20">
        <v>100</v>
      </c>
      <c r="L20">
        <v>180</v>
      </c>
      <c r="M20">
        <v>4</v>
      </c>
      <c r="N20">
        <v>0</v>
      </c>
      <c r="O20">
        <v>3988</v>
      </c>
      <c r="P20">
        <v>214</v>
      </c>
      <c r="Q20">
        <v>8</v>
      </c>
      <c r="R20">
        <v>405</v>
      </c>
      <c r="S20">
        <v>398</v>
      </c>
      <c r="T20">
        <v>36</v>
      </c>
    </row>
    <row r="21" spans="1:20" x14ac:dyDescent="0.35">
      <c r="A21" s="1">
        <v>45888</v>
      </c>
      <c r="B21" s="2">
        <v>0.8041158796296296</v>
      </c>
      <c r="C21">
        <v>79</v>
      </c>
      <c r="D21">
        <v>76</v>
      </c>
      <c r="E21">
        <v>0</v>
      </c>
      <c r="F21">
        <v>0</v>
      </c>
      <c r="G21">
        <v>0</v>
      </c>
      <c r="H21">
        <v>2368</v>
      </c>
      <c r="I21">
        <v>1784</v>
      </c>
      <c r="J21">
        <v>0</v>
      </c>
      <c r="K21">
        <v>100</v>
      </c>
      <c r="L21">
        <v>166</v>
      </c>
      <c r="M21">
        <v>6</v>
      </c>
      <c r="N21">
        <v>2</v>
      </c>
      <c r="O21">
        <v>3988</v>
      </c>
      <c r="P21">
        <v>213</v>
      </c>
      <c r="Q21">
        <v>8</v>
      </c>
      <c r="R21">
        <v>404</v>
      </c>
      <c r="S21">
        <v>398</v>
      </c>
      <c r="T21">
        <v>129</v>
      </c>
    </row>
    <row r="22" spans="1:20" x14ac:dyDescent="0.35">
      <c r="A22" s="1">
        <v>45888</v>
      </c>
      <c r="B22" s="2">
        <v>0.80413166666666658</v>
      </c>
      <c r="C22">
        <v>79</v>
      </c>
      <c r="D22">
        <v>81</v>
      </c>
      <c r="E22">
        <v>0</v>
      </c>
      <c r="F22">
        <v>0</v>
      </c>
      <c r="G22">
        <v>0</v>
      </c>
      <c r="H22">
        <v>2368</v>
      </c>
      <c r="I22">
        <v>1784</v>
      </c>
      <c r="J22">
        <v>0</v>
      </c>
      <c r="K22">
        <v>100</v>
      </c>
      <c r="L22">
        <v>187</v>
      </c>
      <c r="M22">
        <v>6</v>
      </c>
      <c r="N22">
        <v>2</v>
      </c>
      <c r="O22">
        <v>3987</v>
      </c>
      <c r="P22">
        <v>210</v>
      </c>
      <c r="Q22">
        <v>8</v>
      </c>
      <c r="R22">
        <v>403</v>
      </c>
      <c r="S22">
        <v>398</v>
      </c>
      <c r="T22">
        <v>137</v>
      </c>
    </row>
    <row r="23" spans="1:20" x14ac:dyDescent="0.35">
      <c r="A23" s="1">
        <v>45888</v>
      </c>
      <c r="B23" s="2">
        <v>0.80414748842592587</v>
      </c>
      <c r="C23">
        <v>79</v>
      </c>
      <c r="D23">
        <v>86</v>
      </c>
      <c r="E23">
        <v>0</v>
      </c>
      <c r="F23">
        <v>0</v>
      </c>
      <c r="G23">
        <v>0</v>
      </c>
      <c r="H23">
        <v>2368</v>
      </c>
      <c r="I23">
        <v>1784</v>
      </c>
      <c r="J23">
        <v>0</v>
      </c>
      <c r="K23">
        <v>100</v>
      </c>
      <c r="L23">
        <v>186</v>
      </c>
      <c r="M23">
        <v>6</v>
      </c>
      <c r="N23">
        <v>0</v>
      </c>
      <c r="O23">
        <v>3985</v>
      </c>
      <c r="P23">
        <v>204</v>
      </c>
      <c r="Q23">
        <v>8</v>
      </c>
      <c r="R23">
        <v>404</v>
      </c>
      <c r="S23">
        <v>398</v>
      </c>
      <c r="T23">
        <v>169</v>
      </c>
    </row>
    <row r="24" spans="1:20" x14ac:dyDescent="0.35">
      <c r="A24" s="1">
        <v>45888</v>
      </c>
      <c r="B24" s="2">
        <v>0.804163449074074</v>
      </c>
      <c r="C24">
        <v>79</v>
      </c>
      <c r="D24">
        <v>91</v>
      </c>
      <c r="E24">
        <v>0</v>
      </c>
      <c r="F24">
        <v>0</v>
      </c>
      <c r="G24">
        <v>0</v>
      </c>
      <c r="H24">
        <v>2368</v>
      </c>
      <c r="I24">
        <v>1784</v>
      </c>
      <c r="J24">
        <v>0</v>
      </c>
      <c r="K24">
        <v>100</v>
      </c>
      <c r="L24">
        <v>174</v>
      </c>
      <c r="M24">
        <v>6</v>
      </c>
      <c r="N24">
        <v>1</v>
      </c>
      <c r="O24">
        <v>3980</v>
      </c>
      <c r="P24">
        <v>196</v>
      </c>
      <c r="Q24">
        <v>8</v>
      </c>
      <c r="R24">
        <v>404</v>
      </c>
      <c r="S24">
        <v>398</v>
      </c>
      <c r="T24">
        <v>8</v>
      </c>
    </row>
    <row r="25" spans="1:20" x14ac:dyDescent="0.35">
      <c r="A25" s="1">
        <v>45888</v>
      </c>
      <c r="B25" s="2">
        <v>0.80417921296296302</v>
      </c>
      <c r="C25">
        <v>79</v>
      </c>
      <c r="D25">
        <v>96</v>
      </c>
      <c r="E25">
        <v>0</v>
      </c>
      <c r="F25">
        <v>0</v>
      </c>
      <c r="G25">
        <v>0</v>
      </c>
      <c r="H25">
        <v>2368</v>
      </c>
      <c r="I25">
        <v>1784</v>
      </c>
      <c r="J25">
        <v>0</v>
      </c>
      <c r="K25">
        <v>100</v>
      </c>
      <c r="L25">
        <v>171</v>
      </c>
      <c r="M25">
        <v>5</v>
      </c>
      <c r="N25">
        <v>1</v>
      </c>
      <c r="O25">
        <v>3975</v>
      </c>
      <c r="P25">
        <v>187</v>
      </c>
      <c r="Q25">
        <v>7</v>
      </c>
      <c r="R25">
        <v>404</v>
      </c>
      <c r="S25">
        <v>398</v>
      </c>
      <c r="T25">
        <v>225</v>
      </c>
    </row>
    <row r="26" spans="1:20" x14ac:dyDescent="0.35">
      <c r="A26" s="1">
        <v>45888</v>
      </c>
      <c r="B26" s="2">
        <v>0.80419519675925921</v>
      </c>
      <c r="C26">
        <v>79</v>
      </c>
      <c r="D26">
        <v>101</v>
      </c>
      <c r="E26">
        <v>0</v>
      </c>
      <c r="F26">
        <v>0</v>
      </c>
      <c r="G26">
        <v>0</v>
      </c>
      <c r="H26">
        <v>2368</v>
      </c>
      <c r="I26">
        <v>1784</v>
      </c>
      <c r="J26">
        <v>0</v>
      </c>
      <c r="K26">
        <v>100</v>
      </c>
      <c r="L26">
        <v>176</v>
      </c>
      <c r="M26">
        <v>6</v>
      </c>
      <c r="N26">
        <v>0</v>
      </c>
      <c r="O26">
        <v>3968</v>
      </c>
      <c r="P26">
        <v>176</v>
      </c>
      <c r="Q26">
        <v>7</v>
      </c>
      <c r="R26">
        <v>404</v>
      </c>
      <c r="S26">
        <v>398</v>
      </c>
      <c r="T26">
        <v>109</v>
      </c>
    </row>
    <row r="27" spans="1:20" x14ac:dyDescent="0.35">
      <c r="A27" s="1">
        <v>45888</v>
      </c>
      <c r="B27" s="2">
        <v>0.80421101851851851</v>
      </c>
      <c r="C27">
        <v>79</v>
      </c>
      <c r="D27">
        <v>106</v>
      </c>
      <c r="E27">
        <v>0</v>
      </c>
      <c r="F27">
        <v>0</v>
      </c>
      <c r="G27">
        <v>0</v>
      </c>
      <c r="H27">
        <v>2368</v>
      </c>
      <c r="I27">
        <v>1784</v>
      </c>
      <c r="J27">
        <v>0</v>
      </c>
      <c r="K27">
        <v>100</v>
      </c>
      <c r="L27">
        <v>187</v>
      </c>
      <c r="M27">
        <v>6</v>
      </c>
      <c r="N27">
        <v>2</v>
      </c>
      <c r="O27">
        <v>3960</v>
      </c>
      <c r="P27">
        <v>167</v>
      </c>
      <c r="Q27">
        <v>6</v>
      </c>
      <c r="R27">
        <v>404</v>
      </c>
      <c r="S27">
        <v>398</v>
      </c>
      <c r="T27">
        <v>176</v>
      </c>
    </row>
    <row r="28" spans="1:20" x14ac:dyDescent="0.35">
      <c r="A28" s="1">
        <v>45888</v>
      </c>
      <c r="B28" s="2">
        <v>0.80422686342592598</v>
      </c>
      <c r="C28">
        <v>79</v>
      </c>
      <c r="D28">
        <v>111</v>
      </c>
      <c r="E28">
        <v>0</v>
      </c>
      <c r="F28">
        <v>0</v>
      </c>
      <c r="G28">
        <v>0</v>
      </c>
      <c r="H28">
        <v>2368</v>
      </c>
      <c r="I28">
        <v>1784</v>
      </c>
      <c r="J28">
        <v>0</v>
      </c>
      <c r="K28">
        <v>100</v>
      </c>
      <c r="L28">
        <v>187</v>
      </c>
      <c r="M28">
        <v>6</v>
      </c>
      <c r="N28">
        <v>1</v>
      </c>
      <c r="O28">
        <v>3946</v>
      </c>
      <c r="P28">
        <v>154</v>
      </c>
      <c r="Q28">
        <v>7</v>
      </c>
      <c r="R28">
        <v>404</v>
      </c>
      <c r="S28">
        <v>398</v>
      </c>
      <c r="T28">
        <v>112</v>
      </c>
    </row>
    <row r="29" spans="1:20" x14ac:dyDescent="0.35">
      <c r="A29" s="1">
        <v>45888</v>
      </c>
      <c r="B29" s="2">
        <v>0.80424265046296295</v>
      </c>
      <c r="C29">
        <v>79</v>
      </c>
      <c r="D29">
        <v>116</v>
      </c>
      <c r="E29">
        <v>0</v>
      </c>
      <c r="F29">
        <v>0</v>
      </c>
      <c r="G29">
        <v>0</v>
      </c>
      <c r="H29">
        <v>2368</v>
      </c>
      <c r="I29">
        <v>1784</v>
      </c>
      <c r="J29">
        <v>0</v>
      </c>
      <c r="K29">
        <v>100</v>
      </c>
      <c r="L29">
        <v>176</v>
      </c>
      <c r="M29">
        <v>6</v>
      </c>
      <c r="N29">
        <v>2</v>
      </c>
      <c r="O29">
        <v>3924</v>
      </c>
      <c r="P29">
        <v>144</v>
      </c>
      <c r="Q29">
        <v>6</v>
      </c>
      <c r="R29">
        <v>404</v>
      </c>
      <c r="S29">
        <v>398</v>
      </c>
      <c r="T29">
        <v>15</v>
      </c>
    </row>
    <row r="30" spans="1:20" x14ac:dyDescent="0.35">
      <c r="A30" s="1">
        <v>45888</v>
      </c>
      <c r="B30" s="2">
        <v>0.80425843750000003</v>
      </c>
      <c r="C30">
        <v>79</v>
      </c>
      <c r="D30">
        <v>121</v>
      </c>
      <c r="E30">
        <v>0</v>
      </c>
      <c r="F30">
        <v>0</v>
      </c>
      <c r="G30">
        <v>0</v>
      </c>
      <c r="H30">
        <v>2368</v>
      </c>
      <c r="I30">
        <v>1784</v>
      </c>
      <c r="J30">
        <v>0</v>
      </c>
      <c r="K30">
        <v>100</v>
      </c>
      <c r="L30">
        <v>182</v>
      </c>
      <c r="M30">
        <v>6</v>
      </c>
      <c r="N30">
        <v>1</v>
      </c>
      <c r="O30">
        <v>3848</v>
      </c>
      <c r="P30">
        <v>130</v>
      </c>
      <c r="Q30">
        <v>6</v>
      </c>
      <c r="R30">
        <v>404</v>
      </c>
      <c r="S30">
        <v>398</v>
      </c>
      <c r="T30">
        <v>127</v>
      </c>
    </row>
    <row r="31" spans="1:20" x14ac:dyDescent="0.35">
      <c r="A31" s="1">
        <v>45888</v>
      </c>
      <c r="B31" s="2">
        <v>0.80427440972222219</v>
      </c>
      <c r="C31">
        <v>79</v>
      </c>
      <c r="D31">
        <v>126</v>
      </c>
      <c r="E31">
        <v>0</v>
      </c>
      <c r="F31">
        <v>0</v>
      </c>
      <c r="G31">
        <v>0</v>
      </c>
      <c r="H31">
        <v>2368</v>
      </c>
      <c r="I31">
        <v>1784</v>
      </c>
      <c r="J31">
        <v>0</v>
      </c>
      <c r="K31">
        <v>100</v>
      </c>
      <c r="L31">
        <v>180</v>
      </c>
      <c r="M31">
        <v>6</v>
      </c>
      <c r="N31">
        <v>0</v>
      </c>
      <c r="O31">
        <v>3524</v>
      </c>
      <c r="P31">
        <v>119</v>
      </c>
      <c r="Q31">
        <v>4</v>
      </c>
      <c r="R31">
        <v>405</v>
      </c>
      <c r="S31">
        <v>398</v>
      </c>
      <c r="T31">
        <v>211</v>
      </c>
    </row>
    <row r="32" spans="1:20" x14ac:dyDescent="0.35">
      <c r="A32" s="1">
        <v>45888</v>
      </c>
      <c r="B32" s="2">
        <v>0.80429025462962966</v>
      </c>
      <c r="C32">
        <v>79</v>
      </c>
      <c r="D32">
        <v>131</v>
      </c>
      <c r="E32">
        <v>0</v>
      </c>
      <c r="F32">
        <v>0</v>
      </c>
      <c r="G32">
        <v>0</v>
      </c>
      <c r="H32">
        <v>2368</v>
      </c>
      <c r="I32">
        <v>1784</v>
      </c>
      <c r="J32">
        <v>0</v>
      </c>
      <c r="K32">
        <v>100</v>
      </c>
      <c r="L32">
        <v>184</v>
      </c>
      <c r="M32">
        <v>6</v>
      </c>
      <c r="N32">
        <v>1</v>
      </c>
      <c r="O32">
        <v>3113</v>
      </c>
      <c r="P32">
        <v>105</v>
      </c>
      <c r="Q32">
        <v>5</v>
      </c>
      <c r="R32">
        <v>404</v>
      </c>
      <c r="S32">
        <v>396</v>
      </c>
      <c r="T32">
        <v>186</v>
      </c>
    </row>
    <row r="33" spans="1:20" x14ac:dyDescent="0.35">
      <c r="A33" s="1">
        <v>45888</v>
      </c>
      <c r="B33" s="2">
        <v>0.80430615740740741</v>
      </c>
      <c r="C33">
        <v>79</v>
      </c>
      <c r="D33">
        <v>136</v>
      </c>
      <c r="E33">
        <v>0</v>
      </c>
      <c r="F33">
        <v>0</v>
      </c>
      <c r="G33">
        <v>0</v>
      </c>
      <c r="H33">
        <v>2368</v>
      </c>
      <c r="I33">
        <v>1784</v>
      </c>
      <c r="J33">
        <v>0</v>
      </c>
      <c r="K33">
        <v>100</v>
      </c>
      <c r="L33">
        <v>179</v>
      </c>
      <c r="M33">
        <v>6</v>
      </c>
      <c r="N33">
        <v>1</v>
      </c>
      <c r="O33">
        <v>2763</v>
      </c>
      <c r="P33">
        <v>92</v>
      </c>
      <c r="Q33">
        <v>3</v>
      </c>
      <c r="R33">
        <v>404</v>
      </c>
      <c r="S33">
        <v>398</v>
      </c>
      <c r="T33">
        <v>95</v>
      </c>
    </row>
    <row r="34" spans="1:20" x14ac:dyDescent="0.35">
      <c r="A34" s="1">
        <v>45888</v>
      </c>
      <c r="B34" s="2">
        <v>0.80432187500000007</v>
      </c>
      <c r="C34">
        <v>79</v>
      </c>
      <c r="D34">
        <v>141</v>
      </c>
      <c r="E34">
        <v>0</v>
      </c>
      <c r="F34">
        <v>0</v>
      </c>
      <c r="G34">
        <v>0</v>
      </c>
      <c r="H34">
        <v>2368</v>
      </c>
      <c r="I34">
        <v>1784</v>
      </c>
      <c r="J34">
        <v>0</v>
      </c>
      <c r="K34">
        <v>100</v>
      </c>
      <c r="L34">
        <v>186</v>
      </c>
      <c r="M34">
        <v>6</v>
      </c>
      <c r="N34">
        <v>1</v>
      </c>
      <c r="O34">
        <v>2394</v>
      </c>
      <c r="P34">
        <v>80</v>
      </c>
      <c r="Q34">
        <v>4</v>
      </c>
      <c r="R34">
        <v>404</v>
      </c>
      <c r="S34">
        <v>398</v>
      </c>
      <c r="T34">
        <v>89</v>
      </c>
    </row>
    <row r="35" spans="1:20" x14ac:dyDescent="0.35">
      <c r="A35" s="1">
        <v>45888</v>
      </c>
      <c r="B35" s="2">
        <v>0.80433760416666666</v>
      </c>
      <c r="C35">
        <v>79</v>
      </c>
      <c r="D35">
        <v>146</v>
      </c>
      <c r="E35">
        <v>0</v>
      </c>
      <c r="F35">
        <v>0</v>
      </c>
      <c r="G35">
        <v>0</v>
      </c>
      <c r="H35">
        <v>2368</v>
      </c>
      <c r="I35">
        <v>1784</v>
      </c>
      <c r="J35">
        <v>0</v>
      </c>
      <c r="K35">
        <v>100</v>
      </c>
      <c r="L35">
        <v>176</v>
      </c>
      <c r="M35">
        <v>6</v>
      </c>
      <c r="N35">
        <v>1</v>
      </c>
      <c r="O35">
        <v>2099</v>
      </c>
      <c r="P35">
        <v>71</v>
      </c>
      <c r="Q35">
        <v>3</v>
      </c>
      <c r="R35">
        <v>404</v>
      </c>
      <c r="S35">
        <v>398</v>
      </c>
      <c r="T35">
        <v>13</v>
      </c>
    </row>
    <row r="36" spans="1:20" x14ac:dyDescent="0.35">
      <c r="A36" s="1">
        <v>45888</v>
      </c>
      <c r="B36" s="2">
        <v>0.80435356481481479</v>
      </c>
      <c r="C36">
        <v>79</v>
      </c>
      <c r="D36">
        <v>151</v>
      </c>
      <c r="E36">
        <v>0</v>
      </c>
      <c r="F36">
        <v>0</v>
      </c>
      <c r="G36">
        <v>0</v>
      </c>
      <c r="H36">
        <v>2368</v>
      </c>
      <c r="I36">
        <v>1784</v>
      </c>
      <c r="J36">
        <v>0</v>
      </c>
      <c r="K36">
        <v>100</v>
      </c>
      <c r="L36">
        <v>182</v>
      </c>
      <c r="M36">
        <v>6</v>
      </c>
      <c r="N36">
        <v>2</v>
      </c>
      <c r="O36">
        <v>1752</v>
      </c>
      <c r="P36">
        <v>59</v>
      </c>
      <c r="Q36">
        <v>2</v>
      </c>
      <c r="R36">
        <v>404</v>
      </c>
      <c r="S36">
        <v>397</v>
      </c>
      <c r="T36">
        <v>201</v>
      </c>
    </row>
    <row r="37" spans="1:20" x14ac:dyDescent="0.35">
      <c r="A37" s="1">
        <v>45888</v>
      </c>
      <c r="B37" s="2">
        <v>0.8043695486111111</v>
      </c>
      <c r="C37">
        <v>79</v>
      </c>
      <c r="D37">
        <v>156</v>
      </c>
      <c r="E37">
        <v>0</v>
      </c>
      <c r="F37">
        <v>0</v>
      </c>
      <c r="G37">
        <v>0</v>
      </c>
      <c r="H37">
        <v>2368</v>
      </c>
      <c r="I37">
        <v>1784</v>
      </c>
      <c r="J37">
        <v>0</v>
      </c>
      <c r="K37">
        <v>100</v>
      </c>
      <c r="L37">
        <v>174</v>
      </c>
      <c r="M37">
        <v>6</v>
      </c>
      <c r="N37">
        <v>2</v>
      </c>
      <c r="O37">
        <v>1488</v>
      </c>
      <c r="P37">
        <v>50</v>
      </c>
      <c r="Q37">
        <v>3</v>
      </c>
      <c r="R37">
        <v>405</v>
      </c>
      <c r="S37">
        <v>398</v>
      </c>
      <c r="T37">
        <v>226</v>
      </c>
    </row>
    <row r="38" spans="1:20" x14ac:dyDescent="0.35">
      <c r="A38" s="1">
        <v>45888</v>
      </c>
      <c r="B38" s="2">
        <v>0.80438537037037028</v>
      </c>
      <c r="C38">
        <v>79</v>
      </c>
      <c r="D38">
        <v>161</v>
      </c>
      <c r="E38">
        <v>0</v>
      </c>
      <c r="F38">
        <v>0</v>
      </c>
      <c r="G38">
        <v>0</v>
      </c>
      <c r="H38">
        <v>2368</v>
      </c>
      <c r="I38">
        <v>1784</v>
      </c>
      <c r="J38">
        <v>0</v>
      </c>
      <c r="K38">
        <v>100</v>
      </c>
      <c r="L38">
        <v>178</v>
      </c>
      <c r="M38">
        <v>4</v>
      </c>
      <c r="N38">
        <v>1</v>
      </c>
      <c r="O38">
        <v>1232</v>
      </c>
      <c r="P38">
        <v>42</v>
      </c>
      <c r="Q38">
        <v>2</v>
      </c>
      <c r="R38">
        <v>404</v>
      </c>
      <c r="S38">
        <v>398</v>
      </c>
      <c r="T38">
        <v>177</v>
      </c>
    </row>
    <row r="39" spans="1:20" x14ac:dyDescent="0.35">
      <c r="A39" s="1">
        <v>45888</v>
      </c>
      <c r="B39" s="2">
        <v>0.80440135416666669</v>
      </c>
      <c r="C39">
        <v>79</v>
      </c>
      <c r="D39">
        <v>166</v>
      </c>
      <c r="E39">
        <v>0</v>
      </c>
      <c r="F39">
        <v>0</v>
      </c>
      <c r="G39">
        <v>0</v>
      </c>
      <c r="H39">
        <v>2368</v>
      </c>
      <c r="I39">
        <v>1784</v>
      </c>
      <c r="J39">
        <v>0</v>
      </c>
      <c r="K39">
        <v>100</v>
      </c>
      <c r="L39">
        <v>173</v>
      </c>
      <c r="M39">
        <v>6</v>
      </c>
      <c r="N39">
        <v>2</v>
      </c>
      <c r="O39">
        <v>1013</v>
      </c>
      <c r="P39">
        <v>34</v>
      </c>
      <c r="Q39">
        <v>2</v>
      </c>
      <c r="R39">
        <v>404</v>
      </c>
      <c r="S39">
        <v>398</v>
      </c>
      <c r="T39">
        <v>183</v>
      </c>
    </row>
    <row r="40" spans="1:20" x14ac:dyDescent="0.35">
      <c r="A40" s="1">
        <v>45888</v>
      </c>
      <c r="B40" s="2">
        <v>0.80441715277777781</v>
      </c>
      <c r="C40">
        <v>79</v>
      </c>
      <c r="D40">
        <v>171</v>
      </c>
      <c r="E40">
        <v>0</v>
      </c>
      <c r="F40">
        <v>0</v>
      </c>
      <c r="G40">
        <v>0</v>
      </c>
      <c r="H40">
        <v>2368</v>
      </c>
      <c r="I40">
        <v>1784</v>
      </c>
      <c r="J40">
        <v>0</v>
      </c>
      <c r="K40">
        <v>100</v>
      </c>
      <c r="L40">
        <v>182</v>
      </c>
      <c r="M40">
        <v>6</v>
      </c>
      <c r="N40">
        <v>2</v>
      </c>
      <c r="O40">
        <v>776</v>
      </c>
      <c r="P40">
        <v>26</v>
      </c>
      <c r="Q40">
        <v>2</v>
      </c>
      <c r="R40">
        <v>405</v>
      </c>
      <c r="S40">
        <v>398</v>
      </c>
      <c r="T40">
        <v>130</v>
      </c>
    </row>
    <row r="41" spans="1:20" x14ac:dyDescent="0.35">
      <c r="A41" s="1">
        <v>45888</v>
      </c>
      <c r="B41" s="2">
        <v>0.80443311342592583</v>
      </c>
      <c r="C41">
        <v>79</v>
      </c>
      <c r="D41">
        <v>176</v>
      </c>
      <c r="E41">
        <v>0</v>
      </c>
      <c r="F41">
        <v>0</v>
      </c>
      <c r="G41">
        <v>0</v>
      </c>
      <c r="H41">
        <v>2368</v>
      </c>
      <c r="I41">
        <v>1784</v>
      </c>
      <c r="J41">
        <v>0</v>
      </c>
      <c r="K41">
        <v>100</v>
      </c>
      <c r="L41">
        <v>184</v>
      </c>
      <c r="M41">
        <v>4</v>
      </c>
      <c r="N41">
        <v>0</v>
      </c>
      <c r="O41">
        <v>599</v>
      </c>
      <c r="P41">
        <v>20</v>
      </c>
      <c r="Q41">
        <v>3</v>
      </c>
      <c r="R41">
        <v>404</v>
      </c>
      <c r="S41">
        <v>398</v>
      </c>
      <c r="T41">
        <v>186</v>
      </c>
    </row>
    <row r="42" spans="1:20" x14ac:dyDescent="0.35">
      <c r="A42" s="1">
        <v>45888</v>
      </c>
      <c r="B42" s="2">
        <v>0.80444890046296291</v>
      </c>
      <c r="C42">
        <v>79</v>
      </c>
      <c r="D42">
        <v>181</v>
      </c>
      <c r="E42">
        <v>0</v>
      </c>
      <c r="F42">
        <v>0</v>
      </c>
      <c r="G42">
        <v>0</v>
      </c>
      <c r="H42">
        <v>2368</v>
      </c>
      <c r="I42">
        <v>1784</v>
      </c>
      <c r="J42">
        <v>0</v>
      </c>
      <c r="K42">
        <v>100</v>
      </c>
      <c r="L42">
        <v>175</v>
      </c>
      <c r="M42">
        <v>6</v>
      </c>
      <c r="N42">
        <v>2</v>
      </c>
      <c r="O42">
        <v>463</v>
      </c>
      <c r="P42">
        <v>16</v>
      </c>
      <c r="Q42">
        <v>2</v>
      </c>
      <c r="R42">
        <v>404</v>
      </c>
      <c r="S42">
        <v>397</v>
      </c>
      <c r="T42">
        <v>216</v>
      </c>
    </row>
    <row r="43" spans="1:20" x14ac:dyDescent="0.35">
      <c r="A43" s="1">
        <v>45888</v>
      </c>
      <c r="B43" s="2">
        <v>0.80446484953703712</v>
      </c>
      <c r="C43">
        <v>79</v>
      </c>
      <c r="D43">
        <v>186</v>
      </c>
      <c r="E43">
        <v>0</v>
      </c>
      <c r="F43">
        <v>0</v>
      </c>
      <c r="G43">
        <v>0</v>
      </c>
      <c r="H43">
        <v>2368</v>
      </c>
      <c r="I43">
        <v>1784</v>
      </c>
      <c r="J43">
        <v>0</v>
      </c>
      <c r="K43">
        <v>100</v>
      </c>
      <c r="L43">
        <v>180</v>
      </c>
      <c r="M43">
        <v>6</v>
      </c>
      <c r="N43">
        <v>2</v>
      </c>
      <c r="O43">
        <v>395</v>
      </c>
      <c r="P43">
        <v>14</v>
      </c>
      <c r="Q43">
        <v>1</v>
      </c>
      <c r="R43">
        <v>404</v>
      </c>
      <c r="S43">
        <v>397</v>
      </c>
      <c r="T43">
        <v>53</v>
      </c>
    </row>
    <row r="44" spans="1:20" x14ac:dyDescent="0.35">
      <c r="A44" s="1">
        <v>45888</v>
      </c>
      <c r="B44" s="2">
        <v>0.80448082175925917</v>
      </c>
      <c r="C44">
        <v>79</v>
      </c>
      <c r="D44">
        <v>191</v>
      </c>
      <c r="E44">
        <v>0</v>
      </c>
      <c r="F44">
        <v>0</v>
      </c>
      <c r="G44">
        <v>0</v>
      </c>
      <c r="H44">
        <v>2368</v>
      </c>
      <c r="I44">
        <v>1784</v>
      </c>
      <c r="J44">
        <v>0</v>
      </c>
      <c r="K44">
        <v>100</v>
      </c>
      <c r="L44">
        <v>178</v>
      </c>
      <c r="M44">
        <v>6</v>
      </c>
      <c r="N44">
        <v>0</v>
      </c>
      <c r="O44">
        <v>362</v>
      </c>
      <c r="P44">
        <v>12</v>
      </c>
      <c r="Q44">
        <v>2</v>
      </c>
      <c r="R44">
        <v>404</v>
      </c>
      <c r="S44">
        <v>398</v>
      </c>
      <c r="T44">
        <v>54</v>
      </c>
    </row>
    <row r="45" spans="1:20" x14ac:dyDescent="0.35">
      <c r="A45" s="1">
        <v>45888</v>
      </c>
      <c r="B45" s="2">
        <v>0.80449680555555558</v>
      </c>
      <c r="C45">
        <v>79</v>
      </c>
      <c r="D45">
        <v>196</v>
      </c>
      <c r="E45">
        <v>0</v>
      </c>
      <c r="F45">
        <v>0</v>
      </c>
      <c r="G45">
        <v>0</v>
      </c>
      <c r="H45">
        <v>2368</v>
      </c>
      <c r="I45">
        <v>1784</v>
      </c>
      <c r="J45">
        <v>0</v>
      </c>
      <c r="K45">
        <v>100</v>
      </c>
      <c r="L45">
        <v>184</v>
      </c>
      <c r="M45">
        <v>6</v>
      </c>
      <c r="N45">
        <v>2</v>
      </c>
      <c r="O45">
        <v>337</v>
      </c>
      <c r="P45">
        <v>11</v>
      </c>
      <c r="Q45">
        <v>2</v>
      </c>
      <c r="R45">
        <v>404</v>
      </c>
      <c r="S45">
        <v>398</v>
      </c>
      <c r="T45">
        <v>35</v>
      </c>
    </row>
    <row r="46" spans="1:20" x14ac:dyDescent="0.35">
      <c r="A46" s="1">
        <v>45888</v>
      </c>
      <c r="B46" s="2">
        <v>0.80451261574074073</v>
      </c>
      <c r="C46">
        <v>79</v>
      </c>
      <c r="D46">
        <v>201</v>
      </c>
      <c r="E46">
        <v>0</v>
      </c>
      <c r="F46">
        <v>0</v>
      </c>
      <c r="G46">
        <v>0</v>
      </c>
      <c r="H46">
        <v>2368</v>
      </c>
      <c r="I46">
        <v>1784</v>
      </c>
      <c r="J46">
        <v>0</v>
      </c>
      <c r="K46">
        <v>100</v>
      </c>
      <c r="L46">
        <v>186</v>
      </c>
      <c r="M46">
        <v>6</v>
      </c>
      <c r="N46">
        <v>1</v>
      </c>
      <c r="O46">
        <v>322</v>
      </c>
      <c r="P46">
        <v>10</v>
      </c>
      <c r="Q46">
        <v>1</v>
      </c>
      <c r="R46">
        <v>404</v>
      </c>
      <c r="S46">
        <v>397</v>
      </c>
      <c r="T46">
        <v>32</v>
      </c>
    </row>
    <row r="47" spans="1:20" x14ac:dyDescent="0.35">
      <c r="A47" s="1">
        <v>45888</v>
      </c>
      <c r="B47" s="2">
        <v>0.8045283333333334</v>
      </c>
      <c r="C47">
        <v>79</v>
      </c>
      <c r="D47">
        <v>206</v>
      </c>
      <c r="E47">
        <v>0</v>
      </c>
      <c r="F47">
        <v>0</v>
      </c>
      <c r="G47">
        <v>0</v>
      </c>
      <c r="H47">
        <v>2368</v>
      </c>
      <c r="I47">
        <v>1784</v>
      </c>
      <c r="J47">
        <v>0</v>
      </c>
      <c r="K47">
        <v>100</v>
      </c>
      <c r="L47">
        <v>187</v>
      </c>
      <c r="M47">
        <v>6</v>
      </c>
      <c r="N47">
        <v>1</v>
      </c>
      <c r="O47">
        <v>312</v>
      </c>
      <c r="P47">
        <v>10</v>
      </c>
      <c r="Q47">
        <v>2</v>
      </c>
      <c r="R47">
        <v>404</v>
      </c>
      <c r="S47">
        <v>398</v>
      </c>
      <c r="T47">
        <v>33</v>
      </c>
    </row>
    <row r="48" spans="1:20" x14ac:dyDescent="0.35">
      <c r="A48" s="1">
        <v>45888</v>
      </c>
      <c r="B48" s="2">
        <v>0.80454434027777766</v>
      </c>
      <c r="C48">
        <v>79</v>
      </c>
      <c r="D48">
        <v>211</v>
      </c>
      <c r="E48">
        <v>0</v>
      </c>
      <c r="F48">
        <v>0</v>
      </c>
      <c r="G48">
        <v>0</v>
      </c>
      <c r="H48">
        <v>2368</v>
      </c>
      <c r="I48">
        <v>1784</v>
      </c>
      <c r="J48">
        <v>0</v>
      </c>
      <c r="K48">
        <v>100</v>
      </c>
      <c r="L48">
        <v>173</v>
      </c>
      <c r="M48">
        <v>6</v>
      </c>
      <c r="N48">
        <v>1</v>
      </c>
      <c r="O48">
        <v>305</v>
      </c>
      <c r="P48">
        <v>9</v>
      </c>
      <c r="Q48">
        <v>2</v>
      </c>
      <c r="R48">
        <v>405</v>
      </c>
      <c r="S48">
        <v>398</v>
      </c>
      <c r="T48">
        <v>154</v>
      </c>
    </row>
    <row r="49" spans="1:20" x14ac:dyDescent="0.35">
      <c r="A49" s="1">
        <v>45888</v>
      </c>
      <c r="B49" s="2">
        <v>0.80456028935185187</v>
      </c>
      <c r="C49">
        <v>79</v>
      </c>
      <c r="D49">
        <v>216</v>
      </c>
      <c r="E49">
        <v>0</v>
      </c>
      <c r="F49">
        <v>0</v>
      </c>
      <c r="G49">
        <v>0</v>
      </c>
      <c r="H49">
        <v>2368</v>
      </c>
      <c r="I49">
        <v>1784</v>
      </c>
      <c r="J49">
        <v>0</v>
      </c>
      <c r="K49">
        <v>100</v>
      </c>
      <c r="L49">
        <v>179</v>
      </c>
      <c r="M49">
        <v>6</v>
      </c>
      <c r="N49">
        <v>0</v>
      </c>
      <c r="O49">
        <v>301</v>
      </c>
      <c r="P49">
        <v>10</v>
      </c>
      <c r="Q49">
        <v>2</v>
      </c>
      <c r="R49">
        <v>405</v>
      </c>
      <c r="S49">
        <v>398</v>
      </c>
      <c r="T49">
        <v>148</v>
      </c>
    </row>
    <row r="50" spans="1:20" x14ac:dyDescent="0.35">
      <c r="A50" s="1">
        <v>45888</v>
      </c>
      <c r="B50" s="2">
        <v>0.80457613425925922</v>
      </c>
      <c r="C50">
        <v>79</v>
      </c>
      <c r="D50">
        <v>221</v>
      </c>
      <c r="E50">
        <v>0</v>
      </c>
      <c r="F50">
        <v>0</v>
      </c>
      <c r="G50">
        <v>0</v>
      </c>
      <c r="H50">
        <v>2368</v>
      </c>
      <c r="I50">
        <v>1784</v>
      </c>
      <c r="J50">
        <v>0</v>
      </c>
      <c r="K50">
        <v>100</v>
      </c>
      <c r="L50">
        <v>179</v>
      </c>
      <c r="M50">
        <v>6</v>
      </c>
      <c r="N50">
        <v>1</v>
      </c>
      <c r="O50">
        <v>304</v>
      </c>
      <c r="P50">
        <v>10</v>
      </c>
      <c r="Q50">
        <v>2</v>
      </c>
      <c r="R50">
        <v>404</v>
      </c>
      <c r="S50">
        <v>397</v>
      </c>
      <c r="T50">
        <v>241</v>
      </c>
    </row>
    <row r="51" spans="1:20" x14ac:dyDescent="0.35">
      <c r="A51" s="1">
        <v>45888</v>
      </c>
      <c r="B51" s="2">
        <v>0.80459193287037034</v>
      </c>
      <c r="C51">
        <v>79</v>
      </c>
      <c r="D51">
        <v>226</v>
      </c>
      <c r="E51">
        <v>0</v>
      </c>
      <c r="F51">
        <v>0</v>
      </c>
      <c r="G51">
        <v>0</v>
      </c>
      <c r="H51">
        <v>2368</v>
      </c>
      <c r="I51">
        <v>1784</v>
      </c>
      <c r="J51">
        <v>0</v>
      </c>
      <c r="K51">
        <v>100</v>
      </c>
      <c r="L51">
        <v>176</v>
      </c>
      <c r="M51">
        <v>6</v>
      </c>
      <c r="N51">
        <v>2</v>
      </c>
      <c r="O51">
        <v>305</v>
      </c>
      <c r="P51">
        <v>10</v>
      </c>
      <c r="Q51">
        <v>2</v>
      </c>
      <c r="R51">
        <v>404</v>
      </c>
      <c r="S51">
        <v>398</v>
      </c>
      <c r="T51">
        <v>9</v>
      </c>
    </row>
    <row r="52" spans="1:20" x14ac:dyDescent="0.35">
      <c r="A52" s="1">
        <v>45888</v>
      </c>
      <c r="B52" s="2">
        <v>0.80460770833333328</v>
      </c>
      <c r="C52">
        <v>79</v>
      </c>
      <c r="D52">
        <v>231</v>
      </c>
      <c r="E52">
        <v>0</v>
      </c>
      <c r="F52">
        <v>0</v>
      </c>
      <c r="G52">
        <v>0</v>
      </c>
      <c r="H52">
        <v>2368</v>
      </c>
      <c r="I52">
        <v>1784</v>
      </c>
      <c r="J52">
        <v>0</v>
      </c>
      <c r="K52">
        <v>100</v>
      </c>
      <c r="L52">
        <v>185</v>
      </c>
      <c r="M52">
        <v>6</v>
      </c>
      <c r="N52">
        <v>2</v>
      </c>
      <c r="O52">
        <v>301</v>
      </c>
      <c r="P52">
        <v>10</v>
      </c>
      <c r="Q52">
        <v>1</v>
      </c>
      <c r="R52">
        <v>404</v>
      </c>
      <c r="S52">
        <v>398</v>
      </c>
      <c r="T52">
        <v>200</v>
      </c>
    </row>
    <row r="53" spans="1:20" x14ac:dyDescent="0.35">
      <c r="A53" s="1">
        <v>45888</v>
      </c>
      <c r="B53" s="2">
        <v>0.80462351851851843</v>
      </c>
      <c r="C53">
        <v>79</v>
      </c>
      <c r="D53">
        <v>236</v>
      </c>
      <c r="E53">
        <v>0</v>
      </c>
      <c r="F53">
        <v>0</v>
      </c>
      <c r="G53">
        <v>0</v>
      </c>
      <c r="H53">
        <v>2368</v>
      </c>
      <c r="I53">
        <v>1784</v>
      </c>
      <c r="J53">
        <v>0</v>
      </c>
      <c r="K53">
        <v>100</v>
      </c>
      <c r="L53">
        <v>172</v>
      </c>
      <c r="M53">
        <v>6</v>
      </c>
      <c r="N53">
        <v>1</v>
      </c>
      <c r="O53">
        <v>309</v>
      </c>
      <c r="P53">
        <v>10</v>
      </c>
      <c r="Q53">
        <v>1</v>
      </c>
      <c r="R53">
        <v>404</v>
      </c>
      <c r="S53">
        <v>398</v>
      </c>
      <c r="T53">
        <v>22</v>
      </c>
    </row>
    <row r="54" spans="1:20" x14ac:dyDescent="0.35">
      <c r="A54" s="1">
        <v>45888</v>
      </c>
      <c r="B54" s="2">
        <v>0.8046393634259259</v>
      </c>
      <c r="C54">
        <v>79</v>
      </c>
      <c r="D54">
        <v>241</v>
      </c>
      <c r="E54">
        <v>0</v>
      </c>
      <c r="F54">
        <v>0</v>
      </c>
      <c r="G54">
        <v>0</v>
      </c>
      <c r="H54">
        <v>2368</v>
      </c>
      <c r="I54">
        <v>1784</v>
      </c>
      <c r="J54">
        <v>0</v>
      </c>
      <c r="K54">
        <v>100</v>
      </c>
      <c r="L54">
        <v>174</v>
      </c>
      <c r="M54">
        <v>6</v>
      </c>
      <c r="N54">
        <v>2</v>
      </c>
      <c r="O54">
        <v>311</v>
      </c>
      <c r="P54">
        <v>10</v>
      </c>
      <c r="Q54">
        <v>0</v>
      </c>
      <c r="R54">
        <v>404</v>
      </c>
      <c r="S54">
        <v>398</v>
      </c>
      <c r="T54">
        <v>18</v>
      </c>
    </row>
    <row r="55" spans="1:20" x14ac:dyDescent="0.35">
      <c r="A55" s="1">
        <v>45888</v>
      </c>
      <c r="B55" s="2">
        <v>0.80465534722222221</v>
      </c>
      <c r="C55">
        <v>79</v>
      </c>
      <c r="D55">
        <v>246</v>
      </c>
      <c r="E55">
        <v>0</v>
      </c>
      <c r="F55">
        <v>0</v>
      </c>
      <c r="G55">
        <v>0</v>
      </c>
      <c r="H55">
        <v>2368</v>
      </c>
      <c r="I55">
        <v>1784</v>
      </c>
      <c r="J55">
        <v>0</v>
      </c>
      <c r="K55">
        <v>100</v>
      </c>
      <c r="L55">
        <v>182</v>
      </c>
      <c r="M55">
        <v>6</v>
      </c>
      <c r="N55">
        <v>0</v>
      </c>
      <c r="O55">
        <v>310</v>
      </c>
      <c r="P55">
        <v>10</v>
      </c>
      <c r="Q55">
        <v>2</v>
      </c>
      <c r="R55">
        <v>404</v>
      </c>
      <c r="S55">
        <v>398</v>
      </c>
      <c r="T55">
        <v>249</v>
      </c>
    </row>
    <row r="56" spans="1:20" x14ac:dyDescent="0.35">
      <c r="A56" s="1">
        <v>45888</v>
      </c>
      <c r="B56" s="2">
        <v>0.80467107638888891</v>
      </c>
      <c r="C56">
        <v>79</v>
      </c>
      <c r="D56">
        <v>251</v>
      </c>
      <c r="E56">
        <v>0</v>
      </c>
      <c r="F56">
        <v>0</v>
      </c>
      <c r="G56">
        <v>0</v>
      </c>
      <c r="H56">
        <v>2368</v>
      </c>
      <c r="I56">
        <v>1784</v>
      </c>
      <c r="J56">
        <v>0</v>
      </c>
      <c r="K56">
        <v>100</v>
      </c>
      <c r="L56">
        <v>182</v>
      </c>
      <c r="M56">
        <v>6</v>
      </c>
      <c r="N56">
        <v>0</v>
      </c>
      <c r="O56">
        <v>315</v>
      </c>
      <c r="P56">
        <v>10</v>
      </c>
      <c r="Q56">
        <v>1</v>
      </c>
      <c r="R56">
        <v>404</v>
      </c>
      <c r="S56">
        <v>398</v>
      </c>
      <c r="T56">
        <v>53</v>
      </c>
    </row>
    <row r="57" spans="1:20" x14ac:dyDescent="0.35">
      <c r="A57" s="1">
        <v>45888</v>
      </c>
      <c r="B57" s="2">
        <v>0.80468725694444454</v>
      </c>
      <c r="C57">
        <v>79</v>
      </c>
      <c r="D57">
        <v>0</v>
      </c>
      <c r="E57">
        <v>0</v>
      </c>
      <c r="F57">
        <v>0</v>
      </c>
      <c r="G57">
        <v>0</v>
      </c>
      <c r="H57">
        <v>2368</v>
      </c>
      <c r="I57">
        <v>1784</v>
      </c>
      <c r="J57">
        <v>0</v>
      </c>
      <c r="K57">
        <v>100</v>
      </c>
      <c r="L57">
        <v>173</v>
      </c>
      <c r="M57">
        <v>6</v>
      </c>
      <c r="N57">
        <v>0</v>
      </c>
      <c r="O57">
        <v>321</v>
      </c>
      <c r="P57">
        <v>11</v>
      </c>
      <c r="Q57">
        <v>2</v>
      </c>
      <c r="R57">
        <v>405</v>
      </c>
      <c r="S57">
        <v>398</v>
      </c>
      <c r="T57">
        <v>245</v>
      </c>
    </row>
    <row r="58" spans="1:20" x14ac:dyDescent="0.35">
      <c r="A58" s="1">
        <v>45888</v>
      </c>
      <c r="B58" s="2">
        <v>0.80470324074074073</v>
      </c>
      <c r="C58">
        <v>79</v>
      </c>
      <c r="D58">
        <v>5</v>
      </c>
      <c r="E58">
        <v>0</v>
      </c>
      <c r="F58">
        <v>0</v>
      </c>
      <c r="G58">
        <v>0</v>
      </c>
      <c r="H58">
        <v>2368</v>
      </c>
      <c r="I58">
        <v>1784</v>
      </c>
      <c r="J58">
        <v>0</v>
      </c>
      <c r="K58">
        <v>100</v>
      </c>
      <c r="L58">
        <v>186</v>
      </c>
      <c r="M58">
        <v>6</v>
      </c>
      <c r="N58">
        <v>1</v>
      </c>
      <c r="O58">
        <v>329</v>
      </c>
      <c r="P58">
        <v>11</v>
      </c>
      <c r="Q58">
        <v>2</v>
      </c>
      <c r="R58">
        <v>404</v>
      </c>
      <c r="S58">
        <v>398</v>
      </c>
      <c r="T58">
        <v>229</v>
      </c>
    </row>
    <row r="59" spans="1:20" x14ac:dyDescent="0.35">
      <c r="A59" s="1">
        <v>45888</v>
      </c>
      <c r="B59" s="2">
        <v>0.804719212962963</v>
      </c>
      <c r="C59">
        <v>79</v>
      </c>
      <c r="D59">
        <v>10</v>
      </c>
      <c r="E59">
        <v>0</v>
      </c>
      <c r="F59">
        <v>0</v>
      </c>
      <c r="G59">
        <v>0</v>
      </c>
      <c r="H59">
        <v>2368</v>
      </c>
      <c r="I59">
        <v>1784</v>
      </c>
      <c r="J59">
        <v>0</v>
      </c>
      <c r="K59">
        <v>100</v>
      </c>
      <c r="L59">
        <v>183</v>
      </c>
      <c r="M59">
        <v>6</v>
      </c>
      <c r="N59">
        <v>2</v>
      </c>
      <c r="O59">
        <v>332</v>
      </c>
      <c r="P59">
        <v>11</v>
      </c>
      <c r="Q59">
        <v>1</v>
      </c>
      <c r="R59">
        <v>404</v>
      </c>
      <c r="S59">
        <v>398</v>
      </c>
      <c r="T59">
        <v>105</v>
      </c>
    </row>
    <row r="60" spans="1:20" x14ac:dyDescent="0.35">
      <c r="A60" s="1">
        <v>45888</v>
      </c>
      <c r="B60" s="2">
        <v>0.80473513888888881</v>
      </c>
      <c r="C60">
        <v>79</v>
      </c>
      <c r="D60">
        <v>15</v>
      </c>
      <c r="E60">
        <v>0</v>
      </c>
      <c r="F60">
        <v>0</v>
      </c>
      <c r="G60">
        <v>0</v>
      </c>
      <c r="H60">
        <v>2368</v>
      </c>
      <c r="I60">
        <v>1784</v>
      </c>
      <c r="J60">
        <v>0</v>
      </c>
      <c r="K60">
        <v>100</v>
      </c>
      <c r="L60">
        <v>170</v>
      </c>
      <c r="M60">
        <v>6</v>
      </c>
      <c r="N60">
        <v>1</v>
      </c>
      <c r="O60">
        <v>339</v>
      </c>
      <c r="P60">
        <v>11</v>
      </c>
      <c r="Q60">
        <v>1</v>
      </c>
      <c r="R60">
        <v>404</v>
      </c>
      <c r="S60">
        <v>398</v>
      </c>
      <c r="T60">
        <v>31</v>
      </c>
    </row>
    <row r="61" spans="1:20" x14ac:dyDescent="0.35">
      <c r="A61" s="1">
        <v>45888</v>
      </c>
      <c r="B61" s="2">
        <v>0.80475091435185198</v>
      </c>
      <c r="C61">
        <v>79</v>
      </c>
      <c r="D61">
        <v>20</v>
      </c>
      <c r="E61">
        <v>0</v>
      </c>
      <c r="F61">
        <v>0</v>
      </c>
      <c r="G61">
        <v>0</v>
      </c>
      <c r="H61">
        <v>2368</v>
      </c>
      <c r="I61">
        <v>1784</v>
      </c>
      <c r="J61">
        <v>0</v>
      </c>
      <c r="K61">
        <v>100</v>
      </c>
      <c r="L61">
        <v>173</v>
      </c>
      <c r="M61">
        <v>6</v>
      </c>
      <c r="N61">
        <v>2</v>
      </c>
      <c r="O61">
        <v>344</v>
      </c>
      <c r="P61">
        <v>11</v>
      </c>
      <c r="Q61">
        <v>0</v>
      </c>
      <c r="R61">
        <v>404</v>
      </c>
      <c r="S61">
        <v>398</v>
      </c>
      <c r="T61">
        <v>72</v>
      </c>
    </row>
    <row r="62" spans="1:20" x14ac:dyDescent="0.35">
      <c r="A62" s="1">
        <v>45888</v>
      </c>
      <c r="B62" s="2">
        <v>0.80476671296296298</v>
      </c>
      <c r="C62">
        <v>79</v>
      </c>
      <c r="D62">
        <v>25</v>
      </c>
      <c r="E62">
        <v>0</v>
      </c>
      <c r="F62">
        <v>0</v>
      </c>
      <c r="G62">
        <v>0</v>
      </c>
      <c r="H62">
        <v>2368</v>
      </c>
      <c r="I62">
        <v>1784</v>
      </c>
      <c r="J62">
        <v>0</v>
      </c>
      <c r="K62">
        <v>100</v>
      </c>
      <c r="L62">
        <v>179</v>
      </c>
      <c r="M62">
        <v>6</v>
      </c>
      <c r="N62">
        <v>0</v>
      </c>
      <c r="O62">
        <v>351</v>
      </c>
      <c r="P62">
        <v>12</v>
      </c>
      <c r="Q62">
        <v>0</v>
      </c>
      <c r="R62">
        <v>404</v>
      </c>
      <c r="S62">
        <v>398</v>
      </c>
      <c r="T62">
        <v>89</v>
      </c>
    </row>
    <row r="63" spans="1:20" x14ac:dyDescent="0.35">
      <c r="A63" s="1">
        <v>45888</v>
      </c>
      <c r="B63" s="2">
        <v>0.80478248842592581</v>
      </c>
      <c r="C63">
        <v>79</v>
      </c>
      <c r="D63">
        <v>30</v>
      </c>
      <c r="E63">
        <v>0</v>
      </c>
      <c r="F63">
        <v>0</v>
      </c>
      <c r="G63">
        <v>0</v>
      </c>
      <c r="H63">
        <v>2368</v>
      </c>
      <c r="I63">
        <v>1784</v>
      </c>
      <c r="J63">
        <v>0</v>
      </c>
      <c r="K63">
        <v>100</v>
      </c>
      <c r="L63">
        <v>176</v>
      </c>
      <c r="M63">
        <v>6</v>
      </c>
      <c r="N63">
        <v>2</v>
      </c>
      <c r="O63">
        <v>360</v>
      </c>
      <c r="P63">
        <v>12</v>
      </c>
      <c r="Q63">
        <v>1</v>
      </c>
      <c r="R63">
        <v>404</v>
      </c>
      <c r="S63">
        <v>398</v>
      </c>
      <c r="T63">
        <v>135</v>
      </c>
    </row>
    <row r="64" spans="1:20" x14ac:dyDescent="0.35">
      <c r="A64" s="1">
        <v>45888</v>
      </c>
      <c r="B64" s="2">
        <v>0.80479829861111118</v>
      </c>
      <c r="C64">
        <v>79</v>
      </c>
      <c r="D64">
        <v>35</v>
      </c>
      <c r="E64">
        <v>0</v>
      </c>
      <c r="F64">
        <v>0</v>
      </c>
      <c r="G64">
        <v>0</v>
      </c>
      <c r="H64">
        <v>2368</v>
      </c>
      <c r="I64">
        <v>1784</v>
      </c>
      <c r="J64">
        <v>0</v>
      </c>
      <c r="K64">
        <v>100</v>
      </c>
      <c r="L64">
        <v>184</v>
      </c>
      <c r="M64">
        <v>6</v>
      </c>
      <c r="N64">
        <v>2</v>
      </c>
      <c r="O64">
        <v>372</v>
      </c>
      <c r="P64">
        <v>12</v>
      </c>
      <c r="Q64">
        <v>2</v>
      </c>
      <c r="R64">
        <v>404</v>
      </c>
      <c r="S64">
        <v>398</v>
      </c>
      <c r="T64">
        <v>56</v>
      </c>
    </row>
    <row r="65" spans="1:20" x14ac:dyDescent="0.35">
      <c r="A65" s="1">
        <v>45888</v>
      </c>
      <c r="B65" s="2">
        <v>0.80481427083333323</v>
      </c>
      <c r="C65">
        <v>79</v>
      </c>
      <c r="D65">
        <v>40</v>
      </c>
      <c r="E65">
        <v>0</v>
      </c>
      <c r="F65">
        <v>0</v>
      </c>
      <c r="G65">
        <v>0</v>
      </c>
      <c r="H65">
        <v>2368</v>
      </c>
      <c r="I65">
        <v>1784</v>
      </c>
      <c r="J65">
        <v>0</v>
      </c>
      <c r="K65">
        <v>100</v>
      </c>
      <c r="L65">
        <v>187</v>
      </c>
      <c r="M65">
        <v>6</v>
      </c>
      <c r="N65">
        <v>1</v>
      </c>
      <c r="O65">
        <v>381</v>
      </c>
      <c r="P65">
        <v>13</v>
      </c>
      <c r="Q65">
        <v>0</v>
      </c>
      <c r="R65">
        <v>404</v>
      </c>
      <c r="S65">
        <v>398</v>
      </c>
      <c r="T65">
        <v>215</v>
      </c>
    </row>
    <row r="66" spans="1:20" x14ac:dyDescent="0.35">
      <c r="A66" s="1">
        <v>45888</v>
      </c>
      <c r="B66" s="2">
        <v>0.8048299884259259</v>
      </c>
      <c r="C66">
        <v>79</v>
      </c>
      <c r="D66">
        <v>45</v>
      </c>
      <c r="E66">
        <v>0</v>
      </c>
      <c r="F66">
        <v>0</v>
      </c>
      <c r="G66">
        <v>0</v>
      </c>
      <c r="H66">
        <v>2368</v>
      </c>
      <c r="I66">
        <v>1784</v>
      </c>
      <c r="J66">
        <v>0</v>
      </c>
      <c r="K66">
        <v>100</v>
      </c>
      <c r="L66">
        <v>180</v>
      </c>
      <c r="M66">
        <v>6</v>
      </c>
      <c r="N66">
        <v>1</v>
      </c>
      <c r="O66">
        <v>390</v>
      </c>
      <c r="P66">
        <v>13</v>
      </c>
      <c r="Q66">
        <v>2</v>
      </c>
      <c r="R66">
        <v>404</v>
      </c>
      <c r="S66">
        <v>398</v>
      </c>
      <c r="T66">
        <v>136</v>
      </c>
    </row>
    <row r="67" spans="1:20" x14ac:dyDescent="0.35">
      <c r="A67" s="1">
        <v>45888</v>
      </c>
      <c r="B67" s="2">
        <v>0.80484596064814817</v>
      </c>
      <c r="C67">
        <v>79</v>
      </c>
      <c r="D67">
        <v>50</v>
      </c>
      <c r="E67">
        <v>0</v>
      </c>
      <c r="F67">
        <v>0</v>
      </c>
      <c r="G67">
        <v>0</v>
      </c>
      <c r="H67">
        <v>2368</v>
      </c>
      <c r="I67">
        <v>1784</v>
      </c>
      <c r="J67">
        <v>0</v>
      </c>
      <c r="K67">
        <v>100</v>
      </c>
      <c r="L67">
        <v>170</v>
      </c>
      <c r="M67">
        <v>6</v>
      </c>
      <c r="N67">
        <v>0</v>
      </c>
      <c r="O67">
        <v>397</v>
      </c>
      <c r="P67">
        <v>13</v>
      </c>
      <c r="Q67">
        <v>1</v>
      </c>
      <c r="R67">
        <v>404</v>
      </c>
      <c r="S67">
        <v>398</v>
      </c>
      <c r="T67">
        <v>186</v>
      </c>
    </row>
    <row r="68" spans="1:20" x14ac:dyDescent="0.35">
      <c r="A68" s="1">
        <v>45888</v>
      </c>
      <c r="B68" s="2">
        <v>0.80486194444444448</v>
      </c>
      <c r="C68">
        <v>79</v>
      </c>
      <c r="D68">
        <v>55</v>
      </c>
      <c r="E68">
        <v>0</v>
      </c>
      <c r="F68">
        <v>0</v>
      </c>
      <c r="G68">
        <v>0</v>
      </c>
      <c r="H68">
        <v>2368</v>
      </c>
      <c r="I68">
        <v>1784</v>
      </c>
      <c r="J68">
        <v>0</v>
      </c>
      <c r="K68">
        <v>100</v>
      </c>
      <c r="L68">
        <v>176</v>
      </c>
      <c r="M68">
        <v>6</v>
      </c>
      <c r="N68">
        <v>0</v>
      </c>
      <c r="O68">
        <v>410</v>
      </c>
      <c r="P68">
        <v>13</v>
      </c>
      <c r="Q68">
        <v>2</v>
      </c>
      <c r="R68">
        <v>404</v>
      </c>
      <c r="S68">
        <v>398</v>
      </c>
      <c r="T68">
        <v>136</v>
      </c>
    </row>
    <row r="69" spans="1:20" x14ac:dyDescent="0.35">
      <c r="A69" s="1">
        <v>45888</v>
      </c>
      <c r="B69" s="2">
        <v>0.80487774305555559</v>
      </c>
      <c r="C69">
        <v>79</v>
      </c>
      <c r="D69">
        <v>60</v>
      </c>
      <c r="E69">
        <v>0</v>
      </c>
      <c r="F69">
        <v>0</v>
      </c>
      <c r="G69">
        <v>0</v>
      </c>
      <c r="H69">
        <v>2368</v>
      </c>
      <c r="I69">
        <v>1784</v>
      </c>
      <c r="J69">
        <v>0</v>
      </c>
      <c r="K69">
        <v>100</v>
      </c>
      <c r="L69">
        <v>181</v>
      </c>
      <c r="M69">
        <v>6</v>
      </c>
      <c r="N69">
        <v>1</v>
      </c>
      <c r="O69">
        <v>419</v>
      </c>
      <c r="P69">
        <v>14</v>
      </c>
      <c r="Q69">
        <v>1</v>
      </c>
      <c r="R69">
        <v>404</v>
      </c>
      <c r="S69">
        <v>398</v>
      </c>
      <c r="T69">
        <v>189</v>
      </c>
    </row>
    <row r="70" spans="1:20" x14ac:dyDescent="0.35">
      <c r="A70" s="1">
        <v>45888</v>
      </c>
      <c r="B70" s="2">
        <v>0.8048935995370371</v>
      </c>
      <c r="C70">
        <v>79</v>
      </c>
      <c r="D70">
        <v>65</v>
      </c>
      <c r="E70">
        <v>0</v>
      </c>
      <c r="F70">
        <v>0</v>
      </c>
      <c r="G70">
        <v>0</v>
      </c>
      <c r="H70">
        <v>2368</v>
      </c>
      <c r="I70">
        <v>1784</v>
      </c>
      <c r="J70">
        <v>0</v>
      </c>
      <c r="K70">
        <v>100</v>
      </c>
      <c r="L70">
        <v>182</v>
      </c>
      <c r="M70">
        <v>6</v>
      </c>
      <c r="N70">
        <v>1</v>
      </c>
      <c r="O70">
        <v>434</v>
      </c>
      <c r="P70">
        <v>13</v>
      </c>
      <c r="Q70">
        <v>2</v>
      </c>
      <c r="R70">
        <v>404</v>
      </c>
      <c r="S70">
        <v>398</v>
      </c>
      <c r="T70">
        <v>249</v>
      </c>
    </row>
    <row r="71" spans="1:20" x14ac:dyDescent="0.35">
      <c r="A71" s="1">
        <v>45888</v>
      </c>
      <c r="B71" s="2">
        <v>0.80490957175925937</v>
      </c>
      <c r="C71">
        <v>79</v>
      </c>
      <c r="D71">
        <v>70</v>
      </c>
      <c r="E71">
        <v>0</v>
      </c>
      <c r="F71">
        <v>0</v>
      </c>
      <c r="G71">
        <v>0</v>
      </c>
      <c r="H71">
        <v>2368</v>
      </c>
      <c r="I71">
        <v>1784</v>
      </c>
      <c r="J71">
        <v>0</v>
      </c>
      <c r="K71">
        <v>100</v>
      </c>
      <c r="L71">
        <v>172</v>
      </c>
      <c r="M71">
        <v>6</v>
      </c>
      <c r="N71">
        <v>1</v>
      </c>
      <c r="O71">
        <v>442</v>
      </c>
      <c r="P71">
        <v>15</v>
      </c>
      <c r="Q71">
        <v>0</v>
      </c>
      <c r="R71">
        <v>405</v>
      </c>
      <c r="S71">
        <v>398</v>
      </c>
      <c r="T71">
        <v>43</v>
      </c>
    </row>
    <row r="72" spans="1:20" x14ac:dyDescent="0.35">
      <c r="A72" s="1">
        <v>45888</v>
      </c>
      <c r="B72" s="2">
        <v>0.80492561342592595</v>
      </c>
      <c r="C72">
        <v>79</v>
      </c>
      <c r="D72">
        <v>75</v>
      </c>
      <c r="E72">
        <v>0</v>
      </c>
      <c r="F72">
        <v>0</v>
      </c>
      <c r="G72">
        <v>0</v>
      </c>
      <c r="H72">
        <v>2368</v>
      </c>
      <c r="I72">
        <v>1784</v>
      </c>
      <c r="J72">
        <v>0</v>
      </c>
      <c r="K72">
        <v>100</v>
      </c>
      <c r="L72">
        <v>178</v>
      </c>
      <c r="M72">
        <v>6</v>
      </c>
      <c r="N72">
        <v>1</v>
      </c>
      <c r="O72">
        <v>454</v>
      </c>
      <c r="P72">
        <v>16</v>
      </c>
      <c r="Q72">
        <v>2</v>
      </c>
      <c r="R72">
        <v>404</v>
      </c>
      <c r="S72">
        <v>397</v>
      </c>
      <c r="T72">
        <v>67</v>
      </c>
    </row>
    <row r="73" spans="1:20" x14ac:dyDescent="0.35">
      <c r="A73" s="1">
        <v>45888</v>
      </c>
      <c r="B73" s="2">
        <v>0.80494141203703695</v>
      </c>
      <c r="C73">
        <v>79</v>
      </c>
      <c r="D73">
        <v>80</v>
      </c>
      <c r="E73">
        <v>0</v>
      </c>
      <c r="F73">
        <v>0</v>
      </c>
      <c r="G73">
        <v>0</v>
      </c>
      <c r="H73">
        <v>2368</v>
      </c>
      <c r="I73">
        <v>1784</v>
      </c>
      <c r="J73">
        <v>0</v>
      </c>
      <c r="K73">
        <v>100</v>
      </c>
      <c r="L73">
        <v>179</v>
      </c>
      <c r="M73">
        <v>6</v>
      </c>
      <c r="N73">
        <v>1</v>
      </c>
      <c r="O73">
        <v>467</v>
      </c>
      <c r="P73">
        <v>16</v>
      </c>
      <c r="Q73">
        <v>2</v>
      </c>
      <c r="R73">
        <v>404</v>
      </c>
      <c r="S73">
        <v>398</v>
      </c>
      <c r="T73">
        <v>188</v>
      </c>
    </row>
    <row r="74" spans="1:20" x14ac:dyDescent="0.35">
      <c r="A74" s="1">
        <v>45888</v>
      </c>
      <c r="B74" s="2">
        <v>0.80495743055555558</v>
      </c>
      <c r="C74">
        <v>79</v>
      </c>
      <c r="D74">
        <v>85</v>
      </c>
      <c r="E74">
        <v>0</v>
      </c>
      <c r="F74">
        <v>0</v>
      </c>
      <c r="G74">
        <v>0</v>
      </c>
      <c r="H74">
        <v>2368</v>
      </c>
      <c r="I74">
        <v>1784</v>
      </c>
      <c r="J74">
        <v>0</v>
      </c>
      <c r="K74">
        <v>100</v>
      </c>
      <c r="L74">
        <v>174</v>
      </c>
      <c r="M74">
        <v>6</v>
      </c>
      <c r="N74">
        <v>2</v>
      </c>
      <c r="O74">
        <v>485</v>
      </c>
      <c r="P74">
        <v>16</v>
      </c>
      <c r="Q74">
        <v>2</v>
      </c>
      <c r="R74">
        <v>404</v>
      </c>
      <c r="S74">
        <v>398</v>
      </c>
      <c r="T74">
        <v>127</v>
      </c>
    </row>
    <row r="75" spans="1:20" x14ac:dyDescent="0.35">
      <c r="A75" s="1">
        <v>45888</v>
      </c>
      <c r="B75" s="2">
        <v>0.80497314814814802</v>
      </c>
      <c r="C75">
        <v>79</v>
      </c>
      <c r="D75">
        <v>90</v>
      </c>
      <c r="E75">
        <v>0</v>
      </c>
      <c r="F75">
        <v>0</v>
      </c>
      <c r="G75">
        <v>0</v>
      </c>
      <c r="H75">
        <v>2368</v>
      </c>
      <c r="I75">
        <v>1784</v>
      </c>
      <c r="J75">
        <v>0</v>
      </c>
      <c r="K75">
        <v>100</v>
      </c>
      <c r="L75">
        <v>184</v>
      </c>
      <c r="M75">
        <v>6</v>
      </c>
      <c r="N75">
        <v>1</v>
      </c>
      <c r="O75">
        <v>502</v>
      </c>
      <c r="P75">
        <v>16</v>
      </c>
      <c r="Q75">
        <v>0</v>
      </c>
      <c r="R75">
        <v>404</v>
      </c>
      <c r="S75">
        <v>398</v>
      </c>
      <c r="T75">
        <v>15</v>
      </c>
    </row>
    <row r="76" spans="1:20" x14ac:dyDescent="0.35">
      <c r="A76" s="1">
        <v>45888</v>
      </c>
      <c r="B76" s="2">
        <v>0.80498913194444444</v>
      </c>
      <c r="C76">
        <v>79</v>
      </c>
      <c r="D76">
        <v>95</v>
      </c>
      <c r="E76">
        <v>0</v>
      </c>
      <c r="F76">
        <v>0</v>
      </c>
      <c r="G76">
        <v>0</v>
      </c>
      <c r="H76">
        <v>2368</v>
      </c>
      <c r="I76">
        <v>1784</v>
      </c>
      <c r="J76">
        <v>0</v>
      </c>
      <c r="K76">
        <v>100</v>
      </c>
      <c r="L76">
        <v>180</v>
      </c>
      <c r="M76">
        <v>6</v>
      </c>
      <c r="N76">
        <v>1</v>
      </c>
      <c r="O76">
        <v>515</v>
      </c>
      <c r="P76">
        <v>17</v>
      </c>
      <c r="Q76">
        <v>2</v>
      </c>
      <c r="R76">
        <v>404</v>
      </c>
      <c r="S76">
        <v>398</v>
      </c>
      <c r="T76">
        <v>63</v>
      </c>
    </row>
    <row r="77" spans="1:20" x14ac:dyDescent="0.35">
      <c r="A77" s="1">
        <v>45888</v>
      </c>
      <c r="B77" s="2">
        <v>0.80500515046296306</v>
      </c>
      <c r="C77">
        <v>79</v>
      </c>
      <c r="D77">
        <v>100</v>
      </c>
      <c r="E77">
        <v>0</v>
      </c>
      <c r="F77">
        <v>0</v>
      </c>
      <c r="G77">
        <v>0</v>
      </c>
      <c r="H77">
        <v>2368</v>
      </c>
      <c r="I77">
        <v>1784</v>
      </c>
      <c r="J77">
        <v>0</v>
      </c>
      <c r="K77">
        <v>100</v>
      </c>
      <c r="L77">
        <v>184</v>
      </c>
      <c r="M77">
        <v>6</v>
      </c>
      <c r="N77">
        <v>1</v>
      </c>
      <c r="O77">
        <v>534</v>
      </c>
      <c r="P77">
        <v>16</v>
      </c>
      <c r="Q77">
        <v>1</v>
      </c>
      <c r="R77">
        <v>404</v>
      </c>
      <c r="S77">
        <v>399</v>
      </c>
      <c r="T77">
        <v>190</v>
      </c>
    </row>
    <row r="78" spans="1:20" x14ac:dyDescent="0.35">
      <c r="A78" s="1">
        <v>45888</v>
      </c>
      <c r="B78" s="2">
        <v>0.80502113425925925</v>
      </c>
      <c r="C78">
        <v>79</v>
      </c>
      <c r="D78">
        <v>105</v>
      </c>
      <c r="E78">
        <v>0</v>
      </c>
      <c r="F78">
        <v>0</v>
      </c>
      <c r="G78">
        <v>0</v>
      </c>
      <c r="H78">
        <v>2368</v>
      </c>
      <c r="I78">
        <v>1784</v>
      </c>
      <c r="J78">
        <v>0</v>
      </c>
      <c r="K78">
        <v>100</v>
      </c>
      <c r="L78">
        <v>173</v>
      </c>
      <c r="M78">
        <v>6</v>
      </c>
      <c r="N78">
        <v>1</v>
      </c>
      <c r="O78">
        <v>556</v>
      </c>
      <c r="P78">
        <v>18</v>
      </c>
      <c r="Q78">
        <v>2</v>
      </c>
      <c r="R78">
        <v>404</v>
      </c>
      <c r="S78">
        <v>398</v>
      </c>
      <c r="T78">
        <v>34</v>
      </c>
    </row>
    <row r="79" spans="1:20" x14ac:dyDescent="0.35">
      <c r="A79" s="1">
        <v>45888</v>
      </c>
      <c r="B79" s="2">
        <v>0.80503685185185181</v>
      </c>
      <c r="C79">
        <v>79</v>
      </c>
      <c r="D79">
        <v>110</v>
      </c>
      <c r="E79">
        <v>0</v>
      </c>
      <c r="F79">
        <v>0</v>
      </c>
      <c r="G79">
        <v>0</v>
      </c>
      <c r="H79">
        <v>2368</v>
      </c>
      <c r="I79">
        <v>1784</v>
      </c>
      <c r="J79">
        <v>0</v>
      </c>
      <c r="K79">
        <v>100</v>
      </c>
      <c r="L79">
        <v>183</v>
      </c>
      <c r="M79">
        <v>6</v>
      </c>
      <c r="N79">
        <v>1</v>
      </c>
      <c r="O79">
        <v>570</v>
      </c>
      <c r="P79">
        <v>19</v>
      </c>
      <c r="Q79">
        <v>2</v>
      </c>
      <c r="R79">
        <v>404</v>
      </c>
      <c r="S79">
        <v>398</v>
      </c>
      <c r="T79">
        <v>108</v>
      </c>
    </row>
    <row r="80" spans="1:20" x14ac:dyDescent="0.35">
      <c r="A80" s="1">
        <v>45888</v>
      </c>
      <c r="B80" s="2">
        <v>0.80505282407407408</v>
      </c>
      <c r="C80">
        <v>79</v>
      </c>
      <c r="D80">
        <v>115</v>
      </c>
      <c r="E80">
        <v>0</v>
      </c>
      <c r="F80">
        <v>0</v>
      </c>
      <c r="G80">
        <v>0</v>
      </c>
      <c r="H80">
        <v>2368</v>
      </c>
      <c r="I80">
        <v>1784</v>
      </c>
      <c r="J80">
        <v>0</v>
      </c>
      <c r="K80">
        <v>100</v>
      </c>
      <c r="L80">
        <v>182</v>
      </c>
      <c r="M80">
        <v>6</v>
      </c>
      <c r="N80">
        <v>0</v>
      </c>
      <c r="O80">
        <v>591</v>
      </c>
      <c r="P80">
        <v>19</v>
      </c>
      <c r="Q80">
        <v>2</v>
      </c>
      <c r="R80">
        <v>404</v>
      </c>
      <c r="S80">
        <v>398</v>
      </c>
      <c r="T80">
        <v>22</v>
      </c>
    </row>
    <row r="81" spans="1:20" x14ac:dyDescent="0.35">
      <c r="A81" s="1">
        <v>45888</v>
      </c>
      <c r="B81" s="2">
        <v>0.80506878472222221</v>
      </c>
      <c r="C81">
        <v>79</v>
      </c>
      <c r="D81">
        <v>120</v>
      </c>
      <c r="E81">
        <v>0</v>
      </c>
      <c r="F81">
        <v>0</v>
      </c>
      <c r="G81">
        <v>0</v>
      </c>
      <c r="H81">
        <v>2368</v>
      </c>
      <c r="I81">
        <v>1784</v>
      </c>
      <c r="J81">
        <v>0</v>
      </c>
      <c r="K81">
        <v>100</v>
      </c>
      <c r="L81">
        <v>180</v>
      </c>
      <c r="M81">
        <v>6</v>
      </c>
      <c r="N81">
        <v>2</v>
      </c>
      <c r="O81">
        <v>609</v>
      </c>
      <c r="P81">
        <v>20</v>
      </c>
      <c r="Q81">
        <v>2</v>
      </c>
      <c r="R81">
        <v>404</v>
      </c>
      <c r="S81">
        <v>398</v>
      </c>
      <c r="T81">
        <v>62</v>
      </c>
    </row>
    <row r="82" spans="1:20" x14ac:dyDescent="0.35">
      <c r="A82" s="1">
        <v>45888</v>
      </c>
      <c r="B82" s="2">
        <v>0.80508469907407409</v>
      </c>
      <c r="C82">
        <v>79</v>
      </c>
      <c r="D82">
        <v>125</v>
      </c>
      <c r="E82">
        <v>0</v>
      </c>
      <c r="F82">
        <v>0</v>
      </c>
      <c r="G82">
        <v>0</v>
      </c>
      <c r="H82">
        <v>2368</v>
      </c>
      <c r="I82">
        <v>1784</v>
      </c>
      <c r="J82">
        <v>0</v>
      </c>
      <c r="K82">
        <v>100</v>
      </c>
      <c r="L82">
        <v>189</v>
      </c>
      <c r="M82">
        <v>6</v>
      </c>
      <c r="N82">
        <v>2</v>
      </c>
      <c r="O82">
        <v>632</v>
      </c>
      <c r="P82">
        <v>20</v>
      </c>
      <c r="Q82">
        <v>2</v>
      </c>
      <c r="R82">
        <v>404</v>
      </c>
      <c r="S82">
        <v>398</v>
      </c>
      <c r="T82">
        <v>195</v>
      </c>
    </row>
    <row r="83" spans="1:20" x14ac:dyDescent="0.35">
      <c r="A83" s="1">
        <v>45888</v>
      </c>
      <c r="B83" s="2">
        <v>0.80510061342592587</v>
      </c>
      <c r="C83">
        <v>79</v>
      </c>
      <c r="D83">
        <v>130</v>
      </c>
      <c r="E83">
        <v>0</v>
      </c>
      <c r="F83">
        <v>0</v>
      </c>
      <c r="G83">
        <v>0</v>
      </c>
      <c r="H83">
        <v>2368</v>
      </c>
      <c r="I83">
        <v>1784</v>
      </c>
      <c r="J83">
        <v>0</v>
      </c>
      <c r="K83">
        <v>100</v>
      </c>
      <c r="L83">
        <v>175</v>
      </c>
      <c r="M83">
        <v>6</v>
      </c>
      <c r="N83">
        <v>2</v>
      </c>
      <c r="O83">
        <v>649</v>
      </c>
      <c r="P83">
        <v>22</v>
      </c>
      <c r="Q83">
        <v>2</v>
      </c>
      <c r="R83">
        <v>404</v>
      </c>
      <c r="S83">
        <v>398</v>
      </c>
      <c r="T83">
        <v>40</v>
      </c>
    </row>
    <row r="84" spans="1:20" x14ac:dyDescent="0.35">
      <c r="A84" s="1">
        <v>45888</v>
      </c>
      <c r="B84" s="2">
        <v>0.80511664351851842</v>
      </c>
      <c r="C84">
        <v>79</v>
      </c>
      <c r="D84">
        <v>135</v>
      </c>
      <c r="E84">
        <v>0</v>
      </c>
      <c r="F84">
        <v>0</v>
      </c>
      <c r="G84">
        <v>0</v>
      </c>
      <c r="H84">
        <v>2368</v>
      </c>
      <c r="I84">
        <v>1784</v>
      </c>
      <c r="J84">
        <v>0</v>
      </c>
      <c r="K84">
        <v>100</v>
      </c>
      <c r="L84">
        <v>180</v>
      </c>
      <c r="M84">
        <v>6</v>
      </c>
      <c r="N84">
        <v>0</v>
      </c>
      <c r="O84">
        <v>675</v>
      </c>
      <c r="P84">
        <v>22</v>
      </c>
      <c r="Q84">
        <v>2</v>
      </c>
      <c r="R84">
        <v>405</v>
      </c>
      <c r="S84">
        <v>398</v>
      </c>
      <c r="T84">
        <v>143</v>
      </c>
    </row>
    <row r="85" spans="1:20" x14ac:dyDescent="0.35">
      <c r="A85" s="1">
        <v>45888</v>
      </c>
      <c r="B85" s="2">
        <v>0.80513266203703704</v>
      </c>
      <c r="C85">
        <v>79</v>
      </c>
      <c r="D85">
        <v>140</v>
      </c>
      <c r="E85">
        <v>0</v>
      </c>
      <c r="F85">
        <v>0</v>
      </c>
      <c r="G85">
        <v>0</v>
      </c>
      <c r="H85">
        <v>2368</v>
      </c>
      <c r="I85">
        <v>1784</v>
      </c>
      <c r="J85">
        <v>0</v>
      </c>
      <c r="K85">
        <v>100</v>
      </c>
      <c r="L85">
        <v>179</v>
      </c>
      <c r="M85">
        <v>6</v>
      </c>
      <c r="N85">
        <v>1</v>
      </c>
      <c r="O85">
        <v>699</v>
      </c>
      <c r="P85">
        <v>24</v>
      </c>
      <c r="Q85">
        <v>2</v>
      </c>
      <c r="R85">
        <v>404</v>
      </c>
      <c r="S85">
        <v>398</v>
      </c>
      <c r="T85">
        <v>46</v>
      </c>
    </row>
    <row r="86" spans="1:20" x14ac:dyDescent="0.35">
      <c r="A86" s="1">
        <v>45888</v>
      </c>
      <c r="B86" s="2">
        <v>0.80514843749999998</v>
      </c>
      <c r="C86">
        <v>79</v>
      </c>
      <c r="D86">
        <v>145</v>
      </c>
      <c r="E86">
        <v>0</v>
      </c>
      <c r="F86">
        <v>0</v>
      </c>
      <c r="G86">
        <v>0</v>
      </c>
      <c r="H86">
        <v>2368</v>
      </c>
      <c r="I86">
        <v>1784</v>
      </c>
      <c r="J86">
        <v>0</v>
      </c>
      <c r="K86">
        <v>100</v>
      </c>
      <c r="L86">
        <v>176</v>
      </c>
      <c r="M86">
        <v>6</v>
      </c>
      <c r="N86">
        <v>0</v>
      </c>
      <c r="O86">
        <v>724</v>
      </c>
      <c r="P86">
        <v>24</v>
      </c>
      <c r="Q86">
        <v>2</v>
      </c>
      <c r="R86">
        <v>404</v>
      </c>
      <c r="S86">
        <v>398</v>
      </c>
      <c r="T86">
        <v>143</v>
      </c>
    </row>
    <row r="87" spans="1:20" x14ac:dyDescent="0.35">
      <c r="A87" s="1">
        <v>45888</v>
      </c>
      <c r="B87" s="2">
        <v>0.8051643634259259</v>
      </c>
      <c r="C87">
        <v>79</v>
      </c>
      <c r="D87">
        <v>150</v>
      </c>
      <c r="E87">
        <v>0</v>
      </c>
      <c r="F87">
        <v>0</v>
      </c>
      <c r="G87">
        <v>0</v>
      </c>
      <c r="H87">
        <v>2368</v>
      </c>
      <c r="I87">
        <v>1784</v>
      </c>
      <c r="J87">
        <v>0</v>
      </c>
      <c r="K87">
        <v>100</v>
      </c>
      <c r="L87">
        <v>184</v>
      </c>
      <c r="M87">
        <v>6</v>
      </c>
      <c r="N87">
        <v>1</v>
      </c>
      <c r="O87">
        <v>756</v>
      </c>
      <c r="P87">
        <v>25</v>
      </c>
      <c r="Q87">
        <v>2</v>
      </c>
      <c r="R87">
        <v>404</v>
      </c>
      <c r="S87">
        <v>397</v>
      </c>
      <c r="T87">
        <v>66</v>
      </c>
    </row>
    <row r="88" spans="1:20" x14ac:dyDescent="0.35">
      <c r="A88" s="1">
        <v>45888</v>
      </c>
      <c r="B88" s="2">
        <v>0.80518033564814817</v>
      </c>
      <c r="C88">
        <v>79</v>
      </c>
      <c r="D88">
        <v>155</v>
      </c>
      <c r="E88">
        <v>0</v>
      </c>
      <c r="F88">
        <v>0</v>
      </c>
      <c r="G88">
        <v>0</v>
      </c>
      <c r="H88">
        <v>2368</v>
      </c>
      <c r="I88">
        <v>1784</v>
      </c>
      <c r="J88">
        <v>0</v>
      </c>
      <c r="K88">
        <v>100</v>
      </c>
      <c r="L88">
        <v>178</v>
      </c>
      <c r="M88">
        <v>6</v>
      </c>
      <c r="N88">
        <v>0</v>
      </c>
      <c r="O88">
        <v>785</v>
      </c>
      <c r="P88">
        <v>26</v>
      </c>
      <c r="Q88">
        <v>2</v>
      </c>
      <c r="R88">
        <v>404</v>
      </c>
      <c r="S88">
        <v>398</v>
      </c>
      <c r="T88">
        <v>12</v>
      </c>
    </row>
    <row r="89" spans="1:20" x14ac:dyDescent="0.35">
      <c r="A89" s="1">
        <v>45888</v>
      </c>
      <c r="B89" s="2">
        <v>0.80519629629629641</v>
      </c>
      <c r="C89">
        <v>79</v>
      </c>
      <c r="D89">
        <v>160</v>
      </c>
      <c r="E89">
        <v>0</v>
      </c>
      <c r="F89">
        <v>0</v>
      </c>
      <c r="G89">
        <v>0</v>
      </c>
      <c r="H89">
        <v>2368</v>
      </c>
      <c r="I89">
        <v>1784</v>
      </c>
      <c r="J89">
        <v>0</v>
      </c>
      <c r="K89">
        <v>100</v>
      </c>
      <c r="L89">
        <v>184</v>
      </c>
      <c r="M89">
        <v>6</v>
      </c>
      <c r="N89">
        <v>0</v>
      </c>
      <c r="O89">
        <v>812</v>
      </c>
      <c r="P89">
        <v>25</v>
      </c>
      <c r="Q89">
        <v>2</v>
      </c>
      <c r="R89">
        <v>404</v>
      </c>
      <c r="S89">
        <v>398</v>
      </c>
      <c r="T89">
        <v>238</v>
      </c>
    </row>
    <row r="90" spans="1:20" x14ac:dyDescent="0.35">
      <c r="A90" s="1">
        <v>45888</v>
      </c>
      <c r="B90" s="2">
        <v>0.80521223379629625</v>
      </c>
      <c r="C90">
        <v>79</v>
      </c>
      <c r="D90">
        <v>165</v>
      </c>
      <c r="E90">
        <v>0</v>
      </c>
      <c r="F90">
        <v>0</v>
      </c>
      <c r="G90">
        <v>0</v>
      </c>
      <c r="H90">
        <v>2368</v>
      </c>
      <c r="I90">
        <v>1784</v>
      </c>
      <c r="J90">
        <v>0</v>
      </c>
      <c r="K90">
        <v>100</v>
      </c>
      <c r="L90">
        <v>186</v>
      </c>
      <c r="M90">
        <v>6</v>
      </c>
      <c r="N90">
        <v>1</v>
      </c>
      <c r="O90">
        <v>842</v>
      </c>
      <c r="P90">
        <v>28</v>
      </c>
      <c r="Q90">
        <v>2</v>
      </c>
      <c r="R90">
        <v>404</v>
      </c>
      <c r="S90">
        <v>398</v>
      </c>
      <c r="T90">
        <v>246</v>
      </c>
    </row>
    <row r="91" spans="1:20" x14ac:dyDescent="0.35">
      <c r="A91" s="1">
        <v>45888</v>
      </c>
      <c r="B91" s="2">
        <v>0.80522825231481487</v>
      </c>
      <c r="C91">
        <v>79</v>
      </c>
      <c r="D91">
        <v>170</v>
      </c>
      <c r="E91">
        <v>0</v>
      </c>
      <c r="F91">
        <v>0</v>
      </c>
      <c r="G91">
        <v>0</v>
      </c>
      <c r="H91">
        <v>2368</v>
      </c>
      <c r="I91">
        <v>1784</v>
      </c>
      <c r="J91">
        <v>0</v>
      </c>
      <c r="K91">
        <v>100</v>
      </c>
      <c r="L91">
        <v>186</v>
      </c>
      <c r="M91">
        <v>6</v>
      </c>
      <c r="N91">
        <v>0</v>
      </c>
      <c r="O91">
        <v>867</v>
      </c>
      <c r="P91">
        <v>28</v>
      </c>
      <c r="Q91">
        <v>2</v>
      </c>
      <c r="R91">
        <v>404</v>
      </c>
      <c r="S91">
        <v>398</v>
      </c>
      <c r="T91">
        <v>17</v>
      </c>
    </row>
    <row r="92" spans="1:20" x14ac:dyDescent="0.35">
      <c r="A92" s="1">
        <v>45888</v>
      </c>
      <c r="B92" s="2">
        <v>0.80524428240740742</v>
      </c>
      <c r="C92">
        <v>79</v>
      </c>
      <c r="D92">
        <v>175</v>
      </c>
      <c r="E92">
        <v>0</v>
      </c>
      <c r="F92">
        <v>0</v>
      </c>
      <c r="G92">
        <v>0</v>
      </c>
      <c r="H92">
        <v>2368</v>
      </c>
      <c r="I92">
        <v>1784</v>
      </c>
      <c r="J92">
        <v>0</v>
      </c>
      <c r="K92">
        <v>100</v>
      </c>
      <c r="L92">
        <v>187</v>
      </c>
      <c r="M92">
        <v>7</v>
      </c>
      <c r="N92">
        <v>1</v>
      </c>
      <c r="O92">
        <v>896</v>
      </c>
      <c r="P92">
        <v>29</v>
      </c>
      <c r="Q92">
        <v>2</v>
      </c>
      <c r="R92">
        <v>404</v>
      </c>
      <c r="S92">
        <v>398</v>
      </c>
      <c r="T92">
        <v>158</v>
      </c>
    </row>
    <row r="93" spans="1:20" x14ac:dyDescent="0.35">
      <c r="A93" s="1">
        <v>45888</v>
      </c>
      <c r="B93" s="2">
        <v>0.80526024305555555</v>
      </c>
      <c r="C93">
        <v>79</v>
      </c>
      <c r="D93">
        <v>180</v>
      </c>
      <c r="E93">
        <v>0</v>
      </c>
      <c r="F93">
        <v>0</v>
      </c>
      <c r="G93">
        <v>0</v>
      </c>
      <c r="H93">
        <v>2368</v>
      </c>
      <c r="I93">
        <v>1784</v>
      </c>
      <c r="J93">
        <v>0</v>
      </c>
      <c r="K93">
        <v>100</v>
      </c>
      <c r="L93">
        <v>179</v>
      </c>
      <c r="M93">
        <v>6</v>
      </c>
      <c r="N93">
        <v>2</v>
      </c>
      <c r="O93">
        <v>918</v>
      </c>
      <c r="P93">
        <v>30</v>
      </c>
      <c r="Q93">
        <v>2</v>
      </c>
      <c r="R93">
        <v>404</v>
      </c>
      <c r="S93">
        <v>398</v>
      </c>
      <c r="T93">
        <v>54</v>
      </c>
    </row>
    <row r="94" spans="1:20" x14ac:dyDescent="0.35">
      <c r="A94" s="1">
        <v>45888</v>
      </c>
      <c r="B94" s="2">
        <v>0.8052760532407407</v>
      </c>
      <c r="C94">
        <v>79</v>
      </c>
      <c r="D94">
        <v>185</v>
      </c>
      <c r="E94">
        <v>0</v>
      </c>
      <c r="F94">
        <v>0</v>
      </c>
      <c r="G94">
        <v>0</v>
      </c>
      <c r="H94">
        <v>2368</v>
      </c>
      <c r="I94">
        <v>1784</v>
      </c>
      <c r="J94">
        <v>0</v>
      </c>
      <c r="K94">
        <v>100</v>
      </c>
      <c r="L94">
        <v>180</v>
      </c>
      <c r="M94">
        <v>6</v>
      </c>
      <c r="N94">
        <v>0</v>
      </c>
      <c r="O94">
        <v>954</v>
      </c>
      <c r="P94">
        <v>31</v>
      </c>
      <c r="Q94">
        <v>2</v>
      </c>
      <c r="R94">
        <v>404</v>
      </c>
      <c r="S94">
        <v>398</v>
      </c>
      <c r="T94">
        <v>203</v>
      </c>
    </row>
    <row r="95" spans="1:20" x14ac:dyDescent="0.35">
      <c r="A95" s="1">
        <v>45888</v>
      </c>
      <c r="B95" s="2">
        <v>0.80529188657407402</v>
      </c>
      <c r="C95">
        <v>79</v>
      </c>
      <c r="D95">
        <v>190</v>
      </c>
      <c r="E95">
        <v>0</v>
      </c>
      <c r="F95">
        <v>0</v>
      </c>
      <c r="G95">
        <v>0</v>
      </c>
      <c r="H95">
        <v>2368</v>
      </c>
      <c r="I95">
        <v>1784</v>
      </c>
      <c r="J95">
        <v>0</v>
      </c>
      <c r="K95">
        <v>100</v>
      </c>
      <c r="L95">
        <v>186</v>
      </c>
      <c r="M95">
        <v>6</v>
      </c>
      <c r="N95">
        <v>1</v>
      </c>
      <c r="O95">
        <v>978</v>
      </c>
      <c r="P95">
        <v>32</v>
      </c>
      <c r="Q95">
        <v>2</v>
      </c>
      <c r="R95">
        <v>404</v>
      </c>
      <c r="S95">
        <v>398</v>
      </c>
      <c r="T95">
        <v>55</v>
      </c>
    </row>
    <row r="96" spans="1:20" x14ac:dyDescent="0.35">
      <c r="A96" s="1">
        <v>45888</v>
      </c>
      <c r="B96" s="2">
        <v>0.80530787037037044</v>
      </c>
      <c r="C96">
        <v>79</v>
      </c>
      <c r="D96">
        <v>195</v>
      </c>
      <c r="E96">
        <v>0</v>
      </c>
      <c r="F96">
        <v>0</v>
      </c>
      <c r="G96">
        <v>0</v>
      </c>
      <c r="H96">
        <v>2368</v>
      </c>
      <c r="I96">
        <v>1784</v>
      </c>
      <c r="J96">
        <v>0</v>
      </c>
      <c r="K96">
        <v>100</v>
      </c>
      <c r="L96">
        <v>177</v>
      </c>
      <c r="M96">
        <v>6</v>
      </c>
      <c r="N96">
        <v>0</v>
      </c>
      <c r="O96">
        <v>1006</v>
      </c>
      <c r="P96">
        <v>33</v>
      </c>
      <c r="Q96">
        <v>1</v>
      </c>
      <c r="R96">
        <v>404</v>
      </c>
      <c r="S96">
        <v>398</v>
      </c>
      <c r="T96">
        <v>48</v>
      </c>
    </row>
    <row r="97" spans="1:20" x14ac:dyDescent="0.35">
      <c r="A97" s="1">
        <v>45888</v>
      </c>
      <c r="B97" s="2">
        <v>0.80532383101851857</v>
      </c>
      <c r="C97">
        <v>79</v>
      </c>
      <c r="D97">
        <v>200</v>
      </c>
      <c r="E97">
        <v>0</v>
      </c>
      <c r="F97">
        <v>0</v>
      </c>
      <c r="G97">
        <v>0</v>
      </c>
      <c r="H97">
        <v>2368</v>
      </c>
      <c r="I97">
        <v>1784</v>
      </c>
      <c r="J97">
        <v>0</v>
      </c>
      <c r="K97">
        <v>100</v>
      </c>
      <c r="L97">
        <v>178</v>
      </c>
      <c r="M97">
        <v>6</v>
      </c>
      <c r="N97">
        <v>1</v>
      </c>
      <c r="O97">
        <v>1031</v>
      </c>
      <c r="P97">
        <v>35</v>
      </c>
      <c r="Q97">
        <v>1</v>
      </c>
      <c r="R97">
        <v>405</v>
      </c>
      <c r="S97">
        <v>398</v>
      </c>
      <c r="T97">
        <v>20</v>
      </c>
    </row>
    <row r="98" spans="1:20" x14ac:dyDescent="0.35">
      <c r="A98" s="1">
        <v>45888</v>
      </c>
      <c r="B98" s="2">
        <v>0.80533961805555543</v>
      </c>
      <c r="C98">
        <v>79</v>
      </c>
      <c r="D98">
        <v>205</v>
      </c>
      <c r="E98">
        <v>0</v>
      </c>
      <c r="F98">
        <v>0</v>
      </c>
      <c r="G98">
        <v>0</v>
      </c>
      <c r="H98">
        <v>2368</v>
      </c>
      <c r="I98">
        <v>1784</v>
      </c>
      <c r="J98">
        <v>0</v>
      </c>
      <c r="K98">
        <v>100</v>
      </c>
      <c r="L98">
        <v>182</v>
      </c>
      <c r="M98">
        <v>6</v>
      </c>
      <c r="N98">
        <v>2</v>
      </c>
      <c r="O98">
        <v>1063</v>
      </c>
      <c r="P98">
        <v>37</v>
      </c>
      <c r="Q98">
        <v>2</v>
      </c>
      <c r="R98">
        <v>404</v>
      </c>
      <c r="S98">
        <v>398</v>
      </c>
      <c r="T98">
        <v>37</v>
      </c>
    </row>
    <row r="99" spans="1:20" x14ac:dyDescent="0.35">
      <c r="A99" s="1">
        <v>45888</v>
      </c>
      <c r="B99" s="2">
        <v>0.80535557870370367</v>
      </c>
      <c r="C99">
        <v>79</v>
      </c>
      <c r="D99">
        <v>210</v>
      </c>
      <c r="E99">
        <v>0</v>
      </c>
      <c r="F99">
        <v>0</v>
      </c>
      <c r="G99">
        <v>0</v>
      </c>
      <c r="H99">
        <v>2368</v>
      </c>
      <c r="I99">
        <v>1784</v>
      </c>
      <c r="J99">
        <v>0</v>
      </c>
      <c r="K99">
        <v>100</v>
      </c>
      <c r="L99">
        <v>174</v>
      </c>
      <c r="M99">
        <v>6</v>
      </c>
      <c r="N99">
        <v>1</v>
      </c>
      <c r="O99">
        <v>1085</v>
      </c>
      <c r="P99">
        <v>38</v>
      </c>
      <c r="Q99">
        <v>2</v>
      </c>
      <c r="R99">
        <v>404</v>
      </c>
      <c r="S99">
        <v>398</v>
      </c>
      <c r="T99">
        <v>162</v>
      </c>
    </row>
    <row r="100" spans="1:20" x14ac:dyDescent="0.35">
      <c r="A100" s="1">
        <v>45888</v>
      </c>
      <c r="B100" s="2">
        <v>0.80537135416666672</v>
      </c>
      <c r="C100">
        <v>79</v>
      </c>
      <c r="D100">
        <v>215</v>
      </c>
      <c r="E100">
        <v>0</v>
      </c>
      <c r="F100">
        <v>0</v>
      </c>
      <c r="G100">
        <v>0</v>
      </c>
      <c r="H100">
        <v>2368</v>
      </c>
      <c r="I100">
        <v>1784</v>
      </c>
      <c r="J100">
        <v>0</v>
      </c>
      <c r="K100">
        <v>100</v>
      </c>
      <c r="L100">
        <v>181</v>
      </c>
      <c r="M100">
        <v>6</v>
      </c>
      <c r="N100">
        <v>1</v>
      </c>
      <c r="O100">
        <v>1107</v>
      </c>
      <c r="P100">
        <v>38</v>
      </c>
      <c r="Q100">
        <v>2</v>
      </c>
      <c r="R100">
        <v>404</v>
      </c>
      <c r="S100">
        <v>398</v>
      </c>
      <c r="T100">
        <v>169</v>
      </c>
    </row>
    <row r="101" spans="1:20" x14ac:dyDescent="0.35">
      <c r="A101" s="1">
        <v>45888</v>
      </c>
      <c r="B101" s="2">
        <v>0.80538733796296291</v>
      </c>
      <c r="C101">
        <v>79</v>
      </c>
      <c r="D101">
        <v>220</v>
      </c>
      <c r="E101">
        <v>0</v>
      </c>
      <c r="F101">
        <v>0</v>
      </c>
      <c r="G101">
        <v>0</v>
      </c>
      <c r="H101">
        <v>2368</v>
      </c>
      <c r="I101">
        <v>1784</v>
      </c>
      <c r="J101">
        <v>0</v>
      </c>
      <c r="K101">
        <v>100</v>
      </c>
      <c r="L101">
        <v>179</v>
      </c>
      <c r="M101">
        <v>6</v>
      </c>
      <c r="N101">
        <v>2</v>
      </c>
      <c r="O101">
        <v>1122</v>
      </c>
      <c r="P101">
        <v>38</v>
      </c>
      <c r="Q101">
        <v>2</v>
      </c>
      <c r="R101">
        <v>404</v>
      </c>
      <c r="S101">
        <v>397</v>
      </c>
      <c r="T101">
        <v>114</v>
      </c>
    </row>
    <row r="102" spans="1:20" x14ac:dyDescent="0.35">
      <c r="A102" s="1">
        <v>45888</v>
      </c>
      <c r="B102" s="2">
        <v>0.8054032523148148</v>
      </c>
      <c r="C102">
        <v>79</v>
      </c>
      <c r="D102">
        <v>225</v>
      </c>
      <c r="E102">
        <v>0</v>
      </c>
      <c r="F102">
        <v>0</v>
      </c>
      <c r="G102">
        <v>0</v>
      </c>
      <c r="H102">
        <v>2368</v>
      </c>
      <c r="I102">
        <v>1784</v>
      </c>
      <c r="J102">
        <v>0</v>
      </c>
      <c r="K102">
        <v>100</v>
      </c>
      <c r="L102">
        <v>176</v>
      </c>
      <c r="M102">
        <v>6</v>
      </c>
      <c r="N102">
        <v>1</v>
      </c>
      <c r="O102">
        <v>1136</v>
      </c>
      <c r="P102">
        <v>39</v>
      </c>
      <c r="Q102">
        <v>2</v>
      </c>
      <c r="R102">
        <v>404</v>
      </c>
      <c r="S102">
        <v>398</v>
      </c>
      <c r="T102">
        <v>39</v>
      </c>
    </row>
    <row r="103" spans="1:20" x14ac:dyDescent="0.35">
      <c r="A103" s="1">
        <v>45888</v>
      </c>
      <c r="B103" s="2">
        <v>0.80541902777777774</v>
      </c>
      <c r="C103">
        <v>79</v>
      </c>
      <c r="D103">
        <v>230</v>
      </c>
      <c r="E103">
        <v>0</v>
      </c>
      <c r="F103">
        <v>0</v>
      </c>
      <c r="G103">
        <v>0</v>
      </c>
      <c r="H103">
        <v>2368</v>
      </c>
      <c r="I103">
        <v>1784</v>
      </c>
      <c r="J103">
        <v>0</v>
      </c>
      <c r="K103">
        <v>100</v>
      </c>
      <c r="L103">
        <v>182</v>
      </c>
      <c r="M103">
        <v>6</v>
      </c>
      <c r="N103">
        <v>0</v>
      </c>
      <c r="O103">
        <v>1152</v>
      </c>
      <c r="P103">
        <v>40</v>
      </c>
      <c r="Q103">
        <v>3</v>
      </c>
      <c r="R103">
        <v>404</v>
      </c>
      <c r="S103">
        <v>398</v>
      </c>
      <c r="T103">
        <v>8</v>
      </c>
    </row>
    <row r="104" spans="1:20" x14ac:dyDescent="0.35">
      <c r="A104" s="1">
        <v>45888</v>
      </c>
      <c r="B104" s="2">
        <v>0.80543506944444443</v>
      </c>
      <c r="C104">
        <v>79</v>
      </c>
      <c r="D104">
        <v>235</v>
      </c>
      <c r="E104">
        <v>0</v>
      </c>
      <c r="F104">
        <v>0</v>
      </c>
      <c r="G104">
        <v>0</v>
      </c>
      <c r="H104">
        <v>2368</v>
      </c>
      <c r="I104">
        <v>1784</v>
      </c>
      <c r="J104">
        <v>0</v>
      </c>
      <c r="K104">
        <v>100</v>
      </c>
      <c r="L104">
        <v>173</v>
      </c>
      <c r="M104">
        <v>6</v>
      </c>
      <c r="N104">
        <v>1</v>
      </c>
      <c r="O104">
        <v>1160</v>
      </c>
      <c r="P104">
        <v>40</v>
      </c>
      <c r="Q104">
        <v>2</v>
      </c>
      <c r="R104">
        <v>404</v>
      </c>
      <c r="S104">
        <v>398</v>
      </c>
      <c r="T104">
        <v>143</v>
      </c>
    </row>
    <row r="105" spans="1:20" x14ac:dyDescent="0.35">
      <c r="A105" s="1">
        <v>45888</v>
      </c>
      <c r="B105" s="2">
        <v>0.80545084490740737</v>
      </c>
      <c r="C105">
        <v>79</v>
      </c>
      <c r="D105">
        <v>240</v>
      </c>
      <c r="E105">
        <v>0</v>
      </c>
      <c r="F105">
        <v>0</v>
      </c>
      <c r="G105">
        <v>0</v>
      </c>
      <c r="H105">
        <v>2368</v>
      </c>
      <c r="I105">
        <v>1784</v>
      </c>
      <c r="J105">
        <v>0</v>
      </c>
      <c r="K105">
        <v>100</v>
      </c>
      <c r="L105">
        <v>187</v>
      </c>
      <c r="M105">
        <v>6</v>
      </c>
      <c r="N105">
        <v>0</v>
      </c>
      <c r="O105">
        <v>1163</v>
      </c>
      <c r="P105">
        <v>40</v>
      </c>
      <c r="Q105">
        <v>2</v>
      </c>
      <c r="R105">
        <v>405</v>
      </c>
      <c r="S105">
        <v>398</v>
      </c>
      <c r="T105">
        <v>250</v>
      </c>
    </row>
    <row r="106" spans="1:20" x14ac:dyDescent="0.35">
      <c r="A106" s="1">
        <v>45888</v>
      </c>
      <c r="B106" s="2">
        <v>0.8054665856481481</v>
      </c>
      <c r="C106">
        <v>79</v>
      </c>
      <c r="D106">
        <v>245</v>
      </c>
      <c r="E106">
        <v>0</v>
      </c>
      <c r="F106">
        <v>0</v>
      </c>
      <c r="G106">
        <v>0</v>
      </c>
      <c r="H106">
        <v>2368</v>
      </c>
      <c r="I106">
        <v>1784</v>
      </c>
      <c r="J106">
        <v>0</v>
      </c>
      <c r="K106">
        <v>100</v>
      </c>
      <c r="L106">
        <v>182</v>
      </c>
      <c r="M106">
        <v>6</v>
      </c>
      <c r="N106">
        <v>2</v>
      </c>
      <c r="O106">
        <v>1171</v>
      </c>
      <c r="P106">
        <v>40</v>
      </c>
      <c r="Q106">
        <v>2</v>
      </c>
      <c r="R106">
        <v>404</v>
      </c>
      <c r="S106">
        <v>398</v>
      </c>
      <c r="T106">
        <v>241</v>
      </c>
    </row>
    <row r="107" spans="1:20" x14ac:dyDescent="0.35">
      <c r="A107" s="1">
        <v>45888</v>
      </c>
      <c r="B107" s="2">
        <v>0.80548236111111116</v>
      </c>
      <c r="C107">
        <v>79</v>
      </c>
      <c r="D107">
        <v>250</v>
      </c>
      <c r="E107">
        <v>0</v>
      </c>
      <c r="F107">
        <v>0</v>
      </c>
      <c r="G107">
        <v>0</v>
      </c>
      <c r="H107">
        <v>2368</v>
      </c>
      <c r="I107">
        <v>1784</v>
      </c>
      <c r="J107">
        <v>0</v>
      </c>
      <c r="K107">
        <v>100</v>
      </c>
      <c r="L107">
        <v>184</v>
      </c>
      <c r="M107">
        <v>6</v>
      </c>
      <c r="N107">
        <v>2</v>
      </c>
      <c r="O107">
        <v>1178</v>
      </c>
      <c r="P107">
        <v>40</v>
      </c>
      <c r="Q107">
        <v>2</v>
      </c>
      <c r="R107">
        <v>405</v>
      </c>
      <c r="S107">
        <v>398</v>
      </c>
      <c r="T107">
        <v>107</v>
      </c>
    </row>
    <row r="108" spans="1:20" x14ac:dyDescent="0.35">
      <c r="A108" s="1">
        <v>45888</v>
      </c>
      <c r="B108" s="2">
        <v>0.80549832175925917</v>
      </c>
      <c r="C108">
        <v>79</v>
      </c>
      <c r="D108">
        <v>255</v>
      </c>
      <c r="E108">
        <v>0</v>
      </c>
      <c r="F108">
        <v>0</v>
      </c>
      <c r="G108">
        <v>0</v>
      </c>
      <c r="H108">
        <v>2368</v>
      </c>
      <c r="I108">
        <v>1784</v>
      </c>
      <c r="J108">
        <v>0</v>
      </c>
      <c r="K108">
        <v>100</v>
      </c>
      <c r="L108">
        <v>176</v>
      </c>
      <c r="M108">
        <v>6</v>
      </c>
      <c r="N108">
        <v>0</v>
      </c>
      <c r="O108">
        <v>1176</v>
      </c>
      <c r="P108">
        <v>40</v>
      </c>
      <c r="Q108">
        <v>3</v>
      </c>
      <c r="R108">
        <v>404</v>
      </c>
      <c r="S108">
        <v>398</v>
      </c>
      <c r="T108">
        <v>219</v>
      </c>
    </row>
    <row r="109" spans="1:20" x14ac:dyDescent="0.35">
      <c r="A109" s="1">
        <v>45888</v>
      </c>
      <c r="B109" s="2">
        <v>0.8055141203703704</v>
      </c>
      <c r="C109">
        <v>79</v>
      </c>
      <c r="D109">
        <v>4</v>
      </c>
      <c r="E109">
        <v>0</v>
      </c>
      <c r="F109">
        <v>0</v>
      </c>
      <c r="G109">
        <v>0</v>
      </c>
      <c r="H109">
        <v>2368</v>
      </c>
      <c r="I109">
        <v>1784</v>
      </c>
      <c r="J109">
        <v>0</v>
      </c>
      <c r="K109">
        <v>100</v>
      </c>
      <c r="L109">
        <v>184</v>
      </c>
      <c r="M109">
        <v>6</v>
      </c>
      <c r="N109">
        <v>1</v>
      </c>
      <c r="O109">
        <v>1176</v>
      </c>
      <c r="P109">
        <v>40</v>
      </c>
      <c r="Q109">
        <v>2</v>
      </c>
      <c r="R109">
        <v>404</v>
      </c>
      <c r="S109">
        <v>398</v>
      </c>
      <c r="T109">
        <v>108</v>
      </c>
    </row>
    <row r="110" spans="1:20" x14ac:dyDescent="0.35">
      <c r="A110" s="1">
        <v>45888</v>
      </c>
      <c r="B110" s="2">
        <v>0.80552989583333323</v>
      </c>
      <c r="C110">
        <v>79</v>
      </c>
      <c r="D110">
        <v>9</v>
      </c>
      <c r="E110">
        <v>0</v>
      </c>
      <c r="F110">
        <v>0</v>
      </c>
      <c r="G110">
        <v>0</v>
      </c>
      <c r="H110">
        <v>2368</v>
      </c>
      <c r="I110">
        <v>1784</v>
      </c>
      <c r="J110">
        <v>0</v>
      </c>
      <c r="K110">
        <v>100</v>
      </c>
      <c r="L110">
        <v>182</v>
      </c>
      <c r="M110">
        <v>6</v>
      </c>
      <c r="N110">
        <v>1</v>
      </c>
      <c r="O110">
        <v>1174</v>
      </c>
      <c r="P110">
        <v>40</v>
      </c>
      <c r="Q110">
        <v>1</v>
      </c>
      <c r="R110">
        <v>404</v>
      </c>
      <c r="S110">
        <v>398</v>
      </c>
      <c r="T110">
        <v>47</v>
      </c>
    </row>
    <row r="111" spans="1:20" x14ac:dyDescent="0.35">
      <c r="A111" s="1">
        <v>45888</v>
      </c>
      <c r="B111" s="2">
        <v>0.8055457060185186</v>
      </c>
      <c r="C111">
        <v>79</v>
      </c>
      <c r="D111">
        <v>14</v>
      </c>
      <c r="E111">
        <v>0</v>
      </c>
      <c r="F111">
        <v>0</v>
      </c>
      <c r="G111">
        <v>0</v>
      </c>
      <c r="H111">
        <v>2368</v>
      </c>
      <c r="I111">
        <v>1784</v>
      </c>
      <c r="J111">
        <v>0</v>
      </c>
      <c r="K111">
        <v>100</v>
      </c>
      <c r="L111">
        <v>176</v>
      </c>
      <c r="M111">
        <v>6</v>
      </c>
      <c r="N111">
        <v>0</v>
      </c>
      <c r="O111">
        <v>1174</v>
      </c>
      <c r="P111">
        <v>40</v>
      </c>
      <c r="Q111">
        <v>1</v>
      </c>
      <c r="R111">
        <v>404</v>
      </c>
      <c r="S111">
        <v>398</v>
      </c>
      <c r="T111">
        <v>61</v>
      </c>
    </row>
    <row r="112" spans="1:20" x14ac:dyDescent="0.35">
      <c r="A112" s="1">
        <v>45888</v>
      </c>
      <c r="B112" s="2">
        <v>0.8055616898148148</v>
      </c>
      <c r="C112">
        <v>79</v>
      </c>
      <c r="D112">
        <v>19</v>
      </c>
      <c r="E112">
        <v>0</v>
      </c>
      <c r="F112">
        <v>0</v>
      </c>
      <c r="G112">
        <v>0</v>
      </c>
      <c r="H112">
        <v>2368</v>
      </c>
      <c r="I112">
        <v>1784</v>
      </c>
      <c r="J112">
        <v>0</v>
      </c>
      <c r="K112">
        <v>100</v>
      </c>
      <c r="L112">
        <v>178</v>
      </c>
      <c r="M112">
        <v>6</v>
      </c>
      <c r="N112">
        <v>2</v>
      </c>
      <c r="O112">
        <v>1170</v>
      </c>
      <c r="P112">
        <v>40</v>
      </c>
      <c r="Q112">
        <v>2</v>
      </c>
      <c r="R112">
        <v>404</v>
      </c>
      <c r="S112">
        <v>398</v>
      </c>
      <c r="T112">
        <v>243</v>
      </c>
    </row>
    <row r="113" spans="1:20" x14ac:dyDescent="0.35">
      <c r="A113" s="1">
        <v>45888</v>
      </c>
      <c r="B113" s="2">
        <v>0.80557758101851862</v>
      </c>
      <c r="C113">
        <v>79</v>
      </c>
      <c r="D113">
        <v>24</v>
      </c>
      <c r="E113">
        <v>0</v>
      </c>
      <c r="F113">
        <v>0</v>
      </c>
      <c r="G113">
        <v>0</v>
      </c>
      <c r="H113">
        <v>2368</v>
      </c>
      <c r="I113">
        <v>1784</v>
      </c>
      <c r="J113">
        <v>0</v>
      </c>
      <c r="K113">
        <v>100</v>
      </c>
      <c r="L113">
        <v>182</v>
      </c>
      <c r="M113">
        <v>6</v>
      </c>
      <c r="N113">
        <v>1</v>
      </c>
      <c r="O113">
        <v>1163</v>
      </c>
      <c r="P113">
        <v>40</v>
      </c>
      <c r="Q113">
        <v>2</v>
      </c>
      <c r="R113">
        <v>404</v>
      </c>
      <c r="S113">
        <v>398</v>
      </c>
      <c r="T113">
        <v>128</v>
      </c>
    </row>
    <row r="114" spans="1:20" x14ac:dyDescent="0.35">
      <c r="A114" s="1">
        <v>45888</v>
      </c>
      <c r="B114" s="2">
        <v>0.80559356481481481</v>
      </c>
      <c r="C114">
        <v>79</v>
      </c>
      <c r="D114">
        <v>29</v>
      </c>
      <c r="E114">
        <v>0</v>
      </c>
      <c r="F114">
        <v>0</v>
      </c>
      <c r="G114">
        <v>0</v>
      </c>
      <c r="H114">
        <v>2368</v>
      </c>
      <c r="I114">
        <v>1784</v>
      </c>
      <c r="J114">
        <v>0</v>
      </c>
      <c r="K114">
        <v>100</v>
      </c>
      <c r="L114">
        <v>190</v>
      </c>
      <c r="M114">
        <v>6</v>
      </c>
      <c r="N114">
        <v>1</v>
      </c>
      <c r="O114">
        <v>1158</v>
      </c>
      <c r="P114">
        <v>40</v>
      </c>
      <c r="Q114">
        <v>2</v>
      </c>
      <c r="R114">
        <v>405</v>
      </c>
      <c r="S114">
        <v>397</v>
      </c>
      <c r="T114">
        <v>204</v>
      </c>
    </row>
    <row r="115" spans="1:20" x14ac:dyDescent="0.35">
      <c r="A115" s="1">
        <v>45888</v>
      </c>
      <c r="B115" s="2">
        <v>0.805609548611111</v>
      </c>
      <c r="C115">
        <v>79</v>
      </c>
      <c r="D115">
        <v>34</v>
      </c>
      <c r="E115">
        <v>0</v>
      </c>
      <c r="F115">
        <v>0</v>
      </c>
      <c r="G115">
        <v>0</v>
      </c>
      <c r="H115">
        <v>2368</v>
      </c>
      <c r="I115">
        <v>1784</v>
      </c>
      <c r="J115">
        <v>0</v>
      </c>
      <c r="K115">
        <v>100</v>
      </c>
      <c r="L115">
        <v>173</v>
      </c>
      <c r="M115">
        <v>6</v>
      </c>
      <c r="N115">
        <v>1</v>
      </c>
      <c r="O115">
        <v>1152</v>
      </c>
      <c r="P115">
        <v>40</v>
      </c>
      <c r="Q115">
        <v>2</v>
      </c>
      <c r="R115">
        <v>404</v>
      </c>
      <c r="S115">
        <v>398</v>
      </c>
      <c r="T115">
        <v>119</v>
      </c>
    </row>
    <row r="116" spans="1:20" x14ac:dyDescent="0.35">
      <c r="A116" s="1">
        <v>45888</v>
      </c>
      <c r="B116" s="2">
        <v>0.80562556712962963</v>
      </c>
      <c r="C116">
        <v>79</v>
      </c>
      <c r="D116">
        <v>39</v>
      </c>
      <c r="E116">
        <v>0</v>
      </c>
      <c r="F116">
        <v>0</v>
      </c>
      <c r="G116">
        <v>0</v>
      </c>
      <c r="H116">
        <v>2368</v>
      </c>
      <c r="I116">
        <v>1784</v>
      </c>
      <c r="J116">
        <v>0</v>
      </c>
      <c r="K116">
        <v>100</v>
      </c>
      <c r="L116">
        <v>180</v>
      </c>
      <c r="M116">
        <v>6</v>
      </c>
      <c r="N116">
        <v>0</v>
      </c>
      <c r="O116">
        <v>1141</v>
      </c>
      <c r="P116">
        <v>38</v>
      </c>
      <c r="Q116">
        <v>2</v>
      </c>
      <c r="R116">
        <v>404</v>
      </c>
      <c r="S116">
        <v>398</v>
      </c>
      <c r="T116">
        <v>211</v>
      </c>
    </row>
    <row r="117" spans="1:20" x14ac:dyDescent="0.35">
      <c r="A117" s="1">
        <v>45888</v>
      </c>
      <c r="B117" s="2">
        <v>0.8056415393518519</v>
      </c>
      <c r="C117">
        <v>79</v>
      </c>
      <c r="D117">
        <v>44</v>
      </c>
      <c r="E117">
        <v>0</v>
      </c>
      <c r="F117">
        <v>0</v>
      </c>
      <c r="G117">
        <v>0</v>
      </c>
      <c r="H117">
        <v>2368</v>
      </c>
      <c r="I117">
        <v>1784</v>
      </c>
      <c r="J117">
        <v>0</v>
      </c>
      <c r="K117">
        <v>100</v>
      </c>
      <c r="L117">
        <v>182</v>
      </c>
      <c r="M117">
        <v>6</v>
      </c>
      <c r="N117">
        <v>0</v>
      </c>
      <c r="O117">
        <v>1139</v>
      </c>
      <c r="P117">
        <v>39</v>
      </c>
      <c r="Q117">
        <v>2</v>
      </c>
      <c r="R117">
        <v>404</v>
      </c>
      <c r="S117">
        <v>398</v>
      </c>
      <c r="T117">
        <v>197</v>
      </c>
    </row>
    <row r="118" spans="1:20" x14ac:dyDescent="0.35">
      <c r="A118" s="1">
        <v>45888</v>
      </c>
      <c r="B118" s="2">
        <v>0.80565732638888898</v>
      </c>
      <c r="C118">
        <v>79</v>
      </c>
      <c r="D118">
        <v>49</v>
      </c>
      <c r="E118">
        <v>0</v>
      </c>
      <c r="F118">
        <v>0</v>
      </c>
      <c r="G118">
        <v>0</v>
      </c>
      <c r="H118">
        <v>2368</v>
      </c>
      <c r="I118">
        <v>1784</v>
      </c>
      <c r="J118">
        <v>0</v>
      </c>
      <c r="K118">
        <v>100</v>
      </c>
      <c r="L118">
        <v>180</v>
      </c>
      <c r="M118">
        <v>6</v>
      </c>
      <c r="N118">
        <v>0</v>
      </c>
      <c r="O118">
        <v>1134</v>
      </c>
      <c r="P118">
        <v>39</v>
      </c>
      <c r="Q118">
        <v>3</v>
      </c>
      <c r="R118">
        <v>404</v>
      </c>
      <c r="S118">
        <v>397</v>
      </c>
      <c r="T118">
        <v>197</v>
      </c>
    </row>
    <row r="119" spans="1:20" x14ac:dyDescent="0.35">
      <c r="A119" s="1">
        <v>45888</v>
      </c>
      <c r="B119" s="2">
        <v>0.80567329861111103</v>
      </c>
      <c r="C119">
        <v>79</v>
      </c>
      <c r="D119">
        <v>54</v>
      </c>
      <c r="E119">
        <v>0</v>
      </c>
      <c r="F119">
        <v>0</v>
      </c>
      <c r="G119">
        <v>0</v>
      </c>
      <c r="H119">
        <v>2368</v>
      </c>
      <c r="I119">
        <v>1784</v>
      </c>
      <c r="J119">
        <v>0</v>
      </c>
      <c r="K119">
        <v>100</v>
      </c>
      <c r="L119">
        <v>178</v>
      </c>
      <c r="M119">
        <v>6</v>
      </c>
      <c r="N119">
        <v>0</v>
      </c>
      <c r="O119">
        <v>1122</v>
      </c>
      <c r="P119">
        <v>38</v>
      </c>
      <c r="Q119">
        <v>2</v>
      </c>
      <c r="R119">
        <v>404</v>
      </c>
      <c r="S119">
        <v>398</v>
      </c>
      <c r="T119">
        <v>94</v>
      </c>
    </row>
    <row r="120" spans="1:20" x14ac:dyDescent="0.35">
      <c r="A120" s="1">
        <v>45888</v>
      </c>
      <c r="B120" s="2">
        <v>0.80568908564814812</v>
      </c>
      <c r="C120">
        <v>79</v>
      </c>
      <c r="D120">
        <v>59</v>
      </c>
      <c r="E120">
        <v>0</v>
      </c>
      <c r="F120">
        <v>0</v>
      </c>
      <c r="G120">
        <v>0</v>
      </c>
      <c r="H120">
        <v>2368</v>
      </c>
      <c r="I120">
        <v>1784</v>
      </c>
      <c r="J120">
        <v>0</v>
      </c>
      <c r="K120">
        <v>100</v>
      </c>
      <c r="L120">
        <v>182</v>
      </c>
      <c r="M120">
        <v>6</v>
      </c>
      <c r="N120">
        <v>1</v>
      </c>
      <c r="O120">
        <v>1119</v>
      </c>
      <c r="P120">
        <v>38</v>
      </c>
      <c r="Q120">
        <v>2</v>
      </c>
      <c r="R120">
        <v>404</v>
      </c>
      <c r="S120">
        <v>398</v>
      </c>
      <c r="T120">
        <v>121</v>
      </c>
    </row>
    <row r="121" spans="1:20" x14ac:dyDescent="0.35">
      <c r="A121" s="1">
        <v>45888</v>
      </c>
      <c r="B121" s="2">
        <v>0.80570491898148144</v>
      </c>
      <c r="C121">
        <v>79</v>
      </c>
      <c r="D121">
        <v>64</v>
      </c>
      <c r="E121">
        <v>0</v>
      </c>
      <c r="F121">
        <v>0</v>
      </c>
      <c r="G121">
        <v>0</v>
      </c>
      <c r="H121">
        <v>2368</v>
      </c>
      <c r="I121">
        <v>1784</v>
      </c>
      <c r="J121">
        <v>0</v>
      </c>
      <c r="K121">
        <v>100</v>
      </c>
      <c r="L121">
        <v>180</v>
      </c>
      <c r="M121">
        <v>6</v>
      </c>
      <c r="N121">
        <v>0</v>
      </c>
      <c r="O121">
        <v>1113</v>
      </c>
      <c r="P121">
        <v>38</v>
      </c>
      <c r="Q121">
        <v>2</v>
      </c>
      <c r="R121">
        <v>404</v>
      </c>
      <c r="S121">
        <v>398</v>
      </c>
      <c r="T121">
        <v>62</v>
      </c>
    </row>
    <row r="122" spans="1:20" x14ac:dyDescent="0.35">
      <c r="A122" s="1">
        <v>45888</v>
      </c>
      <c r="B122" s="2">
        <v>0.80572071759259267</v>
      </c>
      <c r="C122">
        <v>79</v>
      </c>
      <c r="D122">
        <v>69</v>
      </c>
      <c r="E122">
        <v>0</v>
      </c>
      <c r="F122">
        <v>0</v>
      </c>
      <c r="G122">
        <v>0</v>
      </c>
      <c r="H122">
        <v>2368</v>
      </c>
      <c r="I122">
        <v>1784</v>
      </c>
      <c r="J122">
        <v>0</v>
      </c>
      <c r="K122">
        <v>100</v>
      </c>
      <c r="L122">
        <v>183</v>
      </c>
      <c r="M122">
        <v>6</v>
      </c>
      <c r="N122">
        <v>2</v>
      </c>
      <c r="O122">
        <v>1107</v>
      </c>
      <c r="P122">
        <v>38</v>
      </c>
      <c r="Q122">
        <v>2</v>
      </c>
      <c r="R122">
        <v>404</v>
      </c>
      <c r="S122">
        <v>398</v>
      </c>
      <c r="T122">
        <v>45</v>
      </c>
    </row>
    <row r="123" spans="1:20" x14ac:dyDescent="0.35">
      <c r="A123" s="1">
        <v>45888</v>
      </c>
      <c r="B123" s="2">
        <v>0.8057366782407408</v>
      </c>
      <c r="C123">
        <v>79</v>
      </c>
      <c r="D123">
        <v>74</v>
      </c>
      <c r="E123">
        <v>0</v>
      </c>
      <c r="F123">
        <v>0</v>
      </c>
      <c r="G123">
        <v>0</v>
      </c>
      <c r="H123">
        <v>2368</v>
      </c>
      <c r="I123">
        <v>1784</v>
      </c>
      <c r="J123">
        <v>0</v>
      </c>
      <c r="K123">
        <v>100</v>
      </c>
      <c r="L123">
        <v>177</v>
      </c>
      <c r="M123">
        <v>6</v>
      </c>
      <c r="N123">
        <v>0</v>
      </c>
      <c r="O123">
        <v>1106</v>
      </c>
      <c r="P123">
        <v>38</v>
      </c>
      <c r="Q123">
        <v>2</v>
      </c>
      <c r="R123">
        <v>404</v>
      </c>
      <c r="S123">
        <v>398</v>
      </c>
      <c r="T123">
        <v>144</v>
      </c>
    </row>
    <row r="124" spans="1:20" x14ac:dyDescent="0.35">
      <c r="A124" s="1">
        <v>45888</v>
      </c>
      <c r="B124" s="2">
        <v>0.80575266203703699</v>
      </c>
      <c r="C124">
        <v>79</v>
      </c>
      <c r="D124">
        <v>79</v>
      </c>
      <c r="E124">
        <v>0</v>
      </c>
      <c r="F124">
        <v>0</v>
      </c>
      <c r="G124">
        <v>0</v>
      </c>
      <c r="H124">
        <v>2368</v>
      </c>
      <c r="I124">
        <v>1784</v>
      </c>
      <c r="J124">
        <v>0</v>
      </c>
      <c r="K124">
        <v>100</v>
      </c>
      <c r="L124">
        <v>178</v>
      </c>
      <c r="M124">
        <v>6</v>
      </c>
      <c r="N124">
        <v>1</v>
      </c>
      <c r="O124">
        <v>1105</v>
      </c>
      <c r="P124">
        <v>38</v>
      </c>
      <c r="Q124">
        <v>2</v>
      </c>
      <c r="R124">
        <v>405</v>
      </c>
      <c r="S124">
        <v>398</v>
      </c>
      <c r="T124">
        <v>113</v>
      </c>
    </row>
    <row r="125" spans="1:20" x14ac:dyDescent="0.35">
      <c r="A125" s="1">
        <v>45888</v>
      </c>
      <c r="B125" s="2">
        <v>0.80576843749999993</v>
      </c>
      <c r="C125">
        <v>79</v>
      </c>
      <c r="D125">
        <v>84</v>
      </c>
      <c r="E125">
        <v>0</v>
      </c>
      <c r="F125">
        <v>0</v>
      </c>
      <c r="G125">
        <v>0</v>
      </c>
      <c r="H125">
        <v>2368</v>
      </c>
      <c r="I125">
        <v>1784</v>
      </c>
      <c r="J125">
        <v>0</v>
      </c>
      <c r="K125">
        <v>100</v>
      </c>
      <c r="L125">
        <v>176</v>
      </c>
      <c r="M125">
        <v>6</v>
      </c>
      <c r="N125">
        <v>0</v>
      </c>
      <c r="O125">
        <v>1101</v>
      </c>
      <c r="P125">
        <v>38</v>
      </c>
      <c r="Q125">
        <v>3</v>
      </c>
      <c r="R125">
        <v>404</v>
      </c>
      <c r="S125">
        <v>397</v>
      </c>
      <c r="T125">
        <v>248</v>
      </c>
    </row>
    <row r="126" spans="1:20" x14ac:dyDescent="0.35">
      <c r="A126" s="1">
        <v>45888</v>
      </c>
      <c r="B126" s="2">
        <v>0.80578425925925923</v>
      </c>
      <c r="C126">
        <v>79</v>
      </c>
      <c r="D126">
        <v>89</v>
      </c>
      <c r="E126">
        <v>0</v>
      </c>
      <c r="F126">
        <v>0</v>
      </c>
      <c r="G126">
        <v>0</v>
      </c>
      <c r="H126">
        <v>2368</v>
      </c>
      <c r="I126">
        <v>1784</v>
      </c>
      <c r="J126">
        <v>0</v>
      </c>
      <c r="K126">
        <v>100</v>
      </c>
      <c r="L126">
        <v>178</v>
      </c>
      <c r="M126">
        <v>6</v>
      </c>
      <c r="N126">
        <v>1</v>
      </c>
      <c r="O126">
        <v>1096</v>
      </c>
      <c r="P126">
        <v>38</v>
      </c>
      <c r="Q126">
        <v>1</v>
      </c>
      <c r="R126">
        <v>404</v>
      </c>
      <c r="S126">
        <v>398</v>
      </c>
      <c r="T126">
        <v>236</v>
      </c>
    </row>
    <row r="127" spans="1:20" x14ac:dyDescent="0.35">
      <c r="A127" s="1">
        <v>45888</v>
      </c>
      <c r="B127" s="2">
        <v>0.80580028935185188</v>
      </c>
      <c r="C127">
        <v>79</v>
      </c>
      <c r="D127">
        <v>94</v>
      </c>
      <c r="E127">
        <v>0</v>
      </c>
      <c r="F127">
        <v>0</v>
      </c>
      <c r="G127">
        <v>0</v>
      </c>
      <c r="H127">
        <v>2368</v>
      </c>
      <c r="I127">
        <v>1784</v>
      </c>
      <c r="J127">
        <v>0</v>
      </c>
      <c r="K127">
        <v>100</v>
      </c>
      <c r="L127">
        <v>176</v>
      </c>
      <c r="M127">
        <v>6</v>
      </c>
      <c r="N127">
        <v>0</v>
      </c>
      <c r="O127">
        <v>1098</v>
      </c>
      <c r="P127">
        <v>38</v>
      </c>
      <c r="Q127">
        <v>2</v>
      </c>
      <c r="R127">
        <v>404</v>
      </c>
      <c r="S127">
        <v>398</v>
      </c>
      <c r="T127">
        <v>112</v>
      </c>
    </row>
    <row r="128" spans="1:20" x14ac:dyDescent="0.35">
      <c r="A128" s="1">
        <v>45888</v>
      </c>
      <c r="B128" s="2">
        <v>0.80581607638888897</v>
      </c>
      <c r="C128">
        <v>79</v>
      </c>
      <c r="D128">
        <v>99</v>
      </c>
      <c r="E128">
        <v>0</v>
      </c>
      <c r="F128">
        <v>0</v>
      </c>
      <c r="G128">
        <v>0</v>
      </c>
      <c r="H128">
        <v>2368</v>
      </c>
      <c r="I128">
        <v>1784</v>
      </c>
      <c r="J128">
        <v>0</v>
      </c>
      <c r="K128">
        <v>100</v>
      </c>
      <c r="L128">
        <v>179</v>
      </c>
      <c r="M128">
        <v>6</v>
      </c>
      <c r="N128">
        <v>2</v>
      </c>
      <c r="O128">
        <v>1100</v>
      </c>
      <c r="P128">
        <v>38</v>
      </c>
      <c r="Q128">
        <v>2</v>
      </c>
      <c r="R128">
        <v>404</v>
      </c>
      <c r="S128">
        <v>398</v>
      </c>
      <c r="T128">
        <v>138</v>
      </c>
    </row>
    <row r="129" spans="1:20" x14ac:dyDescent="0.35">
      <c r="A129" s="1">
        <v>45888</v>
      </c>
      <c r="B129" s="2">
        <v>0.80583179398148141</v>
      </c>
      <c r="C129">
        <v>79</v>
      </c>
      <c r="D129">
        <v>104</v>
      </c>
      <c r="E129">
        <v>0</v>
      </c>
      <c r="F129">
        <v>0</v>
      </c>
      <c r="G129">
        <v>0</v>
      </c>
      <c r="H129">
        <v>2368</v>
      </c>
      <c r="I129">
        <v>1784</v>
      </c>
      <c r="J129">
        <v>0</v>
      </c>
      <c r="K129">
        <v>100</v>
      </c>
      <c r="L129">
        <v>176</v>
      </c>
      <c r="M129">
        <v>6</v>
      </c>
      <c r="N129">
        <v>1</v>
      </c>
      <c r="O129">
        <v>1096</v>
      </c>
      <c r="P129">
        <v>38</v>
      </c>
      <c r="Q129">
        <v>2</v>
      </c>
      <c r="R129">
        <v>404</v>
      </c>
      <c r="S129">
        <v>398</v>
      </c>
      <c r="T129">
        <v>37</v>
      </c>
    </row>
    <row r="130" spans="1:20" x14ac:dyDescent="0.35">
      <c r="A130" s="1">
        <v>45888</v>
      </c>
      <c r="B130" s="2">
        <v>0.8058478356481481</v>
      </c>
      <c r="C130">
        <v>79</v>
      </c>
      <c r="D130">
        <v>109</v>
      </c>
      <c r="E130">
        <v>0</v>
      </c>
      <c r="F130">
        <v>0</v>
      </c>
      <c r="G130">
        <v>0</v>
      </c>
      <c r="H130">
        <v>2368</v>
      </c>
      <c r="I130">
        <v>1784</v>
      </c>
      <c r="J130">
        <v>0</v>
      </c>
      <c r="K130">
        <v>100</v>
      </c>
      <c r="L130">
        <v>186</v>
      </c>
      <c r="M130">
        <v>6</v>
      </c>
      <c r="N130">
        <v>2</v>
      </c>
      <c r="O130">
        <v>1099</v>
      </c>
      <c r="P130">
        <v>38</v>
      </c>
      <c r="Q130">
        <v>2</v>
      </c>
      <c r="R130">
        <v>404</v>
      </c>
      <c r="S130">
        <v>398</v>
      </c>
      <c r="T130">
        <v>151</v>
      </c>
    </row>
    <row r="131" spans="1:20" x14ac:dyDescent="0.35">
      <c r="A131" s="1">
        <v>45888</v>
      </c>
      <c r="B131" s="2">
        <v>0.80586386574074076</v>
      </c>
      <c r="C131">
        <v>79</v>
      </c>
      <c r="D131">
        <v>114</v>
      </c>
      <c r="E131">
        <v>0</v>
      </c>
      <c r="F131">
        <v>0</v>
      </c>
      <c r="G131">
        <v>0</v>
      </c>
      <c r="H131">
        <v>2368</v>
      </c>
      <c r="I131">
        <v>1784</v>
      </c>
      <c r="J131">
        <v>0</v>
      </c>
      <c r="K131">
        <v>100</v>
      </c>
      <c r="L131">
        <v>185</v>
      </c>
      <c r="M131">
        <v>7</v>
      </c>
      <c r="N131">
        <v>2</v>
      </c>
      <c r="O131">
        <v>1098</v>
      </c>
      <c r="P131">
        <v>38</v>
      </c>
      <c r="Q131">
        <v>2</v>
      </c>
      <c r="R131">
        <v>404</v>
      </c>
      <c r="S131">
        <v>398</v>
      </c>
      <c r="T131">
        <v>6</v>
      </c>
    </row>
    <row r="132" spans="1:20" x14ac:dyDescent="0.35">
      <c r="A132" s="1">
        <v>45888</v>
      </c>
      <c r="B132" s="2">
        <v>0.8058796412037037</v>
      </c>
      <c r="C132">
        <v>79</v>
      </c>
      <c r="D132">
        <v>119</v>
      </c>
      <c r="E132">
        <v>0</v>
      </c>
      <c r="F132">
        <v>0</v>
      </c>
      <c r="G132">
        <v>0</v>
      </c>
      <c r="H132">
        <v>2368</v>
      </c>
      <c r="I132">
        <v>1784</v>
      </c>
      <c r="J132">
        <v>0</v>
      </c>
      <c r="K132">
        <v>100</v>
      </c>
      <c r="L132">
        <v>184</v>
      </c>
      <c r="M132">
        <v>6</v>
      </c>
      <c r="N132">
        <v>1</v>
      </c>
      <c r="O132">
        <v>1103</v>
      </c>
      <c r="P132">
        <v>38</v>
      </c>
      <c r="Q132">
        <v>2</v>
      </c>
      <c r="R132">
        <v>404</v>
      </c>
      <c r="S132">
        <v>398</v>
      </c>
      <c r="T132">
        <v>90</v>
      </c>
    </row>
    <row r="133" spans="1:20" x14ac:dyDescent="0.35">
      <c r="A133" s="1">
        <v>45888</v>
      </c>
      <c r="B133" s="2">
        <v>0.80589555555555559</v>
      </c>
      <c r="C133">
        <v>79</v>
      </c>
      <c r="D133">
        <v>124</v>
      </c>
      <c r="E133">
        <v>0</v>
      </c>
      <c r="F133">
        <v>0</v>
      </c>
      <c r="G133">
        <v>0</v>
      </c>
      <c r="H133">
        <v>2368</v>
      </c>
      <c r="I133">
        <v>1784</v>
      </c>
      <c r="J133">
        <v>0</v>
      </c>
      <c r="K133">
        <v>100</v>
      </c>
      <c r="L133">
        <v>182</v>
      </c>
      <c r="M133">
        <v>6</v>
      </c>
      <c r="N133">
        <v>0</v>
      </c>
      <c r="O133">
        <v>1105</v>
      </c>
      <c r="P133">
        <v>38</v>
      </c>
      <c r="Q133">
        <v>2</v>
      </c>
      <c r="R133">
        <v>404</v>
      </c>
      <c r="S133">
        <v>398</v>
      </c>
      <c r="T133">
        <v>161</v>
      </c>
    </row>
    <row r="134" spans="1:20" x14ac:dyDescent="0.35">
      <c r="A134" s="1">
        <v>45888</v>
      </c>
      <c r="B134" s="2">
        <v>0.80591153935185178</v>
      </c>
      <c r="C134">
        <v>79</v>
      </c>
      <c r="D134">
        <v>129</v>
      </c>
      <c r="E134">
        <v>0</v>
      </c>
      <c r="F134">
        <v>0</v>
      </c>
      <c r="G134">
        <v>0</v>
      </c>
      <c r="H134">
        <v>2368</v>
      </c>
      <c r="I134">
        <v>1784</v>
      </c>
      <c r="J134">
        <v>0</v>
      </c>
      <c r="K134">
        <v>100</v>
      </c>
      <c r="L134">
        <v>176</v>
      </c>
      <c r="M134">
        <v>6</v>
      </c>
      <c r="N134">
        <v>2</v>
      </c>
      <c r="O134">
        <v>1107</v>
      </c>
      <c r="P134">
        <v>36</v>
      </c>
      <c r="Q134">
        <v>3</v>
      </c>
      <c r="R134">
        <v>404</v>
      </c>
      <c r="S134">
        <v>398</v>
      </c>
      <c r="T134">
        <v>252</v>
      </c>
    </row>
    <row r="135" spans="1:20" x14ac:dyDescent="0.35">
      <c r="A135" s="1">
        <v>45888</v>
      </c>
      <c r="B135" s="2">
        <v>0.80592732638888886</v>
      </c>
      <c r="C135">
        <v>79</v>
      </c>
      <c r="D135">
        <v>134</v>
      </c>
      <c r="E135">
        <v>0</v>
      </c>
      <c r="F135">
        <v>0</v>
      </c>
      <c r="G135">
        <v>0</v>
      </c>
      <c r="H135">
        <v>2368</v>
      </c>
      <c r="I135">
        <v>1784</v>
      </c>
      <c r="J135">
        <v>0</v>
      </c>
      <c r="K135">
        <v>100</v>
      </c>
      <c r="L135">
        <v>181</v>
      </c>
      <c r="M135">
        <v>6</v>
      </c>
      <c r="N135">
        <v>2</v>
      </c>
      <c r="O135">
        <v>1106</v>
      </c>
      <c r="P135">
        <v>38</v>
      </c>
      <c r="Q135">
        <v>2</v>
      </c>
      <c r="R135">
        <v>404</v>
      </c>
      <c r="S135">
        <v>398</v>
      </c>
      <c r="T135">
        <v>139</v>
      </c>
    </row>
    <row r="136" spans="1:20" x14ac:dyDescent="0.35">
      <c r="A136" s="1">
        <v>45888</v>
      </c>
      <c r="B136" s="2">
        <v>0.80594307870370374</v>
      </c>
      <c r="C136">
        <v>79</v>
      </c>
      <c r="D136">
        <v>139</v>
      </c>
      <c r="E136">
        <v>0</v>
      </c>
      <c r="F136">
        <v>0</v>
      </c>
      <c r="G136">
        <v>0</v>
      </c>
      <c r="H136">
        <v>2368</v>
      </c>
      <c r="I136">
        <v>1784</v>
      </c>
      <c r="J136">
        <v>0</v>
      </c>
      <c r="K136">
        <v>100</v>
      </c>
      <c r="L136">
        <v>183</v>
      </c>
      <c r="M136">
        <v>6</v>
      </c>
      <c r="N136">
        <v>2</v>
      </c>
      <c r="O136">
        <v>1110</v>
      </c>
      <c r="P136">
        <v>39</v>
      </c>
      <c r="Q136">
        <v>2</v>
      </c>
      <c r="R136">
        <v>404</v>
      </c>
      <c r="S136">
        <v>398</v>
      </c>
      <c r="T136">
        <v>235</v>
      </c>
    </row>
    <row r="137" spans="1:20" x14ac:dyDescent="0.35">
      <c r="A137" s="1">
        <v>45888</v>
      </c>
      <c r="B137" s="2">
        <v>0.80595908564814822</v>
      </c>
      <c r="C137">
        <v>79</v>
      </c>
      <c r="D137">
        <v>144</v>
      </c>
      <c r="E137">
        <v>0</v>
      </c>
      <c r="F137">
        <v>0</v>
      </c>
      <c r="G137">
        <v>0</v>
      </c>
      <c r="H137">
        <v>2368</v>
      </c>
      <c r="I137">
        <v>1784</v>
      </c>
      <c r="J137">
        <v>0</v>
      </c>
      <c r="K137">
        <v>100</v>
      </c>
      <c r="L137">
        <v>180</v>
      </c>
      <c r="M137">
        <v>6</v>
      </c>
      <c r="N137">
        <v>0</v>
      </c>
      <c r="O137">
        <v>1113</v>
      </c>
      <c r="P137">
        <v>38</v>
      </c>
      <c r="Q137">
        <v>3</v>
      </c>
      <c r="R137">
        <v>404</v>
      </c>
      <c r="S137">
        <v>398</v>
      </c>
      <c r="T137">
        <v>69</v>
      </c>
    </row>
    <row r="138" spans="1:20" x14ac:dyDescent="0.35">
      <c r="A138" s="1">
        <v>45888</v>
      </c>
      <c r="B138" s="2">
        <v>0.80597504629629635</v>
      </c>
      <c r="C138">
        <v>79</v>
      </c>
      <c r="D138">
        <v>149</v>
      </c>
      <c r="E138">
        <v>0</v>
      </c>
      <c r="F138">
        <v>0</v>
      </c>
      <c r="G138">
        <v>0</v>
      </c>
      <c r="H138">
        <v>2368</v>
      </c>
      <c r="I138">
        <v>1784</v>
      </c>
      <c r="J138">
        <v>0</v>
      </c>
      <c r="K138">
        <v>100</v>
      </c>
      <c r="L138">
        <v>178</v>
      </c>
      <c r="M138">
        <v>6</v>
      </c>
      <c r="N138">
        <v>1</v>
      </c>
      <c r="O138">
        <v>1115</v>
      </c>
      <c r="P138">
        <v>38</v>
      </c>
      <c r="Q138">
        <v>2</v>
      </c>
      <c r="R138">
        <v>404</v>
      </c>
      <c r="S138">
        <v>397</v>
      </c>
      <c r="T138">
        <v>178</v>
      </c>
    </row>
    <row r="139" spans="1:20" x14ac:dyDescent="0.35">
      <c r="A139" s="1">
        <v>45888</v>
      </c>
      <c r="B139" s="2">
        <v>0.8059908564814815</v>
      </c>
      <c r="C139">
        <v>79</v>
      </c>
      <c r="D139">
        <v>154</v>
      </c>
      <c r="E139">
        <v>0</v>
      </c>
      <c r="F139">
        <v>0</v>
      </c>
      <c r="G139">
        <v>0</v>
      </c>
      <c r="H139">
        <v>2368</v>
      </c>
      <c r="I139">
        <v>1784</v>
      </c>
      <c r="J139">
        <v>0</v>
      </c>
      <c r="K139">
        <v>100</v>
      </c>
      <c r="L139">
        <v>179</v>
      </c>
      <c r="M139">
        <v>4</v>
      </c>
      <c r="N139">
        <v>1</v>
      </c>
      <c r="O139">
        <v>1117</v>
      </c>
      <c r="P139">
        <v>39</v>
      </c>
      <c r="Q139">
        <v>2</v>
      </c>
      <c r="R139">
        <v>404</v>
      </c>
      <c r="S139">
        <v>398</v>
      </c>
      <c r="T139">
        <v>162</v>
      </c>
    </row>
    <row r="140" spans="1:20" x14ac:dyDescent="0.35">
      <c r="A140" s="1">
        <v>45888</v>
      </c>
      <c r="B140" s="2">
        <v>0.80600687500000012</v>
      </c>
      <c r="C140">
        <v>79</v>
      </c>
      <c r="D140">
        <v>159</v>
      </c>
      <c r="E140">
        <v>0</v>
      </c>
      <c r="F140">
        <v>0</v>
      </c>
      <c r="G140">
        <v>0</v>
      </c>
      <c r="H140">
        <v>2368</v>
      </c>
      <c r="I140">
        <v>1784</v>
      </c>
      <c r="J140">
        <v>0</v>
      </c>
      <c r="K140">
        <v>100</v>
      </c>
      <c r="L140">
        <v>177</v>
      </c>
      <c r="M140">
        <v>6</v>
      </c>
      <c r="N140">
        <v>2</v>
      </c>
      <c r="O140">
        <v>1119</v>
      </c>
      <c r="P140">
        <v>38</v>
      </c>
      <c r="Q140">
        <v>2</v>
      </c>
      <c r="R140">
        <v>404</v>
      </c>
      <c r="S140">
        <v>398</v>
      </c>
      <c r="T140">
        <v>42</v>
      </c>
    </row>
    <row r="141" spans="1:20" x14ac:dyDescent="0.35">
      <c r="A141" s="1">
        <v>45888</v>
      </c>
      <c r="B141" s="2">
        <v>0.80602285879629632</v>
      </c>
      <c r="C141">
        <v>79</v>
      </c>
      <c r="D141">
        <v>164</v>
      </c>
      <c r="E141">
        <v>0</v>
      </c>
      <c r="F141">
        <v>0</v>
      </c>
      <c r="G141">
        <v>0</v>
      </c>
      <c r="H141">
        <v>2368</v>
      </c>
      <c r="I141">
        <v>1784</v>
      </c>
      <c r="J141">
        <v>0</v>
      </c>
      <c r="K141">
        <v>100</v>
      </c>
      <c r="L141">
        <v>176</v>
      </c>
      <c r="M141">
        <v>6</v>
      </c>
      <c r="N141">
        <v>0</v>
      </c>
      <c r="O141">
        <v>1123</v>
      </c>
      <c r="P141">
        <v>38</v>
      </c>
      <c r="Q141">
        <v>2</v>
      </c>
      <c r="R141">
        <v>404</v>
      </c>
      <c r="S141">
        <v>396</v>
      </c>
      <c r="T141">
        <v>140</v>
      </c>
    </row>
    <row r="142" spans="1:20" x14ac:dyDescent="0.35">
      <c r="A142" s="1">
        <v>45888</v>
      </c>
      <c r="B142" s="2">
        <v>0.80603863425925926</v>
      </c>
      <c r="C142">
        <v>79</v>
      </c>
      <c r="D142">
        <v>169</v>
      </c>
      <c r="E142">
        <v>0</v>
      </c>
      <c r="F142">
        <v>0</v>
      </c>
      <c r="G142">
        <v>0</v>
      </c>
      <c r="H142">
        <v>2368</v>
      </c>
      <c r="I142">
        <v>1784</v>
      </c>
      <c r="J142">
        <v>0</v>
      </c>
      <c r="K142">
        <v>100</v>
      </c>
      <c r="L142">
        <v>178</v>
      </c>
      <c r="M142">
        <v>6</v>
      </c>
      <c r="N142">
        <v>0</v>
      </c>
      <c r="O142">
        <v>1125</v>
      </c>
      <c r="P142">
        <v>38</v>
      </c>
      <c r="Q142">
        <v>2</v>
      </c>
      <c r="R142">
        <v>404</v>
      </c>
      <c r="S142">
        <v>398</v>
      </c>
      <c r="T142">
        <v>207</v>
      </c>
    </row>
    <row r="143" spans="1:20" x14ac:dyDescent="0.35">
      <c r="A143" s="1">
        <v>45888</v>
      </c>
      <c r="B143" s="2">
        <v>0.80605444444444452</v>
      </c>
      <c r="C143">
        <v>79</v>
      </c>
      <c r="D143">
        <v>174</v>
      </c>
      <c r="E143">
        <v>0</v>
      </c>
      <c r="F143">
        <v>0</v>
      </c>
      <c r="G143">
        <v>0</v>
      </c>
      <c r="H143">
        <v>2368</v>
      </c>
      <c r="I143">
        <v>1784</v>
      </c>
      <c r="J143">
        <v>0</v>
      </c>
      <c r="K143">
        <v>100</v>
      </c>
      <c r="L143">
        <v>188</v>
      </c>
      <c r="M143">
        <v>6</v>
      </c>
      <c r="N143">
        <v>1</v>
      </c>
      <c r="O143">
        <v>1130</v>
      </c>
      <c r="P143">
        <v>38</v>
      </c>
      <c r="Q143">
        <v>2</v>
      </c>
      <c r="R143">
        <v>405</v>
      </c>
      <c r="S143">
        <v>398</v>
      </c>
      <c r="T143">
        <v>172</v>
      </c>
    </row>
    <row r="144" spans="1:20" x14ac:dyDescent="0.35">
      <c r="A144" s="1">
        <v>45888</v>
      </c>
      <c r="B144" s="2">
        <v>0.80607046296296292</v>
      </c>
      <c r="C144">
        <v>79</v>
      </c>
      <c r="D144">
        <v>179</v>
      </c>
      <c r="E144">
        <v>0</v>
      </c>
      <c r="F144">
        <v>0</v>
      </c>
      <c r="G144">
        <v>0</v>
      </c>
      <c r="H144">
        <v>2368</v>
      </c>
      <c r="I144">
        <v>1784</v>
      </c>
      <c r="J144">
        <v>0</v>
      </c>
      <c r="K144">
        <v>100</v>
      </c>
      <c r="L144">
        <v>179</v>
      </c>
      <c r="M144">
        <v>6</v>
      </c>
      <c r="N144">
        <v>1</v>
      </c>
      <c r="O144">
        <v>1134</v>
      </c>
      <c r="P144">
        <v>39</v>
      </c>
      <c r="Q144">
        <v>2</v>
      </c>
      <c r="R144">
        <v>405</v>
      </c>
      <c r="S144">
        <v>398</v>
      </c>
      <c r="T144">
        <v>249</v>
      </c>
    </row>
    <row r="145" spans="1:20" x14ac:dyDescent="0.35">
      <c r="A145" s="1">
        <v>45888</v>
      </c>
      <c r="B145" s="2">
        <v>0.80608644675925933</v>
      </c>
      <c r="C145">
        <v>79</v>
      </c>
      <c r="D145">
        <v>184</v>
      </c>
      <c r="E145">
        <v>0</v>
      </c>
      <c r="F145">
        <v>0</v>
      </c>
      <c r="G145">
        <v>0</v>
      </c>
      <c r="H145">
        <v>2368</v>
      </c>
      <c r="I145">
        <v>1784</v>
      </c>
      <c r="J145">
        <v>0</v>
      </c>
      <c r="K145">
        <v>100</v>
      </c>
      <c r="L145">
        <v>183</v>
      </c>
      <c r="M145">
        <v>6</v>
      </c>
      <c r="N145">
        <v>1</v>
      </c>
      <c r="O145">
        <v>1139</v>
      </c>
      <c r="P145">
        <v>39</v>
      </c>
      <c r="Q145">
        <v>3</v>
      </c>
      <c r="R145">
        <v>404</v>
      </c>
      <c r="S145">
        <v>397</v>
      </c>
      <c r="T145">
        <v>72</v>
      </c>
    </row>
    <row r="146" spans="1:20" x14ac:dyDescent="0.35">
      <c r="A146" s="1">
        <v>45888</v>
      </c>
      <c r="B146" s="2">
        <v>0.80610243055555553</v>
      </c>
      <c r="C146">
        <v>79</v>
      </c>
      <c r="D146">
        <v>189</v>
      </c>
      <c r="E146">
        <v>0</v>
      </c>
      <c r="F146">
        <v>0</v>
      </c>
      <c r="G146">
        <v>0</v>
      </c>
      <c r="H146">
        <v>2368</v>
      </c>
      <c r="I146">
        <v>1784</v>
      </c>
      <c r="J146">
        <v>0</v>
      </c>
      <c r="K146">
        <v>100</v>
      </c>
      <c r="L146">
        <v>170</v>
      </c>
      <c r="M146">
        <v>6</v>
      </c>
      <c r="N146">
        <v>1</v>
      </c>
      <c r="O146">
        <v>1138</v>
      </c>
      <c r="P146">
        <v>39</v>
      </c>
      <c r="Q146">
        <v>2</v>
      </c>
      <c r="R146">
        <v>405</v>
      </c>
      <c r="S146">
        <v>398</v>
      </c>
      <c r="T146">
        <v>74</v>
      </c>
    </row>
    <row r="147" spans="1:20" x14ac:dyDescent="0.35">
      <c r="A147" s="1">
        <v>45888</v>
      </c>
      <c r="B147" s="2">
        <v>0.80611837962962962</v>
      </c>
      <c r="C147">
        <v>79</v>
      </c>
      <c r="D147">
        <v>194</v>
      </c>
      <c r="E147">
        <v>0</v>
      </c>
      <c r="F147">
        <v>0</v>
      </c>
      <c r="G147">
        <v>0</v>
      </c>
      <c r="H147">
        <v>2368</v>
      </c>
      <c r="I147">
        <v>1784</v>
      </c>
      <c r="J147">
        <v>0</v>
      </c>
      <c r="K147">
        <v>100</v>
      </c>
      <c r="L147">
        <v>180</v>
      </c>
      <c r="M147">
        <v>6</v>
      </c>
      <c r="N147">
        <v>0</v>
      </c>
      <c r="O147">
        <v>1146</v>
      </c>
      <c r="P147">
        <v>39</v>
      </c>
      <c r="Q147">
        <v>2</v>
      </c>
      <c r="R147">
        <v>404</v>
      </c>
      <c r="S147">
        <v>398</v>
      </c>
      <c r="T147">
        <v>70</v>
      </c>
    </row>
    <row r="148" spans="1:20" x14ac:dyDescent="0.35">
      <c r="A148" s="1">
        <v>45888</v>
      </c>
      <c r="B148" s="2">
        <v>0.80613417824074074</v>
      </c>
      <c r="C148">
        <v>79</v>
      </c>
      <c r="D148">
        <v>199</v>
      </c>
      <c r="E148">
        <v>0</v>
      </c>
      <c r="F148">
        <v>0</v>
      </c>
      <c r="G148">
        <v>0</v>
      </c>
      <c r="H148">
        <v>2368</v>
      </c>
      <c r="I148">
        <v>1784</v>
      </c>
      <c r="J148">
        <v>0</v>
      </c>
      <c r="K148">
        <v>100</v>
      </c>
      <c r="L148">
        <v>184</v>
      </c>
      <c r="M148">
        <v>6</v>
      </c>
      <c r="N148">
        <v>0</v>
      </c>
      <c r="O148">
        <v>1145</v>
      </c>
      <c r="P148">
        <v>40</v>
      </c>
      <c r="Q148">
        <v>2</v>
      </c>
      <c r="R148">
        <v>404</v>
      </c>
      <c r="S148">
        <v>398</v>
      </c>
      <c r="T148">
        <v>155</v>
      </c>
    </row>
    <row r="149" spans="1:20" x14ac:dyDescent="0.35">
      <c r="A149" s="1">
        <v>45888</v>
      </c>
      <c r="B149" s="2">
        <v>0.80614995370370368</v>
      </c>
      <c r="C149">
        <v>79</v>
      </c>
      <c r="D149">
        <v>204</v>
      </c>
      <c r="E149">
        <v>0</v>
      </c>
      <c r="F149">
        <v>0</v>
      </c>
      <c r="G149">
        <v>0</v>
      </c>
      <c r="H149">
        <v>2368</v>
      </c>
      <c r="I149">
        <v>1784</v>
      </c>
      <c r="J149">
        <v>0</v>
      </c>
      <c r="K149">
        <v>100</v>
      </c>
      <c r="L149">
        <v>178</v>
      </c>
      <c r="M149">
        <v>6</v>
      </c>
      <c r="N149">
        <v>1</v>
      </c>
      <c r="O149">
        <v>1144</v>
      </c>
      <c r="P149">
        <v>39</v>
      </c>
      <c r="Q149">
        <v>2</v>
      </c>
      <c r="R149">
        <v>404</v>
      </c>
      <c r="S149">
        <v>398</v>
      </c>
      <c r="T149">
        <v>111</v>
      </c>
    </row>
    <row r="150" spans="1:20" x14ac:dyDescent="0.35">
      <c r="A150" s="1">
        <v>45888</v>
      </c>
      <c r="B150" s="2">
        <v>0.80616574074074077</v>
      </c>
      <c r="C150">
        <v>79</v>
      </c>
      <c r="D150">
        <v>209</v>
      </c>
      <c r="E150">
        <v>0</v>
      </c>
      <c r="F150">
        <v>0</v>
      </c>
      <c r="G150">
        <v>0</v>
      </c>
      <c r="H150">
        <v>2368</v>
      </c>
      <c r="I150">
        <v>1784</v>
      </c>
      <c r="J150">
        <v>0</v>
      </c>
      <c r="K150">
        <v>100</v>
      </c>
      <c r="L150">
        <v>182</v>
      </c>
      <c r="M150">
        <v>6</v>
      </c>
      <c r="N150">
        <v>1</v>
      </c>
      <c r="O150">
        <v>1150</v>
      </c>
      <c r="P150">
        <v>38</v>
      </c>
      <c r="Q150">
        <v>2</v>
      </c>
      <c r="R150">
        <v>404</v>
      </c>
      <c r="S150">
        <v>398</v>
      </c>
      <c r="T150">
        <v>163</v>
      </c>
    </row>
    <row r="151" spans="1:20" x14ac:dyDescent="0.35">
      <c r="A151" s="1">
        <v>45888</v>
      </c>
      <c r="B151" s="2">
        <v>0.80618171296296304</v>
      </c>
      <c r="C151">
        <v>79</v>
      </c>
      <c r="D151">
        <v>214</v>
      </c>
      <c r="E151">
        <v>0</v>
      </c>
      <c r="F151">
        <v>0</v>
      </c>
      <c r="G151">
        <v>0</v>
      </c>
      <c r="H151">
        <v>2368</v>
      </c>
      <c r="I151">
        <v>1784</v>
      </c>
      <c r="J151">
        <v>0</v>
      </c>
      <c r="K151">
        <v>100</v>
      </c>
      <c r="L151">
        <v>190</v>
      </c>
      <c r="M151">
        <v>6</v>
      </c>
      <c r="N151">
        <v>2</v>
      </c>
      <c r="O151">
        <v>1149</v>
      </c>
      <c r="P151">
        <v>40</v>
      </c>
      <c r="Q151">
        <v>2</v>
      </c>
      <c r="R151">
        <v>405</v>
      </c>
      <c r="S151">
        <v>398</v>
      </c>
      <c r="T151">
        <v>77</v>
      </c>
    </row>
    <row r="152" spans="1:20" x14ac:dyDescent="0.35">
      <c r="A152" s="1">
        <v>45888</v>
      </c>
      <c r="B152" s="2">
        <v>0.80619745370370377</v>
      </c>
      <c r="C152">
        <v>79</v>
      </c>
      <c r="D152">
        <v>219</v>
      </c>
      <c r="E152">
        <v>0</v>
      </c>
      <c r="F152">
        <v>0</v>
      </c>
      <c r="G152">
        <v>0</v>
      </c>
      <c r="H152">
        <v>2368</v>
      </c>
      <c r="I152">
        <v>1784</v>
      </c>
      <c r="J152">
        <v>0</v>
      </c>
      <c r="K152">
        <v>100</v>
      </c>
      <c r="L152">
        <v>184</v>
      </c>
      <c r="M152">
        <v>6</v>
      </c>
      <c r="N152">
        <v>1</v>
      </c>
      <c r="O152">
        <v>1145</v>
      </c>
      <c r="P152">
        <v>39</v>
      </c>
      <c r="Q152">
        <v>3</v>
      </c>
      <c r="R152">
        <v>404</v>
      </c>
      <c r="S152">
        <v>398</v>
      </c>
      <c r="T152">
        <v>249</v>
      </c>
    </row>
    <row r="153" spans="1:20" x14ac:dyDescent="0.35">
      <c r="A153" s="1">
        <v>45888</v>
      </c>
      <c r="B153" s="2">
        <v>0.80621343749999996</v>
      </c>
      <c r="C153">
        <v>79</v>
      </c>
      <c r="D153">
        <v>224</v>
      </c>
      <c r="E153">
        <v>0</v>
      </c>
      <c r="F153">
        <v>0</v>
      </c>
      <c r="G153">
        <v>0</v>
      </c>
      <c r="H153">
        <v>2368</v>
      </c>
      <c r="I153">
        <v>1784</v>
      </c>
      <c r="J153">
        <v>0</v>
      </c>
      <c r="K153">
        <v>100</v>
      </c>
      <c r="L153">
        <v>182</v>
      </c>
      <c r="M153">
        <v>6</v>
      </c>
      <c r="N153">
        <v>2</v>
      </c>
      <c r="O153">
        <v>1143</v>
      </c>
      <c r="P153">
        <v>39</v>
      </c>
      <c r="Q153">
        <v>2</v>
      </c>
      <c r="R153">
        <v>404</v>
      </c>
      <c r="S153">
        <v>398</v>
      </c>
      <c r="T153">
        <v>231</v>
      </c>
    </row>
    <row r="154" spans="1:20" x14ac:dyDescent="0.35">
      <c r="A154" s="1">
        <v>45888</v>
      </c>
      <c r="B154" s="2">
        <v>0.80622928240740743</v>
      </c>
      <c r="C154">
        <v>79</v>
      </c>
      <c r="D154">
        <v>229</v>
      </c>
      <c r="E154">
        <v>0</v>
      </c>
      <c r="F154">
        <v>0</v>
      </c>
      <c r="G154">
        <v>0</v>
      </c>
      <c r="H154">
        <v>2368</v>
      </c>
      <c r="I154">
        <v>1784</v>
      </c>
      <c r="J154">
        <v>0</v>
      </c>
      <c r="K154">
        <v>100</v>
      </c>
      <c r="L154">
        <v>172</v>
      </c>
      <c r="M154">
        <v>6</v>
      </c>
      <c r="N154">
        <v>1</v>
      </c>
      <c r="O154">
        <v>1140</v>
      </c>
      <c r="P154">
        <v>39</v>
      </c>
      <c r="Q154">
        <v>2</v>
      </c>
      <c r="R154">
        <v>404</v>
      </c>
      <c r="S154">
        <v>398</v>
      </c>
      <c r="T154">
        <v>52</v>
      </c>
    </row>
    <row r="155" spans="1:20" x14ac:dyDescent="0.35">
      <c r="A155" s="1">
        <v>45888</v>
      </c>
      <c r="B155" s="2">
        <v>0.80624518518518518</v>
      </c>
      <c r="C155">
        <v>79</v>
      </c>
      <c r="D155">
        <v>234</v>
      </c>
      <c r="E155">
        <v>0</v>
      </c>
      <c r="F155">
        <v>0</v>
      </c>
      <c r="G155">
        <v>0</v>
      </c>
      <c r="H155">
        <v>2368</v>
      </c>
      <c r="I155">
        <v>1784</v>
      </c>
      <c r="J155">
        <v>0</v>
      </c>
      <c r="K155">
        <v>100</v>
      </c>
      <c r="L155">
        <v>183</v>
      </c>
      <c r="M155">
        <v>6</v>
      </c>
      <c r="N155">
        <v>1</v>
      </c>
      <c r="O155">
        <v>1140</v>
      </c>
      <c r="P155">
        <v>39</v>
      </c>
      <c r="Q155">
        <v>2</v>
      </c>
      <c r="R155">
        <v>404</v>
      </c>
      <c r="S155">
        <v>397</v>
      </c>
      <c r="T155">
        <v>122</v>
      </c>
    </row>
    <row r="156" spans="1:20" x14ac:dyDescent="0.35">
      <c r="A156" s="1">
        <v>45888</v>
      </c>
      <c r="B156" s="2">
        <v>0.80626098379629618</v>
      </c>
      <c r="C156">
        <v>79</v>
      </c>
      <c r="D156">
        <v>239</v>
      </c>
      <c r="E156">
        <v>0</v>
      </c>
      <c r="F156">
        <v>0</v>
      </c>
      <c r="G156">
        <v>0</v>
      </c>
      <c r="H156">
        <v>2368</v>
      </c>
      <c r="I156">
        <v>1784</v>
      </c>
      <c r="J156">
        <v>0</v>
      </c>
      <c r="K156">
        <v>100</v>
      </c>
      <c r="L156">
        <v>187</v>
      </c>
      <c r="M156">
        <v>6</v>
      </c>
      <c r="N156">
        <v>1</v>
      </c>
      <c r="O156">
        <v>1134</v>
      </c>
      <c r="P156">
        <v>38</v>
      </c>
      <c r="Q156">
        <v>3</v>
      </c>
      <c r="R156">
        <v>404</v>
      </c>
      <c r="S156">
        <v>398</v>
      </c>
      <c r="T156">
        <v>215</v>
      </c>
    </row>
    <row r="157" spans="1:20" x14ac:dyDescent="0.35">
      <c r="A157" s="1">
        <v>45888</v>
      </c>
      <c r="B157" s="2">
        <v>0.80627701388888895</v>
      </c>
      <c r="C157">
        <v>79</v>
      </c>
      <c r="D157">
        <v>244</v>
      </c>
      <c r="E157">
        <v>0</v>
      </c>
      <c r="F157">
        <v>0</v>
      </c>
      <c r="G157">
        <v>0</v>
      </c>
      <c r="H157">
        <v>2368</v>
      </c>
      <c r="I157">
        <v>1784</v>
      </c>
      <c r="J157">
        <v>0</v>
      </c>
      <c r="K157">
        <v>100</v>
      </c>
      <c r="L157">
        <v>187</v>
      </c>
      <c r="M157">
        <v>6</v>
      </c>
      <c r="N157">
        <v>2</v>
      </c>
      <c r="O157">
        <v>1136</v>
      </c>
      <c r="P157">
        <v>39</v>
      </c>
      <c r="Q157">
        <v>3</v>
      </c>
      <c r="R157">
        <v>404</v>
      </c>
      <c r="S157">
        <v>398</v>
      </c>
      <c r="T157">
        <v>32</v>
      </c>
    </row>
    <row r="158" spans="1:20" x14ac:dyDescent="0.35">
      <c r="A158" s="1">
        <v>45888</v>
      </c>
      <c r="B158" s="2">
        <v>0.80629298611111122</v>
      </c>
      <c r="C158">
        <v>79</v>
      </c>
      <c r="D158">
        <v>249</v>
      </c>
      <c r="E158">
        <v>0</v>
      </c>
      <c r="F158">
        <v>0</v>
      </c>
      <c r="G158">
        <v>0</v>
      </c>
      <c r="H158">
        <v>2368</v>
      </c>
      <c r="I158">
        <v>1784</v>
      </c>
      <c r="J158">
        <v>0</v>
      </c>
      <c r="K158">
        <v>100</v>
      </c>
      <c r="L158">
        <v>176</v>
      </c>
      <c r="M158">
        <v>6</v>
      </c>
      <c r="N158">
        <v>2</v>
      </c>
      <c r="O158">
        <v>1124</v>
      </c>
      <c r="P158">
        <v>39</v>
      </c>
      <c r="Q158">
        <v>2</v>
      </c>
      <c r="R158">
        <v>404</v>
      </c>
      <c r="S158">
        <v>397</v>
      </c>
      <c r="T158">
        <v>119</v>
      </c>
    </row>
    <row r="159" spans="1:20" x14ac:dyDescent="0.35">
      <c r="A159" s="1">
        <v>45888</v>
      </c>
      <c r="B159" s="2">
        <v>0.80630894675925924</v>
      </c>
      <c r="C159">
        <v>79</v>
      </c>
      <c r="D159">
        <v>254</v>
      </c>
      <c r="E159">
        <v>0</v>
      </c>
      <c r="F159">
        <v>0</v>
      </c>
      <c r="G159">
        <v>0</v>
      </c>
      <c r="H159">
        <v>2368</v>
      </c>
      <c r="I159">
        <v>1784</v>
      </c>
      <c r="J159">
        <v>0</v>
      </c>
      <c r="K159">
        <v>100</v>
      </c>
      <c r="L159">
        <v>179</v>
      </c>
      <c r="M159">
        <v>6</v>
      </c>
      <c r="N159">
        <v>2</v>
      </c>
      <c r="O159">
        <v>1116</v>
      </c>
      <c r="P159">
        <v>38</v>
      </c>
      <c r="Q159">
        <v>2</v>
      </c>
      <c r="R159">
        <v>404</v>
      </c>
      <c r="S159">
        <v>398</v>
      </c>
      <c r="T159">
        <v>138</v>
      </c>
    </row>
    <row r="160" spans="1:20" x14ac:dyDescent="0.35">
      <c r="A160" s="1">
        <v>45888</v>
      </c>
      <c r="B160" s="2">
        <v>0.80632495370370361</v>
      </c>
      <c r="C160">
        <v>79</v>
      </c>
      <c r="D160">
        <v>3</v>
      </c>
      <c r="E160">
        <v>0</v>
      </c>
      <c r="F160">
        <v>0</v>
      </c>
      <c r="G160">
        <v>0</v>
      </c>
      <c r="H160">
        <v>2368</v>
      </c>
      <c r="I160">
        <v>1784</v>
      </c>
      <c r="J160">
        <v>0</v>
      </c>
      <c r="K160">
        <v>100</v>
      </c>
      <c r="L160">
        <v>182</v>
      </c>
      <c r="M160">
        <v>6</v>
      </c>
      <c r="N160">
        <v>1</v>
      </c>
      <c r="O160">
        <v>1107</v>
      </c>
      <c r="P160">
        <v>38</v>
      </c>
      <c r="Q160">
        <v>2</v>
      </c>
      <c r="R160">
        <v>404</v>
      </c>
      <c r="S160">
        <v>398</v>
      </c>
      <c r="T160">
        <v>144</v>
      </c>
    </row>
    <row r="161" spans="1:20" x14ac:dyDescent="0.35">
      <c r="A161" s="1">
        <v>45888</v>
      </c>
      <c r="B161" s="2">
        <v>0.80634072916666677</v>
      </c>
      <c r="C161">
        <v>79</v>
      </c>
      <c r="D161">
        <v>8</v>
      </c>
      <c r="E161">
        <v>0</v>
      </c>
      <c r="F161">
        <v>0</v>
      </c>
      <c r="G161">
        <v>0</v>
      </c>
      <c r="H161">
        <v>2368</v>
      </c>
      <c r="I161">
        <v>1784</v>
      </c>
      <c r="J161">
        <v>0</v>
      </c>
      <c r="K161">
        <v>100</v>
      </c>
      <c r="L161">
        <v>186</v>
      </c>
      <c r="M161">
        <v>6</v>
      </c>
      <c r="N161">
        <v>1</v>
      </c>
      <c r="O161">
        <v>1095</v>
      </c>
      <c r="P161">
        <v>38</v>
      </c>
      <c r="Q161">
        <v>1</v>
      </c>
      <c r="R161">
        <v>404</v>
      </c>
      <c r="S161">
        <v>398</v>
      </c>
      <c r="T161">
        <v>140</v>
      </c>
    </row>
    <row r="162" spans="1:20" x14ac:dyDescent="0.35">
      <c r="A162" s="1">
        <v>45888</v>
      </c>
      <c r="B162" s="2">
        <v>0.80635668981481479</v>
      </c>
      <c r="C162">
        <v>79</v>
      </c>
      <c r="D162">
        <v>13</v>
      </c>
      <c r="E162">
        <v>0</v>
      </c>
      <c r="F162">
        <v>0</v>
      </c>
      <c r="G162">
        <v>0</v>
      </c>
      <c r="H162">
        <v>2368</v>
      </c>
      <c r="I162">
        <v>1784</v>
      </c>
      <c r="J162">
        <v>0</v>
      </c>
      <c r="K162">
        <v>100</v>
      </c>
      <c r="L162">
        <v>187</v>
      </c>
      <c r="M162">
        <v>6</v>
      </c>
      <c r="N162">
        <v>1</v>
      </c>
      <c r="O162">
        <v>1088</v>
      </c>
      <c r="P162">
        <v>37</v>
      </c>
      <c r="Q162">
        <v>2</v>
      </c>
      <c r="R162">
        <v>404</v>
      </c>
      <c r="S162">
        <v>398</v>
      </c>
      <c r="T162">
        <v>87</v>
      </c>
    </row>
    <row r="163" spans="1:20" x14ac:dyDescent="0.35">
      <c r="A163" s="1">
        <v>45888</v>
      </c>
      <c r="B163" s="2">
        <v>0.80637266203703706</v>
      </c>
      <c r="C163">
        <v>79</v>
      </c>
      <c r="D163">
        <v>18</v>
      </c>
      <c r="E163">
        <v>0</v>
      </c>
      <c r="F163">
        <v>0</v>
      </c>
      <c r="G163">
        <v>0</v>
      </c>
      <c r="H163">
        <v>2368</v>
      </c>
      <c r="I163">
        <v>1784</v>
      </c>
      <c r="J163">
        <v>0</v>
      </c>
      <c r="K163">
        <v>100</v>
      </c>
      <c r="L163">
        <v>187</v>
      </c>
      <c r="M163">
        <v>6</v>
      </c>
      <c r="N163">
        <v>1</v>
      </c>
      <c r="O163">
        <v>1074</v>
      </c>
      <c r="P163">
        <v>37</v>
      </c>
      <c r="Q163">
        <v>2</v>
      </c>
      <c r="R163">
        <v>404</v>
      </c>
      <c r="S163">
        <v>397</v>
      </c>
      <c r="T163">
        <v>154</v>
      </c>
    </row>
    <row r="164" spans="1:20" x14ac:dyDescent="0.35">
      <c r="A164" s="1">
        <v>45888</v>
      </c>
      <c r="B164" s="2">
        <v>0.80638844907407403</v>
      </c>
      <c r="C164">
        <v>79</v>
      </c>
      <c r="D164">
        <v>23</v>
      </c>
      <c r="E164">
        <v>0</v>
      </c>
      <c r="F164">
        <v>0</v>
      </c>
      <c r="G164">
        <v>0</v>
      </c>
      <c r="H164">
        <v>2368</v>
      </c>
      <c r="I164">
        <v>1784</v>
      </c>
      <c r="J164">
        <v>0</v>
      </c>
      <c r="K164">
        <v>100</v>
      </c>
      <c r="L164">
        <v>184</v>
      </c>
      <c r="M164">
        <v>6</v>
      </c>
      <c r="N164">
        <v>1</v>
      </c>
      <c r="O164">
        <v>1068</v>
      </c>
      <c r="P164">
        <v>36</v>
      </c>
      <c r="Q164">
        <v>2</v>
      </c>
      <c r="R164">
        <v>404</v>
      </c>
      <c r="S164">
        <v>398</v>
      </c>
      <c r="T164">
        <v>7</v>
      </c>
    </row>
    <row r="165" spans="1:20" x14ac:dyDescent="0.35">
      <c r="A165" s="1">
        <v>45888</v>
      </c>
      <c r="B165" s="2">
        <v>0.80640417824074073</v>
      </c>
      <c r="C165">
        <v>79</v>
      </c>
      <c r="D165">
        <v>28</v>
      </c>
      <c r="E165">
        <v>0</v>
      </c>
      <c r="F165">
        <v>0</v>
      </c>
      <c r="G165">
        <v>0</v>
      </c>
      <c r="H165">
        <v>2368</v>
      </c>
      <c r="I165">
        <v>1784</v>
      </c>
      <c r="J165">
        <v>0</v>
      </c>
      <c r="K165">
        <v>100</v>
      </c>
      <c r="L165">
        <v>182</v>
      </c>
      <c r="M165">
        <v>6</v>
      </c>
      <c r="N165">
        <v>0</v>
      </c>
      <c r="O165">
        <v>1060</v>
      </c>
      <c r="P165">
        <v>36</v>
      </c>
      <c r="Q165">
        <v>3</v>
      </c>
      <c r="R165">
        <v>404</v>
      </c>
      <c r="S165">
        <v>398</v>
      </c>
      <c r="T165">
        <v>10</v>
      </c>
    </row>
    <row r="166" spans="1:20" x14ac:dyDescent="0.35">
      <c r="A166" s="1">
        <v>45888</v>
      </c>
      <c r="B166" s="2">
        <v>0.80641995370370367</v>
      </c>
      <c r="C166">
        <v>79</v>
      </c>
      <c r="D166">
        <v>33</v>
      </c>
      <c r="E166">
        <v>0</v>
      </c>
      <c r="F166">
        <v>0</v>
      </c>
      <c r="G166">
        <v>0</v>
      </c>
      <c r="H166">
        <v>2368</v>
      </c>
      <c r="I166">
        <v>1784</v>
      </c>
      <c r="J166">
        <v>0</v>
      </c>
      <c r="K166">
        <v>100</v>
      </c>
      <c r="L166">
        <v>179</v>
      </c>
      <c r="M166">
        <v>6</v>
      </c>
      <c r="N166">
        <v>1</v>
      </c>
      <c r="O166">
        <v>1051</v>
      </c>
      <c r="P166">
        <v>36</v>
      </c>
      <c r="Q166">
        <v>2</v>
      </c>
      <c r="R166">
        <v>404</v>
      </c>
      <c r="S166">
        <v>398</v>
      </c>
      <c r="T166">
        <v>52</v>
      </c>
    </row>
    <row r="167" spans="1:20" x14ac:dyDescent="0.35">
      <c r="A167" s="1">
        <v>45888</v>
      </c>
      <c r="B167" s="2">
        <v>0.80643572916666673</v>
      </c>
      <c r="C167">
        <v>79</v>
      </c>
      <c r="D167">
        <v>38</v>
      </c>
      <c r="E167">
        <v>0</v>
      </c>
      <c r="F167">
        <v>0</v>
      </c>
      <c r="G167">
        <v>0</v>
      </c>
      <c r="H167">
        <v>2368</v>
      </c>
      <c r="I167">
        <v>1784</v>
      </c>
      <c r="J167">
        <v>0</v>
      </c>
      <c r="K167">
        <v>100</v>
      </c>
      <c r="L167">
        <v>180</v>
      </c>
      <c r="M167">
        <v>6</v>
      </c>
      <c r="N167">
        <v>1</v>
      </c>
      <c r="O167">
        <v>1041</v>
      </c>
      <c r="P167">
        <v>35</v>
      </c>
      <c r="Q167">
        <v>2</v>
      </c>
      <c r="R167">
        <v>404</v>
      </c>
      <c r="S167">
        <v>398</v>
      </c>
      <c r="T167">
        <v>172</v>
      </c>
    </row>
    <row r="168" spans="1:20" x14ac:dyDescent="0.35">
      <c r="A168" s="1">
        <v>45888</v>
      </c>
      <c r="B168" s="2">
        <v>0.80645178240740734</v>
      </c>
      <c r="C168">
        <v>79</v>
      </c>
      <c r="D168">
        <v>43</v>
      </c>
      <c r="E168">
        <v>0</v>
      </c>
      <c r="F168">
        <v>0</v>
      </c>
      <c r="G168">
        <v>0</v>
      </c>
      <c r="H168">
        <v>2368</v>
      </c>
      <c r="I168">
        <v>1784</v>
      </c>
      <c r="J168">
        <v>0</v>
      </c>
      <c r="K168">
        <v>100</v>
      </c>
      <c r="L168">
        <v>186</v>
      </c>
      <c r="M168">
        <v>6</v>
      </c>
      <c r="N168">
        <v>1</v>
      </c>
      <c r="O168">
        <v>1027</v>
      </c>
      <c r="P168">
        <v>35</v>
      </c>
      <c r="Q168">
        <v>2</v>
      </c>
      <c r="R168">
        <v>404</v>
      </c>
      <c r="S168">
        <v>398</v>
      </c>
      <c r="T168">
        <v>238</v>
      </c>
    </row>
    <row r="169" spans="1:20" x14ac:dyDescent="0.35">
      <c r="A169" s="1">
        <v>45888</v>
      </c>
      <c r="B169" s="2">
        <v>0.80646755787037039</v>
      </c>
      <c r="C169">
        <v>79</v>
      </c>
      <c r="D169">
        <v>48</v>
      </c>
      <c r="E169">
        <v>0</v>
      </c>
      <c r="F169">
        <v>0</v>
      </c>
      <c r="G169">
        <v>0</v>
      </c>
      <c r="H169">
        <v>2368</v>
      </c>
      <c r="I169">
        <v>1784</v>
      </c>
      <c r="J169">
        <v>0</v>
      </c>
      <c r="K169">
        <v>100</v>
      </c>
      <c r="L169">
        <v>182</v>
      </c>
      <c r="M169">
        <v>6</v>
      </c>
      <c r="N169">
        <v>1</v>
      </c>
      <c r="O169">
        <v>1020</v>
      </c>
      <c r="P169">
        <v>35</v>
      </c>
      <c r="Q169">
        <v>3</v>
      </c>
      <c r="R169">
        <v>404</v>
      </c>
      <c r="S169">
        <v>399</v>
      </c>
      <c r="T169">
        <v>174</v>
      </c>
    </row>
    <row r="170" spans="1:20" x14ac:dyDescent="0.35">
      <c r="A170" s="1">
        <v>45888</v>
      </c>
      <c r="B170" s="2">
        <v>0.80648354166666669</v>
      </c>
      <c r="C170">
        <v>79</v>
      </c>
      <c r="D170">
        <v>53</v>
      </c>
      <c r="E170">
        <v>0</v>
      </c>
      <c r="F170">
        <v>0</v>
      </c>
      <c r="G170">
        <v>0</v>
      </c>
      <c r="H170">
        <v>2368</v>
      </c>
      <c r="I170">
        <v>1784</v>
      </c>
      <c r="J170">
        <v>0</v>
      </c>
      <c r="K170">
        <v>100</v>
      </c>
      <c r="L170">
        <v>178</v>
      </c>
      <c r="M170">
        <v>6</v>
      </c>
      <c r="N170">
        <v>0</v>
      </c>
      <c r="O170">
        <v>1012</v>
      </c>
      <c r="P170">
        <v>33</v>
      </c>
      <c r="Q170">
        <v>2</v>
      </c>
      <c r="R170">
        <v>404</v>
      </c>
      <c r="S170">
        <v>398</v>
      </c>
      <c r="T170">
        <v>176</v>
      </c>
    </row>
    <row r="171" spans="1:20" x14ac:dyDescent="0.35">
      <c r="A171" s="1">
        <v>45888</v>
      </c>
      <c r="B171" s="2">
        <v>0.80649934027777781</v>
      </c>
      <c r="C171">
        <v>79</v>
      </c>
      <c r="D171">
        <v>58</v>
      </c>
      <c r="E171">
        <v>0</v>
      </c>
      <c r="F171">
        <v>0</v>
      </c>
      <c r="G171">
        <v>0</v>
      </c>
      <c r="H171">
        <v>2368</v>
      </c>
      <c r="I171">
        <v>1784</v>
      </c>
      <c r="J171">
        <v>0</v>
      </c>
      <c r="K171">
        <v>100</v>
      </c>
      <c r="L171">
        <v>187</v>
      </c>
      <c r="M171">
        <v>6</v>
      </c>
      <c r="N171">
        <v>1</v>
      </c>
      <c r="O171">
        <v>1004</v>
      </c>
      <c r="P171">
        <v>33</v>
      </c>
      <c r="Q171">
        <v>2</v>
      </c>
      <c r="R171">
        <v>404</v>
      </c>
      <c r="S171">
        <v>398</v>
      </c>
      <c r="T171">
        <v>160</v>
      </c>
    </row>
    <row r="172" spans="1:20" x14ac:dyDescent="0.35">
      <c r="A172" s="1">
        <v>45888</v>
      </c>
      <c r="B172" s="2">
        <v>0.80651513888888882</v>
      </c>
      <c r="C172">
        <v>79</v>
      </c>
      <c r="D172">
        <v>63</v>
      </c>
      <c r="E172">
        <v>0</v>
      </c>
      <c r="F172">
        <v>0</v>
      </c>
      <c r="G172">
        <v>0</v>
      </c>
      <c r="H172">
        <v>2368</v>
      </c>
      <c r="I172">
        <v>1784</v>
      </c>
      <c r="J172">
        <v>0</v>
      </c>
      <c r="K172">
        <v>100</v>
      </c>
      <c r="L172">
        <v>184</v>
      </c>
      <c r="M172">
        <v>6</v>
      </c>
      <c r="N172">
        <v>1</v>
      </c>
      <c r="O172">
        <v>994</v>
      </c>
      <c r="P172">
        <v>34</v>
      </c>
      <c r="Q172">
        <v>2</v>
      </c>
      <c r="R172">
        <v>405</v>
      </c>
      <c r="S172">
        <v>398</v>
      </c>
      <c r="T172">
        <v>99</v>
      </c>
    </row>
    <row r="173" spans="1:20" x14ac:dyDescent="0.35">
      <c r="A173" s="1">
        <v>45888</v>
      </c>
      <c r="B173" s="2">
        <v>0.8065311805555555</v>
      </c>
      <c r="C173">
        <v>79</v>
      </c>
      <c r="D173">
        <v>68</v>
      </c>
      <c r="E173">
        <v>0</v>
      </c>
      <c r="F173">
        <v>0</v>
      </c>
      <c r="G173">
        <v>0</v>
      </c>
      <c r="H173">
        <v>2368</v>
      </c>
      <c r="I173">
        <v>1784</v>
      </c>
      <c r="J173">
        <v>0</v>
      </c>
      <c r="K173">
        <v>100</v>
      </c>
      <c r="L173">
        <v>183</v>
      </c>
      <c r="M173">
        <v>6</v>
      </c>
      <c r="N173">
        <v>1</v>
      </c>
      <c r="O173">
        <v>987</v>
      </c>
      <c r="P173">
        <v>34</v>
      </c>
      <c r="Q173">
        <v>2</v>
      </c>
      <c r="R173">
        <v>405</v>
      </c>
      <c r="S173">
        <v>397</v>
      </c>
      <c r="T173">
        <v>207</v>
      </c>
    </row>
    <row r="174" spans="1:20" x14ac:dyDescent="0.35">
      <c r="A174" s="1">
        <v>45888</v>
      </c>
      <c r="B174" s="2">
        <v>0.80654702546296297</v>
      </c>
      <c r="C174">
        <v>79</v>
      </c>
      <c r="D174">
        <v>73</v>
      </c>
      <c r="E174">
        <v>0</v>
      </c>
      <c r="F174">
        <v>0</v>
      </c>
      <c r="G174">
        <v>0</v>
      </c>
      <c r="H174">
        <v>2368</v>
      </c>
      <c r="I174">
        <v>1784</v>
      </c>
      <c r="J174">
        <v>0</v>
      </c>
      <c r="K174">
        <v>100</v>
      </c>
      <c r="L174">
        <v>179</v>
      </c>
      <c r="M174">
        <v>6</v>
      </c>
      <c r="N174">
        <v>1</v>
      </c>
      <c r="O174">
        <v>982</v>
      </c>
      <c r="P174">
        <v>33</v>
      </c>
      <c r="Q174">
        <v>2</v>
      </c>
      <c r="R174">
        <v>404</v>
      </c>
      <c r="S174">
        <v>398</v>
      </c>
      <c r="T174">
        <v>123</v>
      </c>
    </row>
    <row r="175" spans="1:20" x14ac:dyDescent="0.35">
      <c r="A175" s="1">
        <v>45888</v>
      </c>
      <c r="B175" s="2">
        <v>0.80656274305555553</v>
      </c>
      <c r="C175">
        <v>79</v>
      </c>
      <c r="D175">
        <v>78</v>
      </c>
      <c r="E175">
        <v>0</v>
      </c>
      <c r="F175">
        <v>0</v>
      </c>
      <c r="G175">
        <v>0</v>
      </c>
      <c r="H175">
        <v>2368</v>
      </c>
      <c r="I175">
        <v>1784</v>
      </c>
      <c r="J175">
        <v>0</v>
      </c>
      <c r="K175">
        <v>100</v>
      </c>
      <c r="L175">
        <v>178</v>
      </c>
      <c r="M175">
        <v>7</v>
      </c>
      <c r="N175">
        <v>1</v>
      </c>
      <c r="O175">
        <v>974</v>
      </c>
      <c r="P175">
        <v>32</v>
      </c>
      <c r="Q175">
        <v>2</v>
      </c>
      <c r="R175">
        <v>404</v>
      </c>
      <c r="S175">
        <v>398</v>
      </c>
      <c r="T175">
        <v>123</v>
      </c>
    </row>
    <row r="176" spans="1:20" x14ac:dyDescent="0.35">
      <c r="A176" s="1">
        <v>45888</v>
      </c>
      <c r="B176" s="2">
        <v>0.8065785300925925</v>
      </c>
      <c r="C176">
        <v>79</v>
      </c>
      <c r="D176">
        <v>83</v>
      </c>
      <c r="E176">
        <v>0</v>
      </c>
      <c r="F176">
        <v>0</v>
      </c>
      <c r="G176">
        <v>0</v>
      </c>
      <c r="H176">
        <v>2368</v>
      </c>
      <c r="I176">
        <v>1784</v>
      </c>
      <c r="J176">
        <v>0</v>
      </c>
      <c r="K176">
        <v>100</v>
      </c>
      <c r="L176">
        <v>186</v>
      </c>
      <c r="M176">
        <v>6</v>
      </c>
      <c r="N176">
        <v>2</v>
      </c>
      <c r="O176">
        <v>970</v>
      </c>
      <c r="P176">
        <v>32</v>
      </c>
      <c r="Q176">
        <v>2</v>
      </c>
      <c r="R176">
        <v>404</v>
      </c>
      <c r="S176">
        <v>398</v>
      </c>
      <c r="T176">
        <v>70</v>
      </c>
    </row>
    <row r="177" spans="1:20" x14ac:dyDescent="0.35">
      <c r="A177" s="1">
        <v>45888</v>
      </c>
      <c r="B177" s="2">
        <v>0.80659432870370373</v>
      </c>
      <c r="C177">
        <v>79</v>
      </c>
      <c r="D177">
        <v>88</v>
      </c>
      <c r="E177">
        <v>0</v>
      </c>
      <c r="F177">
        <v>0</v>
      </c>
      <c r="G177">
        <v>0</v>
      </c>
      <c r="H177">
        <v>2368</v>
      </c>
      <c r="I177">
        <v>1784</v>
      </c>
      <c r="J177">
        <v>0</v>
      </c>
      <c r="K177">
        <v>100</v>
      </c>
      <c r="L177">
        <v>184</v>
      </c>
      <c r="M177">
        <v>6</v>
      </c>
      <c r="N177">
        <v>2</v>
      </c>
      <c r="O177">
        <v>965</v>
      </c>
      <c r="P177">
        <v>32</v>
      </c>
      <c r="Q177">
        <v>2</v>
      </c>
      <c r="R177">
        <v>404</v>
      </c>
      <c r="S177">
        <v>398</v>
      </c>
      <c r="T177">
        <v>55</v>
      </c>
    </row>
    <row r="178" spans="1:20" x14ac:dyDescent="0.35">
      <c r="A178" s="1">
        <v>45888</v>
      </c>
      <c r="B178" s="2">
        <v>0.80661027777777772</v>
      </c>
      <c r="C178">
        <v>79</v>
      </c>
      <c r="D178">
        <v>93</v>
      </c>
      <c r="E178">
        <v>0</v>
      </c>
      <c r="F178">
        <v>0</v>
      </c>
      <c r="G178">
        <v>0</v>
      </c>
      <c r="H178">
        <v>2368</v>
      </c>
      <c r="I178">
        <v>1784</v>
      </c>
      <c r="J178">
        <v>0</v>
      </c>
      <c r="K178">
        <v>100</v>
      </c>
      <c r="L178">
        <v>186</v>
      </c>
      <c r="M178">
        <v>6</v>
      </c>
      <c r="N178">
        <v>0</v>
      </c>
      <c r="O178">
        <v>962</v>
      </c>
      <c r="P178">
        <v>31</v>
      </c>
      <c r="Q178">
        <v>2</v>
      </c>
      <c r="R178">
        <v>404</v>
      </c>
      <c r="S178">
        <v>398</v>
      </c>
      <c r="T178">
        <v>65</v>
      </c>
    </row>
    <row r="179" spans="1:20" x14ac:dyDescent="0.35">
      <c r="A179" s="1">
        <v>45888</v>
      </c>
      <c r="B179" s="2">
        <v>0.80662601851851845</v>
      </c>
      <c r="C179">
        <v>79</v>
      </c>
      <c r="D179">
        <v>98</v>
      </c>
      <c r="E179">
        <v>0</v>
      </c>
      <c r="F179">
        <v>0</v>
      </c>
      <c r="G179">
        <v>0</v>
      </c>
      <c r="H179">
        <v>2368</v>
      </c>
      <c r="I179">
        <v>1784</v>
      </c>
      <c r="J179">
        <v>0</v>
      </c>
      <c r="K179">
        <v>100</v>
      </c>
      <c r="L179">
        <v>190</v>
      </c>
      <c r="M179">
        <v>6</v>
      </c>
      <c r="N179">
        <v>2</v>
      </c>
      <c r="O179">
        <v>958</v>
      </c>
      <c r="P179">
        <v>31</v>
      </c>
      <c r="Q179">
        <v>3</v>
      </c>
      <c r="R179">
        <v>405</v>
      </c>
      <c r="S179">
        <v>398</v>
      </c>
      <c r="T179">
        <v>109</v>
      </c>
    </row>
    <row r="180" spans="1:20" x14ac:dyDescent="0.35">
      <c r="A180" s="1">
        <v>45888</v>
      </c>
      <c r="B180" s="2">
        <v>0.80664181712962968</v>
      </c>
      <c r="C180">
        <v>79</v>
      </c>
      <c r="D180">
        <v>103</v>
      </c>
      <c r="E180">
        <v>0</v>
      </c>
      <c r="F180">
        <v>0</v>
      </c>
      <c r="G180">
        <v>0</v>
      </c>
      <c r="H180">
        <v>2368</v>
      </c>
      <c r="I180">
        <v>1784</v>
      </c>
      <c r="J180">
        <v>0</v>
      </c>
      <c r="K180">
        <v>100</v>
      </c>
      <c r="L180">
        <v>172</v>
      </c>
      <c r="M180">
        <v>6</v>
      </c>
      <c r="N180">
        <v>1</v>
      </c>
      <c r="O180">
        <v>955</v>
      </c>
      <c r="P180">
        <v>31</v>
      </c>
      <c r="Q180">
        <v>2</v>
      </c>
      <c r="R180">
        <v>404</v>
      </c>
      <c r="S180">
        <v>396</v>
      </c>
      <c r="T180">
        <v>27</v>
      </c>
    </row>
    <row r="181" spans="1:20" x14ac:dyDescent="0.35">
      <c r="A181" s="1">
        <v>45888</v>
      </c>
      <c r="B181" s="2">
        <v>0.80665759259259262</v>
      </c>
      <c r="C181">
        <v>79</v>
      </c>
      <c r="D181">
        <v>108</v>
      </c>
      <c r="E181">
        <v>0</v>
      </c>
      <c r="F181">
        <v>0</v>
      </c>
      <c r="G181">
        <v>0</v>
      </c>
      <c r="H181">
        <v>2368</v>
      </c>
      <c r="I181">
        <v>1784</v>
      </c>
      <c r="J181">
        <v>0</v>
      </c>
      <c r="K181">
        <v>100</v>
      </c>
      <c r="L181">
        <v>178</v>
      </c>
      <c r="M181">
        <v>6</v>
      </c>
      <c r="N181">
        <v>1</v>
      </c>
      <c r="O181">
        <v>950</v>
      </c>
      <c r="P181">
        <v>31</v>
      </c>
      <c r="Q181">
        <v>1</v>
      </c>
      <c r="R181">
        <v>404</v>
      </c>
      <c r="S181">
        <v>398</v>
      </c>
      <c r="T181">
        <v>56</v>
      </c>
    </row>
    <row r="182" spans="1:20" x14ac:dyDescent="0.35">
      <c r="A182" s="1">
        <v>45888</v>
      </c>
      <c r="B182" s="2">
        <v>0.80667355324074075</v>
      </c>
      <c r="C182">
        <v>79</v>
      </c>
      <c r="D182">
        <v>113</v>
      </c>
      <c r="E182">
        <v>0</v>
      </c>
      <c r="F182">
        <v>0</v>
      </c>
      <c r="G182">
        <v>0</v>
      </c>
      <c r="H182">
        <v>2368</v>
      </c>
      <c r="I182">
        <v>1784</v>
      </c>
      <c r="J182">
        <v>0</v>
      </c>
      <c r="K182">
        <v>100</v>
      </c>
      <c r="L182">
        <v>186</v>
      </c>
      <c r="M182">
        <v>6</v>
      </c>
      <c r="N182">
        <v>0</v>
      </c>
      <c r="O182">
        <v>944</v>
      </c>
      <c r="P182">
        <v>31</v>
      </c>
      <c r="Q182">
        <v>2</v>
      </c>
      <c r="R182">
        <v>405</v>
      </c>
      <c r="S182">
        <v>397</v>
      </c>
      <c r="T182">
        <v>153</v>
      </c>
    </row>
    <row r="183" spans="1:20" x14ac:dyDescent="0.35">
      <c r="A183" s="1">
        <v>45888</v>
      </c>
      <c r="B183" s="2">
        <v>0.80668935185185198</v>
      </c>
      <c r="C183">
        <v>79</v>
      </c>
      <c r="D183">
        <v>118</v>
      </c>
      <c r="E183">
        <v>0</v>
      </c>
      <c r="F183">
        <v>0</v>
      </c>
      <c r="G183">
        <v>0</v>
      </c>
      <c r="H183">
        <v>2368</v>
      </c>
      <c r="I183">
        <v>1784</v>
      </c>
      <c r="J183">
        <v>0</v>
      </c>
      <c r="K183">
        <v>100</v>
      </c>
      <c r="L183">
        <v>187</v>
      </c>
      <c r="M183">
        <v>6</v>
      </c>
      <c r="N183">
        <v>1</v>
      </c>
      <c r="O183">
        <v>941</v>
      </c>
      <c r="P183">
        <v>31</v>
      </c>
      <c r="Q183">
        <v>2</v>
      </c>
      <c r="R183">
        <v>404</v>
      </c>
      <c r="S183">
        <v>398</v>
      </c>
      <c r="T183">
        <v>53</v>
      </c>
    </row>
    <row r="184" spans="1:20" x14ac:dyDescent="0.35">
      <c r="A184" s="1">
        <v>45888</v>
      </c>
      <c r="B184" s="2">
        <v>0.80670516203703702</v>
      </c>
      <c r="C184">
        <v>79</v>
      </c>
      <c r="D184">
        <v>123</v>
      </c>
      <c r="E184">
        <v>0</v>
      </c>
      <c r="F184">
        <v>0</v>
      </c>
      <c r="G184">
        <v>0</v>
      </c>
      <c r="H184">
        <v>2368</v>
      </c>
      <c r="I184">
        <v>1784</v>
      </c>
      <c r="J184">
        <v>0</v>
      </c>
      <c r="K184">
        <v>100</v>
      </c>
      <c r="L184">
        <v>178</v>
      </c>
      <c r="M184">
        <v>6</v>
      </c>
      <c r="N184">
        <v>1</v>
      </c>
      <c r="O184">
        <v>935</v>
      </c>
      <c r="P184">
        <v>31</v>
      </c>
      <c r="Q184">
        <v>2</v>
      </c>
      <c r="R184">
        <v>404</v>
      </c>
      <c r="S184">
        <v>398</v>
      </c>
      <c r="T184">
        <v>49</v>
      </c>
    </row>
    <row r="185" spans="1:20" x14ac:dyDescent="0.35">
      <c r="A185" s="1">
        <v>45888</v>
      </c>
      <c r="B185" s="2">
        <v>0.80672118055555564</v>
      </c>
      <c r="C185">
        <v>79</v>
      </c>
      <c r="D185">
        <v>128</v>
      </c>
      <c r="E185">
        <v>0</v>
      </c>
      <c r="F185">
        <v>0</v>
      </c>
      <c r="G185">
        <v>0</v>
      </c>
      <c r="H185">
        <v>2368</v>
      </c>
      <c r="I185">
        <v>1784</v>
      </c>
      <c r="J185">
        <v>0</v>
      </c>
      <c r="K185">
        <v>100</v>
      </c>
      <c r="L185">
        <v>184</v>
      </c>
      <c r="M185">
        <v>6</v>
      </c>
      <c r="N185">
        <v>1</v>
      </c>
      <c r="O185">
        <v>929</v>
      </c>
      <c r="P185">
        <v>31</v>
      </c>
      <c r="Q185">
        <v>1</v>
      </c>
      <c r="R185">
        <v>404</v>
      </c>
      <c r="S185">
        <v>398</v>
      </c>
      <c r="T185">
        <v>33</v>
      </c>
    </row>
    <row r="186" spans="1:20" x14ac:dyDescent="0.35">
      <c r="A186" s="1">
        <v>45888</v>
      </c>
      <c r="B186" s="2">
        <v>0.80673708333333338</v>
      </c>
      <c r="C186">
        <v>79</v>
      </c>
      <c r="D186">
        <v>133</v>
      </c>
      <c r="E186">
        <v>0</v>
      </c>
      <c r="F186">
        <v>0</v>
      </c>
      <c r="G186">
        <v>0</v>
      </c>
      <c r="H186">
        <v>2368</v>
      </c>
      <c r="I186">
        <v>1784</v>
      </c>
      <c r="J186">
        <v>0</v>
      </c>
      <c r="K186">
        <v>100</v>
      </c>
      <c r="L186">
        <v>182</v>
      </c>
      <c r="M186">
        <v>6</v>
      </c>
      <c r="N186">
        <v>2</v>
      </c>
      <c r="O186">
        <v>928</v>
      </c>
      <c r="P186">
        <v>31</v>
      </c>
      <c r="Q186">
        <v>3</v>
      </c>
      <c r="R186">
        <v>404</v>
      </c>
      <c r="S186">
        <v>398</v>
      </c>
      <c r="T186">
        <v>127</v>
      </c>
    </row>
    <row r="187" spans="1:20" x14ac:dyDescent="0.35">
      <c r="A187" s="1">
        <v>45888</v>
      </c>
      <c r="B187" s="2">
        <v>0.80675280092592583</v>
      </c>
      <c r="C187">
        <v>79</v>
      </c>
      <c r="D187">
        <v>138</v>
      </c>
      <c r="E187">
        <v>0</v>
      </c>
      <c r="F187">
        <v>0</v>
      </c>
      <c r="G187">
        <v>0</v>
      </c>
      <c r="H187">
        <v>2368</v>
      </c>
      <c r="I187">
        <v>1784</v>
      </c>
      <c r="J187">
        <v>0</v>
      </c>
      <c r="K187">
        <v>100</v>
      </c>
      <c r="L187">
        <v>178</v>
      </c>
      <c r="M187">
        <v>6</v>
      </c>
      <c r="N187">
        <v>1</v>
      </c>
      <c r="O187">
        <v>929</v>
      </c>
      <c r="P187">
        <v>31</v>
      </c>
      <c r="Q187">
        <v>2</v>
      </c>
      <c r="R187">
        <v>405</v>
      </c>
      <c r="S187">
        <v>398</v>
      </c>
      <c r="T187">
        <v>185</v>
      </c>
    </row>
    <row r="188" spans="1:20" x14ac:dyDescent="0.35">
      <c r="A188" s="1">
        <v>45888</v>
      </c>
      <c r="B188" s="2">
        <v>0.80676857638888877</v>
      </c>
      <c r="C188">
        <v>79</v>
      </c>
      <c r="D188">
        <v>143</v>
      </c>
      <c r="E188">
        <v>0</v>
      </c>
      <c r="F188">
        <v>0</v>
      </c>
      <c r="G188">
        <v>0</v>
      </c>
      <c r="H188">
        <v>2368</v>
      </c>
      <c r="I188">
        <v>1784</v>
      </c>
      <c r="J188">
        <v>0</v>
      </c>
      <c r="K188">
        <v>100</v>
      </c>
      <c r="L188">
        <v>178</v>
      </c>
      <c r="M188">
        <v>6</v>
      </c>
      <c r="N188">
        <v>0</v>
      </c>
      <c r="O188">
        <v>924</v>
      </c>
      <c r="P188">
        <v>31</v>
      </c>
      <c r="Q188">
        <v>2</v>
      </c>
      <c r="R188">
        <v>404</v>
      </c>
      <c r="S188">
        <v>398</v>
      </c>
      <c r="T188">
        <v>216</v>
      </c>
    </row>
    <row r="189" spans="1:20" x14ac:dyDescent="0.35">
      <c r="A189" s="1">
        <v>45888</v>
      </c>
      <c r="B189" s="2">
        <v>0.80678456018518518</v>
      </c>
      <c r="C189">
        <v>79</v>
      </c>
      <c r="D189">
        <v>148</v>
      </c>
      <c r="E189">
        <v>0</v>
      </c>
      <c r="F189">
        <v>0</v>
      </c>
      <c r="G189">
        <v>0</v>
      </c>
      <c r="H189">
        <v>2368</v>
      </c>
      <c r="I189">
        <v>1784</v>
      </c>
      <c r="J189">
        <v>0</v>
      </c>
      <c r="K189">
        <v>100</v>
      </c>
      <c r="L189">
        <v>187</v>
      </c>
      <c r="M189">
        <v>6</v>
      </c>
      <c r="N189">
        <v>2</v>
      </c>
      <c r="O189">
        <v>920</v>
      </c>
      <c r="P189">
        <v>31</v>
      </c>
      <c r="Q189">
        <v>2</v>
      </c>
      <c r="R189">
        <v>404</v>
      </c>
      <c r="S189">
        <v>398</v>
      </c>
      <c r="T189">
        <v>95</v>
      </c>
    </row>
    <row r="190" spans="1:20" x14ac:dyDescent="0.35">
      <c r="A190" s="1">
        <v>45888</v>
      </c>
      <c r="B190" s="2">
        <v>0.80680054398148138</v>
      </c>
      <c r="C190">
        <v>79</v>
      </c>
      <c r="D190">
        <v>153</v>
      </c>
      <c r="E190">
        <v>0</v>
      </c>
      <c r="F190">
        <v>0</v>
      </c>
      <c r="G190">
        <v>0</v>
      </c>
      <c r="H190">
        <v>2368</v>
      </c>
      <c r="I190">
        <v>1784</v>
      </c>
      <c r="J190">
        <v>0</v>
      </c>
      <c r="K190">
        <v>100</v>
      </c>
      <c r="L190">
        <v>178</v>
      </c>
      <c r="M190">
        <v>6</v>
      </c>
      <c r="N190">
        <v>0</v>
      </c>
      <c r="O190">
        <v>916</v>
      </c>
      <c r="P190">
        <v>30</v>
      </c>
      <c r="Q190">
        <v>2</v>
      </c>
      <c r="R190">
        <v>404</v>
      </c>
      <c r="S190">
        <v>398</v>
      </c>
      <c r="T190">
        <v>171</v>
      </c>
    </row>
    <row r="191" spans="1:20" x14ac:dyDescent="0.35">
      <c r="A191" s="1">
        <v>45888</v>
      </c>
      <c r="B191" s="2">
        <v>0.80681634259259261</v>
      </c>
      <c r="C191">
        <v>79</v>
      </c>
      <c r="D191">
        <v>158</v>
      </c>
      <c r="E191">
        <v>0</v>
      </c>
      <c r="F191">
        <v>0</v>
      </c>
      <c r="G191">
        <v>0</v>
      </c>
      <c r="H191">
        <v>2368</v>
      </c>
      <c r="I191">
        <v>1784</v>
      </c>
      <c r="J191">
        <v>0</v>
      </c>
      <c r="K191">
        <v>100</v>
      </c>
      <c r="L191">
        <v>184</v>
      </c>
      <c r="M191">
        <v>6</v>
      </c>
      <c r="N191">
        <v>1</v>
      </c>
      <c r="O191">
        <v>907</v>
      </c>
      <c r="P191">
        <v>29</v>
      </c>
      <c r="Q191">
        <v>2</v>
      </c>
      <c r="R191">
        <v>404</v>
      </c>
      <c r="S191">
        <v>397</v>
      </c>
      <c r="T191">
        <v>147</v>
      </c>
    </row>
    <row r="192" spans="1:20" x14ac:dyDescent="0.35">
      <c r="A192" s="1">
        <v>45888</v>
      </c>
      <c r="B192" s="2">
        <v>0.80683212962962969</v>
      </c>
      <c r="C192">
        <v>79</v>
      </c>
      <c r="D192">
        <v>163</v>
      </c>
      <c r="E192">
        <v>0</v>
      </c>
      <c r="F192">
        <v>0</v>
      </c>
      <c r="G192">
        <v>0</v>
      </c>
      <c r="H192">
        <v>2368</v>
      </c>
      <c r="I192">
        <v>1784</v>
      </c>
      <c r="J192">
        <v>0</v>
      </c>
      <c r="K192">
        <v>100</v>
      </c>
      <c r="L192">
        <v>174</v>
      </c>
      <c r="M192">
        <v>6</v>
      </c>
      <c r="N192">
        <v>0</v>
      </c>
      <c r="O192">
        <v>906</v>
      </c>
      <c r="P192">
        <v>31</v>
      </c>
      <c r="Q192">
        <v>2</v>
      </c>
      <c r="R192">
        <v>404</v>
      </c>
      <c r="S192">
        <v>398</v>
      </c>
      <c r="T192">
        <v>158</v>
      </c>
    </row>
    <row r="193" spans="1:20" x14ac:dyDescent="0.35">
      <c r="A193" s="1">
        <v>45888</v>
      </c>
      <c r="B193" s="2">
        <v>0.80684789351851849</v>
      </c>
      <c r="C193">
        <v>79</v>
      </c>
      <c r="D193">
        <v>168</v>
      </c>
      <c r="E193">
        <v>0</v>
      </c>
      <c r="F193">
        <v>0</v>
      </c>
      <c r="G193">
        <v>0</v>
      </c>
      <c r="H193">
        <v>2368</v>
      </c>
      <c r="I193">
        <v>1784</v>
      </c>
      <c r="J193">
        <v>0</v>
      </c>
      <c r="K193">
        <v>100</v>
      </c>
      <c r="L193">
        <v>184</v>
      </c>
      <c r="M193">
        <v>6</v>
      </c>
      <c r="N193">
        <v>1</v>
      </c>
      <c r="O193">
        <v>900</v>
      </c>
      <c r="P193">
        <v>30</v>
      </c>
      <c r="Q193">
        <v>2</v>
      </c>
      <c r="R193">
        <v>404</v>
      </c>
      <c r="S193">
        <v>398</v>
      </c>
      <c r="T193">
        <v>237</v>
      </c>
    </row>
    <row r="194" spans="1:20" x14ac:dyDescent="0.35">
      <c r="A194" s="1">
        <v>45888</v>
      </c>
      <c r="B194" s="2">
        <v>0.80686369212962961</v>
      </c>
      <c r="C194">
        <v>79</v>
      </c>
      <c r="D194">
        <v>173</v>
      </c>
      <c r="E194">
        <v>0</v>
      </c>
      <c r="F194">
        <v>0</v>
      </c>
      <c r="G194">
        <v>0</v>
      </c>
      <c r="H194">
        <v>2368</v>
      </c>
      <c r="I194">
        <v>1784</v>
      </c>
      <c r="J194">
        <v>0</v>
      </c>
      <c r="K194">
        <v>100</v>
      </c>
      <c r="L194">
        <v>180</v>
      </c>
      <c r="M194">
        <v>6</v>
      </c>
      <c r="N194">
        <v>0</v>
      </c>
      <c r="O194">
        <v>895</v>
      </c>
      <c r="P194">
        <v>30</v>
      </c>
      <c r="Q194">
        <v>2</v>
      </c>
      <c r="R194">
        <v>404</v>
      </c>
      <c r="S194">
        <v>398</v>
      </c>
      <c r="T194">
        <v>177</v>
      </c>
    </row>
    <row r="195" spans="1:20" x14ac:dyDescent="0.35">
      <c r="A195" s="1">
        <v>45888</v>
      </c>
      <c r="B195" s="2">
        <v>0.80687965277777784</v>
      </c>
      <c r="C195">
        <v>79</v>
      </c>
      <c r="D195">
        <v>178</v>
      </c>
      <c r="E195">
        <v>0</v>
      </c>
      <c r="F195">
        <v>0</v>
      </c>
      <c r="G195">
        <v>0</v>
      </c>
      <c r="H195">
        <v>2368</v>
      </c>
      <c r="I195">
        <v>1784</v>
      </c>
      <c r="J195">
        <v>0</v>
      </c>
      <c r="K195">
        <v>100</v>
      </c>
      <c r="L195">
        <v>183</v>
      </c>
      <c r="M195">
        <v>6</v>
      </c>
      <c r="N195">
        <v>0</v>
      </c>
      <c r="O195">
        <v>890</v>
      </c>
      <c r="P195">
        <v>29</v>
      </c>
      <c r="Q195">
        <v>2</v>
      </c>
      <c r="R195">
        <v>404</v>
      </c>
      <c r="S195">
        <v>397</v>
      </c>
      <c r="T195">
        <v>56</v>
      </c>
    </row>
    <row r="196" spans="1:20" x14ac:dyDescent="0.35">
      <c r="A196" s="1">
        <v>45888</v>
      </c>
      <c r="B196" s="2">
        <v>0.80689563657407404</v>
      </c>
      <c r="C196">
        <v>79</v>
      </c>
      <c r="D196">
        <v>183</v>
      </c>
      <c r="E196">
        <v>0</v>
      </c>
      <c r="F196">
        <v>0</v>
      </c>
      <c r="G196">
        <v>0</v>
      </c>
      <c r="H196">
        <v>2368</v>
      </c>
      <c r="I196">
        <v>1784</v>
      </c>
      <c r="J196">
        <v>0</v>
      </c>
      <c r="K196">
        <v>100</v>
      </c>
      <c r="L196">
        <v>173</v>
      </c>
      <c r="M196">
        <v>6</v>
      </c>
      <c r="N196">
        <v>0</v>
      </c>
      <c r="O196">
        <v>880</v>
      </c>
      <c r="P196">
        <v>30</v>
      </c>
      <c r="Q196">
        <v>1</v>
      </c>
      <c r="R196">
        <v>404</v>
      </c>
      <c r="S196">
        <v>398</v>
      </c>
      <c r="T196">
        <v>187</v>
      </c>
    </row>
    <row r="197" spans="1:20" x14ac:dyDescent="0.35">
      <c r="A197" s="1">
        <v>45888</v>
      </c>
      <c r="B197" s="2">
        <v>0.80691159722222217</v>
      </c>
      <c r="C197">
        <v>79</v>
      </c>
      <c r="D197">
        <v>188</v>
      </c>
      <c r="E197">
        <v>0</v>
      </c>
      <c r="F197">
        <v>0</v>
      </c>
      <c r="G197">
        <v>0</v>
      </c>
      <c r="H197">
        <v>2368</v>
      </c>
      <c r="I197">
        <v>1784</v>
      </c>
      <c r="J197">
        <v>0</v>
      </c>
      <c r="K197">
        <v>100</v>
      </c>
      <c r="L197">
        <v>178</v>
      </c>
      <c r="M197">
        <v>6</v>
      </c>
      <c r="N197">
        <v>1</v>
      </c>
      <c r="O197">
        <v>877</v>
      </c>
      <c r="P197">
        <v>29</v>
      </c>
      <c r="Q197">
        <v>2</v>
      </c>
      <c r="R197">
        <v>404</v>
      </c>
      <c r="S197">
        <v>398</v>
      </c>
      <c r="T197">
        <v>223</v>
      </c>
    </row>
    <row r="198" spans="1:20" x14ac:dyDescent="0.35">
      <c r="A198" s="1">
        <v>45888</v>
      </c>
      <c r="B198" s="2">
        <v>0.80692739583333339</v>
      </c>
      <c r="C198">
        <v>79</v>
      </c>
      <c r="D198">
        <v>193</v>
      </c>
      <c r="E198">
        <v>0</v>
      </c>
      <c r="F198">
        <v>0</v>
      </c>
      <c r="G198">
        <v>0</v>
      </c>
      <c r="H198">
        <v>2368</v>
      </c>
      <c r="I198">
        <v>1784</v>
      </c>
      <c r="J198">
        <v>0</v>
      </c>
      <c r="K198">
        <v>100</v>
      </c>
      <c r="L198">
        <v>172</v>
      </c>
      <c r="M198">
        <v>6</v>
      </c>
      <c r="N198">
        <v>0</v>
      </c>
      <c r="O198">
        <v>870</v>
      </c>
      <c r="P198">
        <v>29</v>
      </c>
      <c r="Q198">
        <v>2</v>
      </c>
      <c r="R198">
        <v>404</v>
      </c>
      <c r="S198">
        <v>398</v>
      </c>
      <c r="T198">
        <v>79</v>
      </c>
    </row>
    <row r="199" spans="1:20" x14ac:dyDescent="0.35">
      <c r="A199" s="1">
        <v>45888</v>
      </c>
      <c r="B199" s="2">
        <v>0.80694335648148152</v>
      </c>
      <c r="C199">
        <v>79</v>
      </c>
      <c r="D199">
        <v>198</v>
      </c>
      <c r="E199">
        <v>0</v>
      </c>
      <c r="F199">
        <v>0</v>
      </c>
      <c r="G199">
        <v>0</v>
      </c>
      <c r="H199">
        <v>2368</v>
      </c>
      <c r="I199">
        <v>1784</v>
      </c>
      <c r="J199">
        <v>0</v>
      </c>
      <c r="K199">
        <v>100</v>
      </c>
      <c r="L199">
        <v>176</v>
      </c>
      <c r="M199">
        <v>6</v>
      </c>
      <c r="N199">
        <v>1</v>
      </c>
      <c r="O199">
        <v>862</v>
      </c>
      <c r="P199">
        <v>27</v>
      </c>
      <c r="Q199">
        <v>2</v>
      </c>
      <c r="R199">
        <v>404</v>
      </c>
      <c r="S199">
        <v>398</v>
      </c>
      <c r="T199">
        <v>103</v>
      </c>
    </row>
    <row r="200" spans="1:20" x14ac:dyDescent="0.35">
      <c r="A200" s="1">
        <v>45888</v>
      </c>
      <c r="B200" s="2">
        <v>0.80695934027777771</v>
      </c>
      <c r="C200">
        <v>79</v>
      </c>
      <c r="D200">
        <v>203</v>
      </c>
      <c r="E200">
        <v>0</v>
      </c>
      <c r="F200">
        <v>0</v>
      </c>
      <c r="G200">
        <v>0</v>
      </c>
      <c r="H200">
        <v>2368</v>
      </c>
      <c r="I200">
        <v>1784</v>
      </c>
      <c r="J200">
        <v>0</v>
      </c>
      <c r="K200">
        <v>100</v>
      </c>
      <c r="L200">
        <v>182</v>
      </c>
      <c r="M200">
        <v>6</v>
      </c>
      <c r="N200">
        <v>0</v>
      </c>
      <c r="O200">
        <v>853</v>
      </c>
      <c r="P200">
        <v>28</v>
      </c>
      <c r="Q200">
        <v>2</v>
      </c>
      <c r="R200">
        <v>404</v>
      </c>
      <c r="S200">
        <v>398</v>
      </c>
      <c r="T200">
        <v>167</v>
      </c>
    </row>
    <row r="201" spans="1:20" x14ac:dyDescent="0.35">
      <c r="A201" s="1">
        <v>45888</v>
      </c>
      <c r="B201" s="2">
        <v>0.80697532407407413</v>
      </c>
      <c r="C201">
        <v>79</v>
      </c>
      <c r="D201">
        <v>208</v>
      </c>
      <c r="E201">
        <v>0</v>
      </c>
      <c r="F201">
        <v>0</v>
      </c>
      <c r="G201">
        <v>0</v>
      </c>
      <c r="H201">
        <v>2368</v>
      </c>
      <c r="I201">
        <v>1784</v>
      </c>
      <c r="J201">
        <v>0</v>
      </c>
      <c r="K201">
        <v>100</v>
      </c>
      <c r="L201">
        <v>179</v>
      </c>
      <c r="M201">
        <v>6</v>
      </c>
      <c r="N201">
        <v>0</v>
      </c>
      <c r="O201">
        <v>842</v>
      </c>
      <c r="P201">
        <v>28</v>
      </c>
      <c r="Q201">
        <v>2</v>
      </c>
      <c r="R201">
        <v>404</v>
      </c>
      <c r="S201">
        <v>398</v>
      </c>
      <c r="T201">
        <v>184</v>
      </c>
    </row>
    <row r="202" spans="1:20" x14ac:dyDescent="0.35">
      <c r="A202" s="1">
        <v>45888</v>
      </c>
      <c r="B202" s="2">
        <v>0.80699109953703707</v>
      </c>
      <c r="C202">
        <v>79</v>
      </c>
      <c r="D202">
        <v>213</v>
      </c>
      <c r="E202">
        <v>0</v>
      </c>
      <c r="F202">
        <v>0</v>
      </c>
      <c r="G202">
        <v>0</v>
      </c>
      <c r="H202">
        <v>2368</v>
      </c>
      <c r="I202">
        <v>1784</v>
      </c>
      <c r="J202">
        <v>0</v>
      </c>
      <c r="K202">
        <v>100</v>
      </c>
      <c r="L202">
        <v>178</v>
      </c>
      <c r="M202">
        <v>6</v>
      </c>
      <c r="N202">
        <v>1</v>
      </c>
      <c r="O202">
        <v>835</v>
      </c>
      <c r="P202">
        <v>27</v>
      </c>
      <c r="Q202">
        <v>2</v>
      </c>
      <c r="R202">
        <v>404</v>
      </c>
      <c r="S202">
        <v>398</v>
      </c>
      <c r="T202">
        <v>127</v>
      </c>
    </row>
    <row r="203" spans="1:20" x14ac:dyDescent="0.35">
      <c r="A203" s="1">
        <v>45888</v>
      </c>
      <c r="B203" s="2">
        <v>0.80700688657407416</v>
      </c>
      <c r="C203">
        <v>79</v>
      </c>
      <c r="D203">
        <v>218</v>
      </c>
      <c r="E203">
        <v>0</v>
      </c>
      <c r="F203">
        <v>0</v>
      </c>
      <c r="G203">
        <v>0</v>
      </c>
      <c r="H203">
        <v>2368</v>
      </c>
      <c r="I203">
        <v>1784</v>
      </c>
      <c r="J203">
        <v>0</v>
      </c>
      <c r="K203">
        <v>100</v>
      </c>
      <c r="L203">
        <v>179</v>
      </c>
      <c r="M203">
        <v>6</v>
      </c>
      <c r="N203">
        <v>0</v>
      </c>
      <c r="O203">
        <v>821</v>
      </c>
      <c r="P203">
        <v>27</v>
      </c>
      <c r="Q203">
        <v>2</v>
      </c>
      <c r="R203">
        <v>404</v>
      </c>
      <c r="S203">
        <v>398</v>
      </c>
      <c r="T203">
        <v>27</v>
      </c>
    </row>
    <row r="204" spans="1:20" x14ac:dyDescent="0.35">
      <c r="A204" s="1">
        <v>45888</v>
      </c>
      <c r="B204" s="2">
        <v>0.80702285879629621</v>
      </c>
      <c r="C204">
        <v>79</v>
      </c>
      <c r="D204">
        <v>223</v>
      </c>
      <c r="E204">
        <v>0</v>
      </c>
      <c r="F204">
        <v>0</v>
      </c>
      <c r="G204">
        <v>0</v>
      </c>
      <c r="H204">
        <v>2368</v>
      </c>
      <c r="I204">
        <v>1784</v>
      </c>
      <c r="J204">
        <v>0</v>
      </c>
      <c r="K204">
        <v>100</v>
      </c>
      <c r="L204">
        <v>176</v>
      </c>
      <c r="M204">
        <v>4</v>
      </c>
      <c r="N204">
        <v>1</v>
      </c>
      <c r="O204">
        <v>805</v>
      </c>
      <c r="P204">
        <v>26</v>
      </c>
      <c r="Q204">
        <v>2</v>
      </c>
      <c r="R204">
        <v>404</v>
      </c>
      <c r="S204">
        <v>398</v>
      </c>
      <c r="T204">
        <v>111</v>
      </c>
    </row>
    <row r="205" spans="1:20" x14ac:dyDescent="0.35">
      <c r="A205" s="1">
        <v>45888</v>
      </c>
      <c r="B205" s="2">
        <v>0.80703884259259262</v>
      </c>
      <c r="C205">
        <v>79</v>
      </c>
      <c r="D205">
        <v>228</v>
      </c>
      <c r="E205">
        <v>0</v>
      </c>
      <c r="F205">
        <v>0</v>
      </c>
      <c r="G205">
        <v>0</v>
      </c>
      <c r="H205">
        <v>2368</v>
      </c>
      <c r="I205">
        <v>1784</v>
      </c>
      <c r="J205">
        <v>0</v>
      </c>
      <c r="K205">
        <v>100</v>
      </c>
      <c r="L205">
        <v>166</v>
      </c>
      <c r="M205">
        <v>4</v>
      </c>
      <c r="N205">
        <v>0</v>
      </c>
      <c r="O205">
        <v>791</v>
      </c>
      <c r="P205">
        <v>26</v>
      </c>
      <c r="Q205">
        <v>2</v>
      </c>
      <c r="R205">
        <v>404</v>
      </c>
      <c r="S205">
        <v>398</v>
      </c>
      <c r="T205">
        <v>85</v>
      </c>
    </row>
    <row r="206" spans="1:20" x14ac:dyDescent="0.35">
      <c r="A206" s="1">
        <v>45888</v>
      </c>
      <c r="B206" s="2">
        <v>0.80705486111111102</v>
      </c>
      <c r="C206">
        <v>79</v>
      </c>
      <c r="D206">
        <v>233</v>
      </c>
      <c r="E206">
        <v>0</v>
      </c>
      <c r="F206">
        <v>0</v>
      </c>
      <c r="G206">
        <v>0</v>
      </c>
      <c r="H206">
        <v>2368</v>
      </c>
      <c r="I206">
        <v>1784</v>
      </c>
      <c r="J206">
        <v>0</v>
      </c>
      <c r="K206">
        <v>100</v>
      </c>
      <c r="L206">
        <v>177</v>
      </c>
      <c r="M206">
        <v>6</v>
      </c>
      <c r="N206">
        <v>2</v>
      </c>
      <c r="O206">
        <v>776</v>
      </c>
      <c r="P206">
        <v>26</v>
      </c>
      <c r="Q206">
        <v>1</v>
      </c>
      <c r="R206">
        <v>405</v>
      </c>
      <c r="S206">
        <v>398</v>
      </c>
      <c r="T206">
        <v>247</v>
      </c>
    </row>
    <row r="207" spans="1:20" x14ac:dyDescent="0.35">
      <c r="A207" s="1">
        <v>45888</v>
      </c>
      <c r="B207" s="2">
        <v>0.80707078703703705</v>
      </c>
      <c r="C207">
        <v>79</v>
      </c>
      <c r="D207">
        <v>238</v>
      </c>
      <c r="E207">
        <v>0</v>
      </c>
      <c r="F207">
        <v>0</v>
      </c>
      <c r="G207">
        <v>0</v>
      </c>
      <c r="H207">
        <v>2368</v>
      </c>
      <c r="I207">
        <v>1784</v>
      </c>
      <c r="J207">
        <v>0</v>
      </c>
      <c r="K207">
        <v>100</v>
      </c>
      <c r="L207">
        <v>175</v>
      </c>
      <c r="M207">
        <v>6</v>
      </c>
      <c r="N207">
        <v>0</v>
      </c>
      <c r="O207">
        <v>764</v>
      </c>
      <c r="P207">
        <v>25</v>
      </c>
      <c r="Q207">
        <v>2</v>
      </c>
      <c r="R207">
        <v>404</v>
      </c>
      <c r="S207">
        <v>398</v>
      </c>
      <c r="T207">
        <v>144</v>
      </c>
    </row>
    <row r="208" spans="1:20" x14ac:dyDescent="0.35">
      <c r="A208" s="1">
        <v>45888</v>
      </c>
      <c r="B208" s="2">
        <v>0.80708663194444452</v>
      </c>
      <c r="C208">
        <v>79</v>
      </c>
      <c r="D208">
        <v>243</v>
      </c>
      <c r="E208">
        <v>0</v>
      </c>
      <c r="F208">
        <v>0</v>
      </c>
      <c r="G208">
        <v>0</v>
      </c>
      <c r="H208">
        <v>2368</v>
      </c>
      <c r="I208">
        <v>1784</v>
      </c>
      <c r="J208">
        <v>0</v>
      </c>
      <c r="K208">
        <v>100</v>
      </c>
      <c r="L208">
        <v>170</v>
      </c>
      <c r="M208">
        <v>6</v>
      </c>
      <c r="N208">
        <v>1</v>
      </c>
      <c r="O208">
        <v>752</v>
      </c>
      <c r="P208">
        <v>25</v>
      </c>
      <c r="Q208">
        <v>2</v>
      </c>
      <c r="R208">
        <v>404</v>
      </c>
      <c r="S208">
        <v>398</v>
      </c>
      <c r="T208">
        <v>26</v>
      </c>
    </row>
    <row r="209" spans="1:20" x14ac:dyDescent="0.35">
      <c r="A209" s="1">
        <v>45888</v>
      </c>
      <c r="B209" s="2">
        <v>0.80710259259259265</v>
      </c>
      <c r="C209">
        <v>79</v>
      </c>
      <c r="D209">
        <v>248</v>
      </c>
      <c r="E209">
        <v>0</v>
      </c>
      <c r="F209">
        <v>0</v>
      </c>
      <c r="G209">
        <v>0</v>
      </c>
      <c r="H209">
        <v>2368</v>
      </c>
      <c r="I209">
        <v>1784</v>
      </c>
      <c r="J209">
        <v>0</v>
      </c>
      <c r="K209">
        <v>100</v>
      </c>
      <c r="L209">
        <v>181</v>
      </c>
      <c r="M209">
        <v>6</v>
      </c>
      <c r="N209">
        <v>1</v>
      </c>
      <c r="O209">
        <v>732</v>
      </c>
      <c r="P209">
        <v>24</v>
      </c>
      <c r="Q209">
        <v>2</v>
      </c>
      <c r="R209">
        <v>404</v>
      </c>
      <c r="S209">
        <v>398</v>
      </c>
      <c r="T209">
        <v>143</v>
      </c>
    </row>
    <row r="210" spans="1:20" x14ac:dyDescent="0.35">
      <c r="A210" s="1">
        <v>45888</v>
      </c>
      <c r="B210" s="2">
        <v>0.80711857638888884</v>
      </c>
      <c r="C210">
        <v>79</v>
      </c>
      <c r="D210">
        <v>253</v>
      </c>
      <c r="E210">
        <v>0</v>
      </c>
      <c r="F210">
        <v>0</v>
      </c>
      <c r="G210">
        <v>0</v>
      </c>
      <c r="H210">
        <v>2368</v>
      </c>
      <c r="I210">
        <v>1784</v>
      </c>
      <c r="J210">
        <v>0</v>
      </c>
      <c r="K210">
        <v>100</v>
      </c>
      <c r="L210">
        <v>175</v>
      </c>
      <c r="M210">
        <v>6</v>
      </c>
      <c r="N210">
        <v>2</v>
      </c>
      <c r="O210">
        <v>712</v>
      </c>
      <c r="P210">
        <v>23</v>
      </c>
      <c r="Q210">
        <v>2</v>
      </c>
      <c r="R210">
        <v>404</v>
      </c>
      <c r="S210">
        <v>397</v>
      </c>
      <c r="T210">
        <v>65</v>
      </c>
    </row>
    <row r="211" spans="1:20" x14ac:dyDescent="0.35">
      <c r="A211" s="1">
        <v>45888</v>
      </c>
      <c r="B211" s="2">
        <v>0.80713454861111111</v>
      </c>
      <c r="C211">
        <v>79</v>
      </c>
      <c r="D211">
        <v>2</v>
      </c>
      <c r="E211">
        <v>0</v>
      </c>
      <c r="F211">
        <v>0</v>
      </c>
      <c r="G211">
        <v>0</v>
      </c>
      <c r="H211">
        <v>2368</v>
      </c>
      <c r="I211">
        <v>1784</v>
      </c>
      <c r="J211">
        <v>0</v>
      </c>
      <c r="K211">
        <v>100</v>
      </c>
      <c r="L211">
        <v>179</v>
      </c>
      <c r="M211">
        <v>6</v>
      </c>
      <c r="N211">
        <v>1</v>
      </c>
      <c r="O211">
        <v>692</v>
      </c>
      <c r="P211">
        <v>23</v>
      </c>
      <c r="Q211">
        <v>2</v>
      </c>
      <c r="R211">
        <v>404</v>
      </c>
      <c r="S211">
        <v>398</v>
      </c>
      <c r="T211">
        <v>80</v>
      </c>
    </row>
    <row r="212" spans="1:20" x14ac:dyDescent="0.35">
      <c r="A212" s="1">
        <v>45888</v>
      </c>
      <c r="B212" s="2">
        <v>0.80715041666666665</v>
      </c>
      <c r="C212">
        <v>79</v>
      </c>
      <c r="D212">
        <v>7</v>
      </c>
      <c r="E212">
        <v>0</v>
      </c>
      <c r="F212">
        <v>0</v>
      </c>
      <c r="G212">
        <v>0</v>
      </c>
      <c r="H212">
        <v>2368</v>
      </c>
      <c r="I212">
        <v>1784</v>
      </c>
      <c r="J212">
        <v>0</v>
      </c>
      <c r="K212">
        <v>100</v>
      </c>
      <c r="L212">
        <v>173</v>
      </c>
      <c r="M212">
        <v>6</v>
      </c>
      <c r="N212">
        <v>0</v>
      </c>
      <c r="O212">
        <v>668</v>
      </c>
      <c r="P212">
        <v>22</v>
      </c>
      <c r="Q212">
        <v>2</v>
      </c>
      <c r="R212">
        <v>404</v>
      </c>
      <c r="S212">
        <v>397</v>
      </c>
      <c r="T212">
        <v>246</v>
      </c>
    </row>
    <row r="213" spans="1:20" x14ac:dyDescent="0.35">
      <c r="A213" s="1">
        <v>45888</v>
      </c>
      <c r="B213" s="2">
        <v>0.80716625000000009</v>
      </c>
      <c r="C213">
        <v>79</v>
      </c>
      <c r="D213">
        <v>12</v>
      </c>
      <c r="E213">
        <v>0</v>
      </c>
      <c r="F213">
        <v>0</v>
      </c>
      <c r="G213">
        <v>0</v>
      </c>
      <c r="H213">
        <v>2368</v>
      </c>
      <c r="I213">
        <v>1784</v>
      </c>
      <c r="J213">
        <v>0</v>
      </c>
      <c r="K213">
        <v>100</v>
      </c>
      <c r="L213">
        <v>171</v>
      </c>
      <c r="M213">
        <v>6</v>
      </c>
      <c r="N213">
        <v>2</v>
      </c>
      <c r="O213">
        <v>650</v>
      </c>
      <c r="P213">
        <v>22</v>
      </c>
      <c r="Q213">
        <v>2</v>
      </c>
      <c r="R213">
        <v>404</v>
      </c>
      <c r="S213">
        <v>398</v>
      </c>
      <c r="T213">
        <v>87</v>
      </c>
    </row>
    <row r="214" spans="1:20" x14ac:dyDescent="0.35">
      <c r="A214" s="1">
        <v>45888</v>
      </c>
      <c r="B214" s="2">
        <v>0.80718224537037042</v>
      </c>
      <c r="C214">
        <v>79</v>
      </c>
      <c r="D214">
        <v>17</v>
      </c>
      <c r="E214">
        <v>0</v>
      </c>
      <c r="F214">
        <v>0</v>
      </c>
      <c r="G214">
        <v>0</v>
      </c>
      <c r="H214">
        <v>2368</v>
      </c>
      <c r="I214">
        <v>1784</v>
      </c>
      <c r="J214">
        <v>0</v>
      </c>
      <c r="K214">
        <v>100</v>
      </c>
      <c r="L214">
        <v>184</v>
      </c>
      <c r="M214">
        <v>6</v>
      </c>
      <c r="N214">
        <v>1</v>
      </c>
      <c r="O214">
        <v>628</v>
      </c>
      <c r="P214">
        <v>21</v>
      </c>
      <c r="Q214">
        <v>2</v>
      </c>
      <c r="R214">
        <v>404</v>
      </c>
      <c r="S214">
        <v>398</v>
      </c>
      <c r="T214">
        <v>7</v>
      </c>
    </row>
    <row r="215" spans="1:20" x14ac:dyDescent="0.35">
      <c r="A215" s="1">
        <v>45888</v>
      </c>
      <c r="B215" s="2">
        <v>0.80719822916666661</v>
      </c>
      <c r="C215">
        <v>79</v>
      </c>
      <c r="D215">
        <v>22</v>
      </c>
      <c r="E215">
        <v>0</v>
      </c>
      <c r="F215">
        <v>0</v>
      </c>
      <c r="G215">
        <v>0</v>
      </c>
      <c r="H215">
        <v>2368</v>
      </c>
      <c r="I215">
        <v>1784</v>
      </c>
      <c r="J215">
        <v>0</v>
      </c>
      <c r="K215">
        <v>100</v>
      </c>
      <c r="L215">
        <v>176</v>
      </c>
      <c r="M215">
        <v>6</v>
      </c>
      <c r="N215">
        <v>2</v>
      </c>
      <c r="O215">
        <v>611</v>
      </c>
      <c r="P215">
        <v>21</v>
      </c>
      <c r="Q215">
        <v>2</v>
      </c>
      <c r="R215">
        <v>404</v>
      </c>
      <c r="S215">
        <v>398</v>
      </c>
      <c r="T215">
        <v>194</v>
      </c>
    </row>
    <row r="216" spans="1:20" x14ac:dyDescent="0.35">
      <c r="A216" s="1">
        <v>45888</v>
      </c>
      <c r="B216" s="2">
        <v>0.80721407407407408</v>
      </c>
      <c r="C216">
        <v>79</v>
      </c>
      <c r="D216">
        <v>27</v>
      </c>
      <c r="E216">
        <v>0</v>
      </c>
      <c r="F216">
        <v>0</v>
      </c>
      <c r="G216">
        <v>0</v>
      </c>
      <c r="H216">
        <v>2368</v>
      </c>
      <c r="I216">
        <v>1784</v>
      </c>
      <c r="J216">
        <v>0</v>
      </c>
      <c r="K216">
        <v>100</v>
      </c>
      <c r="L216">
        <v>178</v>
      </c>
      <c r="M216">
        <v>6</v>
      </c>
      <c r="N216">
        <v>1</v>
      </c>
      <c r="O216">
        <v>587</v>
      </c>
      <c r="P216">
        <v>19</v>
      </c>
      <c r="Q216">
        <v>2</v>
      </c>
      <c r="R216">
        <v>404</v>
      </c>
      <c r="S216">
        <v>398</v>
      </c>
      <c r="T216">
        <v>191</v>
      </c>
    </row>
    <row r="217" spans="1:20" x14ac:dyDescent="0.35">
      <c r="A217" s="1">
        <v>45888</v>
      </c>
      <c r="B217" s="2">
        <v>0.80722983796296288</v>
      </c>
      <c r="C217">
        <v>79</v>
      </c>
      <c r="D217">
        <v>32</v>
      </c>
      <c r="E217">
        <v>0</v>
      </c>
      <c r="F217">
        <v>0</v>
      </c>
      <c r="G217">
        <v>0</v>
      </c>
      <c r="H217">
        <v>2368</v>
      </c>
      <c r="I217">
        <v>1784</v>
      </c>
      <c r="J217">
        <v>0</v>
      </c>
      <c r="K217">
        <v>100</v>
      </c>
      <c r="L217">
        <v>170</v>
      </c>
      <c r="M217">
        <v>6</v>
      </c>
      <c r="N217">
        <v>1</v>
      </c>
      <c r="O217">
        <v>564</v>
      </c>
      <c r="P217">
        <v>18</v>
      </c>
      <c r="Q217">
        <v>2</v>
      </c>
      <c r="R217">
        <v>404</v>
      </c>
      <c r="S217">
        <v>397</v>
      </c>
      <c r="T217">
        <v>9</v>
      </c>
    </row>
    <row r="218" spans="1:20" x14ac:dyDescent="0.35">
      <c r="A218" s="1">
        <v>45888</v>
      </c>
      <c r="B218" s="2">
        <v>0.80724583333333322</v>
      </c>
      <c r="C218">
        <v>79</v>
      </c>
      <c r="D218">
        <v>37</v>
      </c>
      <c r="E218">
        <v>0</v>
      </c>
      <c r="F218">
        <v>0</v>
      </c>
      <c r="G218">
        <v>0</v>
      </c>
      <c r="H218">
        <v>2368</v>
      </c>
      <c r="I218">
        <v>1784</v>
      </c>
      <c r="J218">
        <v>0</v>
      </c>
      <c r="K218">
        <v>100</v>
      </c>
      <c r="L218">
        <v>174</v>
      </c>
      <c r="M218">
        <v>6</v>
      </c>
      <c r="N218">
        <v>0</v>
      </c>
      <c r="O218">
        <v>552</v>
      </c>
      <c r="P218">
        <v>18</v>
      </c>
      <c r="Q218">
        <v>1</v>
      </c>
      <c r="R218">
        <v>404</v>
      </c>
      <c r="S218">
        <v>398</v>
      </c>
      <c r="T218">
        <v>2</v>
      </c>
    </row>
    <row r="219" spans="1:20" x14ac:dyDescent="0.35">
      <c r="A219" s="1">
        <v>45888</v>
      </c>
      <c r="B219" s="2">
        <v>0.8072616203703703</v>
      </c>
      <c r="C219">
        <v>79</v>
      </c>
      <c r="D219">
        <v>42</v>
      </c>
      <c r="E219">
        <v>0</v>
      </c>
      <c r="F219">
        <v>0</v>
      </c>
      <c r="G219">
        <v>0</v>
      </c>
      <c r="H219">
        <v>2368</v>
      </c>
      <c r="I219">
        <v>1784</v>
      </c>
      <c r="J219">
        <v>0</v>
      </c>
      <c r="K219">
        <v>100</v>
      </c>
      <c r="L219">
        <v>178</v>
      </c>
      <c r="M219">
        <v>6</v>
      </c>
      <c r="N219">
        <v>0</v>
      </c>
      <c r="O219">
        <v>533</v>
      </c>
      <c r="P219">
        <v>18</v>
      </c>
      <c r="Q219">
        <v>1</v>
      </c>
      <c r="R219">
        <v>404</v>
      </c>
      <c r="S219">
        <v>398</v>
      </c>
      <c r="T219">
        <v>148</v>
      </c>
    </row>
    <row r="220" spans="1:20" x14ac:dyDescent="0.35">
      <c r="A220" s="1">
        <v>45888</v>
      </c>
      <c r="B220" s="2">
        <v>0.80727740740740739</v>
      </c>
      <c r="C220">
        <v>79</v>
      </c>
      <c r="D220">
        <v>47</v>
      </c>
      <c r="E220">
        <v>0</v>
      </c>
      <c r="F220">
        <v>0</v>
      </c>
      <c r="G220">
        <v>0</v>
      </c>
      <c r="H220">
        <v>2368</v>
      </c>
      <c r="I220">
        <v>1784</v>
      </c>
      <c r="J220">
        <v>0</v>
      </c>
      <c r="K220">
        <v>100</v>
      </c>
      <c r="L220">
        <v>168</v>
      </c>
      <c r="M220">
        <v>6</v>
      </c>
      <c r="N220">
        <v>1</v>
      </c>
      <c r="O220">
        <v>513</v>
      </c>
      <c r="P220">
        <v>17</v>
      </c>
      <c r="Q220">
        <v>2</v>
      </c>
      <c r="R220">
        <v>405</v>
      </c>
      <c r="S220">
        <v>398</v>
      </c>
      <c r="T220">
        <v>63</v>
      </c>
    </row>
    <row r="221" spans="1:20" x14ac:dyDescent="0.35">
      <c r="A221" s="1">
        <v>45888</v>
      </c>
      <c r="B221" s="2">
        <v>0.80729319444444447</v>
      </c>
      <c r="C221">
        <v>79</v>
      </c>
      <c r="D221">
        <v>52</v>
      </c>
      <c r="E221">
        <v>0</v>
      </c>
      <c r="F221">
        <v>0</v>
      </c>
      <c r="G221">
        <v>0</v>
      </c>
      <c r="H221">
        <v>2368</v>
      </c>
      <c r="I221">
        <v>1784</v>
      </c>
      <c r="J221">
        <v>0</v>
      </c>
      <c r="K221">
        <v>100</v>
      </c>
      <c r="L221">
        <v>177</v>
      </c>
      <c r="M221">
        <v>4</v>
      </c>
      <c r="N221">
        <v>2</v>
      </c>
      <c r="O221">
        <v>496</v>
      </c>
      <c r="P221">
        <v>16</v>
      </c>
      <c r="Q221">
        <v>2</v>
      </c>
      <c r="R221">
        <v>404</v>
      </c>
      <c r="S221">
        <v>397</v>
      </c>
      <c r="T221">
        <v>208</v>
      </c>
    </row>
    <row r="222" spans="1:20" x14ac:dyDescent="0.35">
      <c r="A222" s="1">
        <v>45888</v>
      </c>
      <c r="B222" s="2">
        <v>0.80730917824074078</v>
      </c>
      <c r="C222">
        <v>79</v>
      </c>
      <c r="D222">
        <v>57</v>
      </c>
      <c r="E222">
        <v>0</v>
      </c>
      <c r="F222">
        <v>0</v>
      </c>
      <c r="G222">
        <v>0</v>
      </c>
      <c r="H222">
        <v>2368</v>
      </c>
      <c r="I222">
        <v>1784</v>
      </c>
      <c r="J222">
        <v>0</v>
      </c>
      <c r="K222">
        <v>100</v>
      </c>
      <c r="L222">
        <v>179</v>
      </c>
      <c r="M222">
        <v>6</v>
      </c>
      <c r="N222">
        <v>2</v>
      </c>
      <c r="O222">
        <v>470</v>
      </c>
      <c r="P222">
        <v>16</v>
      </c>
      <c r="Q222">
        <v>0</v>
      </c>
      <c r="R222">
        <v>405</v>
      </c>
      <c r="S222">
        <v>399</v>
      </c>
      <c r="T222">
        <v>30</v>
      </c>
    </row>
    <row r="223" spans="1:20" x14ac:dyDescent="0.35">
      <c r="A223" s="1">
        <v>45888</v>
      </c>
      <c r="B223" s="2">
        <v>0.80732515046296294</v>
      </c>
      <c r="C223">
        <v>79</v>
      </c>
      <c r="D223">
        <v>62</v>
      </c>
      <c r="E223">
        <v>0</v>
      </c>
      <c r="F223">
        <v>0</v>
      </c>
      <c r="G223">
        <v>0</v>
      </c>
      <c r="H223">
        <v>2368</v>
      </c>
      <c r="I223">
        <v>1784</v>
      </c>
      <c r="J223">
        <v>0</v>
      </c>
      <c r="K223">
        <v>100</v>
      </c>
      <c r="L223">
        <v>184</v>
      </c>
      <c r="M223">
        <v>6</v>
      </c>
      <c r="N223">
        <v>1</v>
      </c>
      <c r="O223">
        <v>448</v>
      </c>
      <c r="P223">
        <v>15</v>
      </c>
      <c r="Q223">
        <v>2</v>
      </c>
      <c r="R223">
        <v>404</v>
      </c>
      <c r="S223">
        <v>398</v>
      </c>
      <c r="T223">
        <v>248</v>
      </c>
    </row>
    <row r="224" spans="1:20" x14ac:dyDescent="0.35">
      <c r="A224" s="1">
        <v>45888</v>
      </c>
      <c r="B224" s="2">
        <v>0.80734116898148145</v>
      </c>
      <c r="C224">
        <v>79</v>
      </c>
      <c r="D224">
        <v>67</v>
      </c>
      <c r="E224">
        <v>0</v>
      </c>
      <c r="F224">
        <v>0</v>
      </c>
      <c r="G224">
        <v>0</v>
      </c>
      <c r="H224">
        <v>2368</v>
      </c>
      <c r="I224">
        <v>1784</v>
      </c>
      <c r="J224">
        <v>0</v>
      </c>
      <c r="K224">
        <v>100</v>
      </c>
      <c r="L224">
        <v>174</v>
      </c>
      <c r="M224">
        <v>6</v>
      </c>
      <c r="N224">
        <v>2</v>
      </c>
      <c r="O224">
        <v>431</v>
      </c>
      <c r="P224">
        <v>14</v>
      </c>
      <c r="Q224">
        <v>2</v>
      </c>
      <c r="R224">
        <v>404</v>
      </c>
      <c r="S224">
        <v>397</v>
      </c>
      <c r="T224">
        <v>199</v>
      </c>
    </row>
    <row r="225" spans="1:20" x14ac:dyDescent="0.35">
      <c r="A225" s="1">
        <v>45888</v>
      </c>
      <c r="B225" s="2">
        <v>0.80735694444444439</v>
      </c>
      <c r="C225">
        <v>79</v>
      </c>
      <c r="D225">
        <v>72</v>
      </c>
      <c r="E225">
        <v>0</v>
      </c>
      <c r="F225">
        <v>0</v>
      </c>
      <c r="G225">
        <v>0</v>
      </c>
      <c r="H225">
        <v>2368</v>
      </c>
      <c r="I225">
        <v>1784</v>
      </c>
      <c r="J225">
        <v>0</v>
      </c>
      <c r="K225">
        <v>100</v>
      </c>
      <c r="L225">
        <v>177</v>
      </c>
      <c r="M225">
        <v>6</v>
      </c>
      <c r="N225">
        <v>2</v>
      </c>
      <c r="O225">
        <v>412</v>
      </c>
      <c r="P225">
        <v>14</v>
      </c>
      <c r="Q225">
        <v>2</v>
      </c>
      <c r="R225">
        <v>404</v>
      </c>
      <c r="S225">
        <v>398</v>
      </c>
      <c r="T225">
        <v>168</v>
      </c>
    </row>
    <row r="226" spans="1:20" x14ac:dyDescent="0.35">
      <c r="A226" s="1">
        <v>45888</v>
      </c>
      <c r="B226" s="2">
        <v>0.80737275462962954</v>
      </c>
      <c r="C226">
        <v>79</v>
      </c>
      <c r="D226">
        <v>77</v>
      </c>
      <c r="E226">
        <v>0</v>
      </c>
      <c r="F226">
        <v>0</v>
      </c>
      <c r="G226">
        <v>0</v>
      </c>
      <c r="H226">
        <v>2368</v>
      </c>
      <c r="I226">
        <v>1784</v>
      </c>
      <c r="J226">
        <v>0</v>
      </c>
      <c r="K226">
        <v>100</v>
      </c>
      <c r="L226">
        <v>187</v>
      </c>
      <c r="M226">
        <v>6</v>
      </c>
      <c r="N226">
        <v>0</v>
      </c>
      <c r="O226">
        <v>398</v>
      </c>
      <c r="P226">
        <v>14</v>
      </c>
      <c r="Q226">
        <v>0</v>
      </c>
      <c r="R226">
        <v>404</v>
      </c>
      <c r="S226">
        <v>398</v>
      </c>
      <c r="T226">
        <v>61</v>
      </c>
    </row>
    <row r="227" spans="1:20" x14ac:dyDescent="0.35">
      <c r="A227" s="1">
        <v>45888</v>
      </c>
      <c r="B227" s="2">
        <v>0.80738877314814816</v>
      </c>
      <c r="C227">
        <v>79</v>
      </c>
      <c r="D227">
        <v>82</v>
      </c>
      <c r="E227">
        <v>0</v>
      </c>
      <c r="F227">
        <v>0</v>
      </c>
      <c r="G227">
        <v>0</v>
      </c>
      <c r="H227">
        <v>2368</v>
      </c>
      <c r="I227">
        <v>1784</v>
      </c>
      <c r="J227">
        <v>0</v>
      </c>
      <c r="K227">
        <v>100</v>
      </c>
      <c r="L227">
        <v>180</v>
      </c>
      <c r="M227">
        <v>6</v>
      </c>
      <c r="N227">
        <v>2</v>
      </c>
      <c r="O227">
        <v>384</v>
      </c>
      <c r="P227">
        <v>13</v>
      </c>
      <c r="Q227">
        <v>2</v>
      </c>
      <c r="R227">
        <v>404</v>
      </c>
      <c r="S227">
        <v>397</v>
      </c>
      <c r="T227">
        <v>109</v>
      </c>
    </row>
    <row r="228" spans="1:20" x14ac:dyDescent="0.35">
      <c r="A228" s="1">
        <v>45888</v>
      </c>
      <c r="B228" s="2">
        <v>0.80740461805555563</v>
      </c>
      <c r="C228">
        <v>79</v>
      </c>
      <c r="D228">
        <v>87</v>
      </c>
      <c r="E228">
        <v>0</v>
      </c>
      <c r="F228">
        <v>0</v>
      </c>
      <c r="G228">
        <v>0</v>
      </c>
      <c r="H228">
        <v>2368</v>
      </c>
      <c r="I228">
        <v>1784</v>
      </c>
      <c r="J228">
        <v>0</v>
      </c>
      <c r="K228">
        <v>100</v>
      </c>
      <c r="L228">
        <v>178</v>
      </c>
      <c r="M228">
        <v>6</v>
      </c>
      <c r="N228">
        <v>1</v>
      </c>
      <c r="O228">
        <v>371</v>
      </c>
      <c r="P228">
        <v>12</v>
      </c>
      <c r="Q228">
        <v>2</v>
      </c>
      <c r="R228">
        <v>404</v>
      </c>
      <c r="S228">
        <v>398</v>
      </c>
      <c r="T228">
        <v>198</v>
      </c>
    </row>
    <row r="229" spans="1:20" x14ac:dyDescent="0.35">
      <c r="A229" s="1">
        <v>45888</v>
      </c>
      <c r="B229" s="2">
        <v>0.80742041666666664</v>
      </c>
      <c r="C229">
        <v>79</v>
      </c>
      <c r="D229">
        <v>92</v>
      </c>
      <c r="E229">
        <v>0</v>
      </c>
      <c r="F229">
        <v>0</v>
      </c>
      <c r="G229">
        <v>0</v>
      </c>
      <c r="H229">
        <v>2368</v>
      </c>
      <c r="I229">
        <v>1784</v>
      </c>
      <c r="J229">
        <v>0</v>
      </c>
      <c r="K229">
        <v>100</v>
      </c>
      <c r="L229">
        <v>173</v>
      </c>
      <c r="M229">
        <v>6</v>
      </c>
      <c r="N229">
        <v>1</v>
      </c>
      <c r="O229">
        <v>359</v>
      </c>
      <c r="P229">
        <v>12</v>
      </c>
      <c r="Q229">
        <v>0</v>
      </c>
      <c r="R229">
        <v>404</v>
      </c>
      <c r="S229">
        <v>398</v>
      </c>
      <c r="T229">
        <v>1</v>
      </c>
    </row>
    <row r="230" spans="1:20" x14ac:dyDescent="0.35">
      <c r="A230" s="1">
        <v>45888</v>
      </c>
      <c r="B230" s="2">
        <v>0.80743637731481477</v>
      </c>
      <c r="C230">
        <v>79</v>
      </c>
      <c r="D230">
        <v>97</v>
      </c>
      <c r="E230">
        <v>0</v>
      </c>
      <c r="F230">
        <v>0</v>
      </c>
      <c r="G230">
        <v>0</v>
      </c>
      <c r="H230">
        <v>2368</v>
      </c>
      <c r="I230">
        <v>1784</v>
      </c>
      <c r="J230">
        <v>0</v>
      </c>
      <c r="K230">
        <v>100</v>
      </c>
      <c r="L230">
        <v>182</v>
      </c>
      <c r="M230">
        <v>6</v>
      </c>
      <c r="N230">
        <v>2</v>
      </c>
      <c r="O230">
        <v>346</v>
      </c>
      <c r="P230">
        <v>11</v>
      </c>
      <c r="Q230">
        <v>2</v>
      </c>
      <c r="R230">
        <v>405</v>
      </c>
      <c r="S230">
        <v>396</v>
      </c>
      <c r="T230">
        <v>70</v>
      </c>
    </row>
    <row r="231" spans="1:20" x14ac:dyDescent="0.35">
      <c r="A231" s="1">
        <v>45888</v>
      </c>
      <c r="B231" s="2">
        <v>0.80745234953703704</v>
      </c>
      <c r="C231">
        <v>79</v>
      </c>
      <c r="D231">
        <v>102</v>
      </c>
      <c r="E231">
        <v>0</v>
      </c>
      <c r="F231">
        <v>0</v>
      </c>
      <c r="G231">
        <v>0</v>
      </c>
      <c r="H231">
        <v>2368</v>
      </c>
      <c r="I231">
        <v>1784</v>
      </c>
      <c r="J231">
        <v>0</v>
      </c>
      <c r="K231">
        <v>100</v>
      </c>
      <c r="L231">
        <v>187</v>
      </c>
      <c r="M231">
        <v>6</v>
      </c>
      <c r="N231">
        <v>1</v>
      </c>
      <c r="O231">
        <v>334</v>
      </c>
      <c r="P231">
        <v>11</v>
      </c>
      <c r="Q231">
        <v>0</v>
      </c>
      <c r="R231">
        <v>404</v>
      </c>
      <c r="S231">
        <v>398</v>
      </c>
      <c r="T231">
        <v>198</v>
      </c>
    </row>
    <row r="232" spans="1:20" x14ac:dyDescent="0.35">
      <c r="A232" s="1">
        <v>45888</v>
      </c>
      <c r="B232" s="2">
        <v>0.80746831018518517</v>
      </c>
      <c r="C232">
        <v>79</v>
      </c>
      <c r="D232">
        <v>107</v>
      </c>
      <c r="E232">
        <v>0</v>
      </c>
      <c r="F232">
        <v>0</v>
      </c>
      <c r="G232">
        <v>0</v>
      </c>
      <c r="H232">
        <v>2368</v>
      </c>
      <c r="I232">
        <v>1784</v>
      </c>
      <c r="J232">
        <v>0</v>
      </c>
      <c r="K232">
        <v>100</v>
      </c>
      <c r="L232">
        <v>183</v>
      </c>
      <c r="M232">
        <v>6</v>
      </c>
      <c r="N232">
        <v>1</v>
      </c>
      <c r="O232">
        <v>323</v>
      </c>
      <c r="P232">
        <v>10</v>
      </c>
      <c r="Q232">
        <v>1</v>
      </c>
      <c r="R232">
        <v>404</v>
      </c>
      <c r="S232">
        <v>398</v>
      </c>
      <c r="T232">
        <v>120</v>
      </c>
    </row>
    <row r="233" spans="1:20" x14ac:dyDescent="0.35">
      <c r="A233" s="1">
        <v>45888</v>
      </c>
      <c r="B233" s="2">
        <v>0.80748422453703705</v>
      </c>
      <c r="C233">
        <v>79</v>
      </c>
      <c r="D233">
        <v>112</v>
      </c>
      <c r="E233">
        <v>0</v>
      </c>
      <c r="F233">
        <v>0</v>
      </c>
      <c r="G233">
        <v>0</v>
      </c>
      <c r="H233">
        <v>2368</v>
      </c>
      <c r="I233">
        <v>1784</v>
      </c>
      <c r="J233">
        <v>0</v>
      </c>
      <c r="K233">
        <v>100</v>
      </c>
      <c r="L233">
        <v>179</v>
      </c>
      <c r="M233">
        <v>6</v>
      </c>
      <c r="N233">
        <v>0</v>
      </c>
      <c r="O233">
        <v>312</v>
      </c>
      <c r="P233">
        <v>11</v>
      </c>
      <c r="Q233">
        <v>1</v>
      </c>
      <c r="R233">
        <v>404</v>
      </c>
      <c r="S233">
        <v>398</v>
      </c>
      <c r="T233">
        <v>230</v>
      </c>
    </row>
    <row r="234" spans="1:20" x14ac:dyDescent="0.35">
      <c r="A234" s="1">
        <v>45888</v>
      </c>
      <c r="B234" s="2">
        <v>0.8075</v>
      </c>
      <c r="C234">
        <v>79</v>
      </c>
      <c r="D234">
        <v>117</v>
      </c>
      <c r="E234">
        <v>0</v>
      </c>
      <c r="F234">
        <v>0</v>
      </c>
      <c r="G234">
        <v>0</v>
      </c>
      <c r="H234">
        <v>2368</v>
      </c>
      <c r="I234">
        <v>1784</v>
      </c>
      <c r="J234">
        <v>0</v>
      </c>
      <c r="K234">
        <v>100</v>
      </c>
      <c r="L234">
        <v>186</v>
      </c>
      <c r="M234">
        <v>6</v>
      </c>
      <c r="N234">
        <v>0</v>
      </c>
      <c r="O234">
        <v>299</v>
      </c>
      <c r="P234">
        <v>10</v>
      </c>
      <c r="Q234">
        <v>0</v>
      </c>
      <c r="R234">
        <v>404</v>
      </c>
      <c r="S234">
        <v>398</v>
      </c>
      <c r="T234">
        <v>149</v>
      </c>
    </row>
    <row r="235" spans="1:20" x14ac:dyDescent="0.35">
      <c r="A235" s="1">
        <v>45888</v>
      </c>
      <c r="B235" s="2">
        <v>0.80751598379629619</v>
      </c>
      <c r="C235">
        <v>79</v>
      </c>
      <c r="D235">
        <v>122</v>
      </c>
      <c r="E235">
        <v>0</v>
      </c>
      <c r="F235">
        <v>0</v>
      </c>
      <c r="G235">
        <v>0</v>
      </c>
      <c r="H235">
        <v>2368</v>
      </c>
      <c r="I235">
        <v>1784</v>
      </c>
      <c r="J235">
        <v>0</v>
      </c>
      <c r="K235">
        <v>100</v>
      </c>
      <c r="L235">
        <v>184</v>
      </c>
      <c r="M235">
        <v>6</v>
      </c>
      <c r="N235">
        <v>2</v>
      </c>
      <c r="O235">
        <v>287</v>
      </c>
      <c r="P235">
        <v>10</v>
      </c>
      <c r="Q235">
        <v>2</v>
      </c>
      <c r="R235">
        <v>404</v>
      </c>
      <c r="S235">
        <v>398</v>
      </c>
      <c r="T235">
        <v>36</v>
      </c>
    </row>
    <row r="236" spans="1:20" x14ac:dyDescent="0.35">
      <c r="A236" s="1">
        <v>45888</v>
      </c>
      <c r="B236" s="2">
        <v>0.80753178240740742</v>
      </c>
      <c r="C236">
        <v>79</v>
      </c>
      <c r="D236">
        <v>127</v>
      </c>
      <c r="E236">
        <v>0</v>
      </c>
      <c r="F236">
        <v>0</v>
      </c>
      <c r="G236">
        <v>0</v>
      </c>
      <c r="H236">
        <v>2368</v>
      </c>
      <c r="I236">
        <v>1784</v>
      </c>
      <c r="J236">
        <v>0</v>
      </c>
      <c r="K236">
        <v>100</v>
      </c>
      <c r="L236">
        <v>176</v>
      </c>
      <c r="M236">
        <v>6</v>
      </c>
      <c r="N236">
        <v>2</v>
      </c>
      <c r="O236">
        <v>278</v>
      </c>
      <c r="P236">
        <v>8</v>
      </c>
      <c r="Q236">
        <v>1</v>
      </c>
      <c r="R236">
        <v>404</v>
      </c>
      <c r="S236">
        <v>398</v>
      </c>
      <c r="T236">
        <v>246</v>
      </c>
    </row>
    <row r="237" spans="1:20" x14ac:dyDescent="0.35">
      <c r="A237" s="1">
        <v>45888</v>
      </c>
      <c r="B237" s="2">
        <v>0.8075476967592593</v>
      </c>
      <c r="C237">
        <v>79</v>
      </c>
      <c r="D237">
        <v>132</v>
      </c>
      <c r="E237">
        <v>0</v>
      </c>
      <c r="F237">
        <v>0</v>
      </c>
      <c r="G237">
        <v>0</v>
      </c>
      <c r="H237">
        <v>2368</v>
      </c>
      <c r="I237">
        <v>1784</v>
      </c>
      <c r="J237">
        <v>0</v>
      </c>
      <c r="K237">
        <v>100</v>
      </c>
      <c r="L237">
        <v>182</v>
      </c>
      <c r="M237">
        <v>6</v>
      </c>
      <c r="N237">
        <v>0</v>
      </c>
      <c r="O237">
        <v>269</v>
      </c>
      <c r="P237">
        <v>8</v>
      </c>
      <c r="Q237">
        <v>2</v>
      </c>
      <c r="R237">
        <v>404</v>
      </c>
      <c r="S237">
        <v>398</v>
      </c>
      <c r="T237">
        <v>111</v>
      </c>
    </row>
    <row r="238" spans="1:20" x14ac:dyDescent="0.35">
      <c r="A238" s="1">
        <v>45888</v>
      </c>
      <c r="B238" s="2">
        <v>0.80756375000000002</v>
      </c>
      <c r="C238">
        <v>79</v>
      </c>
      <c r="D238">
        <v>137</v>
      </c>
      <c r="E238">
        <v>0</v>
      </c>
      <c r="F238">
        <v>0</v>
      </c>
      <c r="G238">
        <v>0</v>
      </c>
      <c r="H238">
        <v>2368</v>
      </c>
      <c r="I238">
        <v>1784</v>
      </c>
      <c r="J238">
        <v>0</v>
      </c>
      <c r="K238">
        <v>100</v>
      </c>
      <c r="L238">
        <v>184</v>
      </c>
      <c r="M238">
        <v>6</v>
      </c>
      <c r="N238">
        <v>1</v>
      </c>
      <c r="O238">
        <v>257</v>
      </c>
      <c r="P238">
        <v>8</v>
      </c>
      <c r="Q238">
        <v>2</v>
      </c>
      <c r="R238">
        <v>404</v>
      </c>
      <c r="S238">
        <v>398</v>
      </c>
      <c r="T238">
        <v>103</v>
      </c>
    </row>
    <row r="239" spans="1:20" x14ac:dyDescent="0.35">
      <c r="A239" s="1">
        <v>45888</v>
      </c>
      <c r="B239" s="2">
        <v>0.80757953703703711</v>
      </c>
      <c r="C239">
        <v>79</v>
      </c>
      <c r="D239">
        <v>142</v>
      </c>
      <c r="E239">
        <v>0</v>
      </c>
      <c r="F239">
        <v>0</v>
      </c>
      <c r="G239">
        <v>0</v>
      </c>
      <c r="H239">
        <v>2368</v>
      </c>
      <c r="I239">
        <v>1784</v>
      </c>
      <c r="J239">
        <v>0</v>
      </c>
      <c r="K239">
        <v>100</v>
      </c>
      <c r="L239">
        <v>184</v>
      </c>
      <c r="M239">
        <v>6</v>
      </c>
      <c r="N239">
        <v>2</v>
      </c>
      <c r="O239">
        <v>248</v>
      </c>
      <c r="P239">
        <v>8</v>
      </c>
      <c r="Q239">
        <v>0</v>
      </c>
      <c r="R239">
        <v>404</v>
      </c>
      <c r="S239">
        <v>397</v>
      </c>
      <c r="T239">
        <v>71</v>
      </c>
    </row>
    <row r="240" spans="1:20" x14ac:dyDescent="0.35">
      <c r="A240" s="1">
        <v>45888</v>
      </c>
      <c r="B240" s="2">
        <v>0.80759575231481484</v>
      </c>
      <c r="C240">
        <v>79</v>
      </c>
      <c r="D240">
        <v>147</v>
      </c>
      <c r="E240">
        <v>0</v>
      </c>
      <c r="F240">
        <v>0</v>
      </c>
      <c r="G240">
        <v>0</v>
      </c>
      <c r="H240">
        <v>2368</v>
      </c>
      <c r="I240">
        <v>1784</v>
      </c>
      <c r="J240">
        <v>0</v>
      </c>
      <c r="K240">
        <v>100</v>
      </c>
      <c r="L240">
        <v>178</v>
      </c>
      <c r="M240">
        <v>6</v>
      </c>
      <c r="N240">
        <v>1</v>
      </c>
      <c r="O240">
        <v>242</v>
      </c>
      <c r="P240">
        <v>8</v>
      </c>
      <c r="Q240">
        <v>2</v>
      </c>
      <c r="R240">
        <v>404</v>
      </c>
      <c r="S240">
        <v>399</v>
      </c>
      <c r="T240">
        <v>153</v>
      </c>
    </row>
    <row r="241" spans="1:20" x14ac:dyDescent="0.35">
      <c r="A241" s="1">
        <v>45888</v>
      </c>
      <c r="B241" s="2">
        <v>0.80761171296296297</v>
      </c>
      <c r="C241">
        <v>79</v>
      </c>
      <c r="D241">
        <v>152</v>
      </c>
      <c r="E241">
        <v>0</v>
      </c>
      <c r="F241">
        <v>0</v>
      </c>
      <c r="G241">
        <v>0</v>
      </c>
      <c r="H241">
        <v>2368</v>
      </c>
      <c r="I241">
        <v>1784</v>
      </c>
      <c r="J241">
        <v>0</v>
      </c>
      <c r="K241">
        <v>100</v>
      </c>
      <c r="L241">
        <v>182</v>
      </c>
      <c r="M241">
        <v>6</v>
      </c>
      <c r="N241">
        <v>2</v>
      </c>
      <c r="O241">
        <v>234</v>
      </c>
      <c r="P241">
        <v>8</v>
      </c>
      <c r="Q241">
        <v>2</v>
      </c>
      <c r="R241">
        <v>404</v>
      </c>
      <c r="S241">
        <v>398</v>
      </c>
      <c r="T241">
        <v>148</v>
      </c>
    </row>
    <row r="242" spans="1:20" x14ac:dyDescent="0.35">
      <c r="A242" s="1">
        <v>45888</v>
      </c>
      <c r="B242" s="2">
        <v>0.8076274537037037</v>
      </c>
      <c r="C242">
        <v>79</v>
      </c>
      <c r="D242">
        <v>157</v>
      </c>
      <c r="E242">
        <v>0</v>
      </c>
      <c r="F242">
        <v>0</v>
      </c>
      <c r="G242">
        <v>0</v>
      </c>
      <c r="H242">
        <v>2368</v>
      </c>
      <c r="I242">
        <v>1784</v>
      </c>
      <c r="J242">
        <v>0</v>
      </c>
      <c r="K242">
        <v>100</v>
      </c>
      <c r="L242">
        <v>180</v>
      </c>
      <c r="M242">
        <v>6</v>
      </c>
      <c r="N242">
        <v>2</v>
      </c>
      <c r="O242">
        <v>222</v>
      </c>
      <c r="P242">
        <v>8</v>
      </c>
      <c r="Q242">
        <v>1</v>
      </c>
      <c r="R242">
        <v>404</v>
      </c>
      <c r="S242">
        <v>398</v>
      </c>
      <c r="T242">
        <v>242</v>
      </c>
    </row>
    <row r="243" spans="1:20" x14ac:dyDescent="0.35">
      <c r="A243" s="1">
        <v>45888</v>
      </c>
      <c r="B243" s="2">
        <v>0.8076434722222221</v>
      </c>
      <c r="C243">
        <v>79</v>
      </c>
      <c r="D243">
        <v>162</v>
      </c>
      <c r="E243">
        <v>0</v>
      </c>
      <c r="F243">
        <v>0</v>
      </c>
      <c r="G243">
        <v>0</v>
      </c>
      <c r="H243">
        <v>2368</v>
      </c>
      <c r="I243">
        <v>1784</v>
      </c>
      <c r="J243">
        <v>0</v>
      </c>
      <c r="K243">
        <v>100</v>
      </c>
      <c r="L243">
        <v>180</v>
      </c>
      <c r="M243">
        <v>6</v>
      </c>
      <c r="N243">
        <v>2</v>
      </c>
      <c r="O243">
        <v>216</v>
      </c>
      <c r="P243">
        <v>6</v>
      </c>
      <c r="Q243">
        <v>0</v>
      </c>
      <c r="R243">
        <v>405</v>
      </c>
      <c r="S243">
        <v>398</v>
      </c>
      <c r="T243">
        <v>189</v>
      </c>
    </row>
    <row r="244" spans="1:20" x14ac:dyDescent="0.35">
      <c r="A244" s="1">
        <v>45888</v>
      </c>
      <c r="B244" s="2">
        <v>0.80765924768518527</v>
      </c>
      <c r="C244">
        <v>79</v>
      </c>
      <c r="D244">
        <v>167</v>
      </c>
      <c r="E244">
        <v>0</v>
      </c>
      <c r="F244">
        <v>0</v>
      </c>
      <c r="G244">
        <v>0</v>
      </c>
      <c r="H244">
        <v>2368</v>
      </c>
      <c r="I244">
        <v>1784</v>
      </c>
      <c r="J244">
        <v>0</v>
      </c>
      <c r="K244">
        <v>100</v>
      </c>
      <c r="L244">
        <v>180</v>
      </c>
      <c r="M244">
        <v>6</v>
      </c>
      <c r="N244">
        <v>2</v>
      </c>
      <c r="O244">
        <v>213</v>
      </c>
      <c r="P244">
        <v>6</v>
      </c>
      <c r="Q244">
        <v>2</v>
      </c>
      <c r="R244">
        <v>404</v>
      </c>
      <c r="S244">
        <v>398</v>
      </c>
      <c r="T244">
        <v>143</v>
      </c>
    </row>
    <row r="245" spans="1:20" x14ac:dyDescent="0.35">
      <c r="A245" s="1">
        <v>45888</v>
      </c>
      <c r="B245" s="2">
        <v>0.80767517361111107</v>
      </c>
      <c r="C245">
        <v>79</v>
      </c>
      <c r="D245">
        <v>172</v>
      </c>
      <c r="E245">
        <v>0</v>
      </c>
      <c r="F245">
        <v>0</v>
      </c>
      <c r="G245">
        <v>0</v>
      </c>
      <c r="H245">
        <v>2368</v>
      </c>
      <c r="I245">
        <v>1784</v>
      </c>
      <c r="J245">
        <v>0</v>
      </c>
      <c r="K245">
        <v>100</v>
      </c>
      <c r="L245">
        <v>184</v>
      </c>
      <c r="M245">
        <v>6</v>
      </c>
      <c r="N245">
        <v>1</v>
      </c>
      <c r="O245">
        <v>210</v>
      </c>
      <c r="P245">
        <v>6</v>
      </c>
      <c r="Q245">
        <v>2</v>
      </c>
      <c r="R245">
        <v>404</v>
      </c>
      <c r="S245">
        <v>398</v>
      </c>
      <c r="T245">
        <v>26</v>
      </c>
    </row>
    <row r="246" spans="1:20" x14ac:dyDescent="0.35">
      <c r="A246" s="1">
        <v>45888</v>
      </c>
      <c r="B246" s="2">
        <v>0.80769114583333335</v>
      </c>
      <c r="C246">
        <v>79</v>
      </c>
      <c r="D246">
        <v>177</v>
      </c>
      <c r="E246">
        <v>0</v>
      </c>
      <c r="F246">
        <v>0</v>
      </c>
      <c r="G246">
        <v>0</v>
      </c>
      <c r="H246">
        <v>2368</v>
      </c>
      <c r="I246">
        <v>1784</v>
      </c>
      <c r="J246">
        <v>0</v>
      </c>
      <c r="K246">
        <v>100</v>
      </c>
      <c r="L246">
        <v>180</v>
      </c>
      <c r="M246">
        <v>6</v>
      </c>
      <c r="N246">
        <v>1</v>
      </c>
      <c r="O246">
        <v>203</v>
      </c>
      <c r="P246">
        <v>7</v>
      </c>
      <c r="Q246">
        <v>2</v>
      </c>
      <c r="R246">
        <v>404</v>
      </c>
      <c r="S246">
        <v>398</v>
      </c>
      <c r="T246">
        <v>73</v>
      </c>
    </row>
    <row r="247" spans="1:20" x14ac:dyDescent="0.35">
      <c r="A247" s="1">
        <v>45888</v>
      </c>
      <c r="B247" s="2">
        <v>0.80770706018518523</v>
      </c>
      <c r="C247">
        <v>79</v>
      </c>
      <c r="D247">
        <v>182</v>
      </c>
      <c r="E247">
        <v>0</v>
      </c>
      <c r="F247">
        <v>0</v>
      </c>
      <c r="G247">
        <v>0</v>
      </c>
      <c r="H247">
        <v>2368</v>
      </c>
      <c r="I247">
        <v>1784</v>
      </c>
      <c r="J247">
        <v>0</v>
      </c>
      <c r="K247">
        <v>100</v>
      </c>
      <c r="L247">
        <v>173</v>
      </c>
      <c r="M247">
        <v>6</v>
      </c>
      <c r="N247">
        <v>1</v>
      </c>
      <c r="O247">
        <v>205</v>
      </c>
      <c r="P247">
        <v>6</v>
      </c>
      <c r="Q247">
        <v>2</v>
      </c>
      <c r="R247">
        <v>404</v>
      </c>
      <c r="S247">
        <v>398</v>
      </c>
      <c r="T247">
        <v>90</v>
      </c>
    </row>
    <row r="248" spans="1:20" x14ac:dyDescent="0.35">
      <c r="A248" s="1">
        <v>45888</v>
      </c>
      <c r="B248" s="2">
        <v>0.80772302083333336</v>
      </c>
      <c r="C248">
        <v>79</v>
      </c>
      <c r="D248">
        <v>187</v>
      </c>
      <c r="E248">
        <v>0</v>
      </c>
      <c r="F248">
        <v>0</v>
      </c>
      <c r="G248">
        <v>0</v>
      </c>
      <c r="H248">
        <v>2368</v>
      </c>
      <c r="I248">
        <v>1784</v>
      </c>
      <c r="J248">
        <v>0</v>
      </c>
      <c r="K248">
        <v>100</v>
      </c>
      <c r="L248">
        <v>180</v>
      </c>
      <c r="M248">
        <v>6</v>
      </c>
      <c r="N248">
        <v>2</v>
      </c>
      <c r="O248">
        <v>202</v>
      </c>
      <c r="P248">
        <v>6</v>
      </c>
      <c r="Q248">
        <v>0</v>
      </c>
      <c r="R248">
        <v>405</v>
      </c>
      <c r="S248">
        <v>398</v>
      </c>
      <c r="T248">
        <v>234</v>
      </c>
    </row>
    <row r="249" spans="1:20" x14ac:dyDescent="0.35">
      <c r="A249" s="1">
        <v>45888</v>
      </c>
      <c r="B249" s="2">
        <v>0.80773880787037033</v>
      </c>
      <c r="C249">
        <v>79</v>
      </c>
      <c r="D249">
        <v>192</v>
      </c>
      <c r="E249">
        <v>0</v>
      </c>
      <c r="F249">
        <v>0</v>
      </c>
      <c r="G249">
        <v>0</v>
      </c>
      <c r="H249">
        <v>2368</v>
      </c>
      <c r="I249">
        <v>1784</v>
      </c>
      <c r="J249">
        <v>0</v>
      </c>
      <c r="K249">
        <v>100</v>
      </c>
      <c r="L249">
        <v>179</v>
      </c>
      <c r="M249">
        <v>6</v>
      </c>
      <c r="N249">
        <v>1</v>
      </c>
      <c r="O249">
        <v>204</v>
      </c>
      <c r="P249">
        <v>6</v>
      </c>
      <c r="Q249">
        <v>0</v>
      </c>
      <c r="R249">
        <v>405</v>
      </c>
      <c r="S249">
        <v>398</v>
      </c>
      <c r="T249">
        <v>252</v>
      </c>
    </row>
    <row r="250" spans="1:20" x14ac:dyDescent="0.35">
      <c r="A250" s="1">
        <v>45888</v>
      </c>
      <c r="B250" s="2">
        <v>0.80775459490740742</v>
      </c>
      <c r="C250">
        <v>79</v>
      </c>
      <c r="D250">
        <v>197</v>
      </c>
      <c r="E250">
        <v>0</v>
      </c>
      <c r="F250">
        <v>0</v>
      </c>
      <c r="G250">
        <v>0</v>
      </c>
      <c r="H250">
        <v>2368</v>
      </c>
      <c r="I250">
        <v>1784</v>
      </c>
      <c r="J250">
        <v>0</v>
      </c>
      <c r="K250">
        <v>100</v>
      </c>
      <c r="L250">
        <v>179</v>
      </c>
      <c r="M250">
        <v>6</v>
      </c>
      <c r="N250">
        <v>1</v>
      </c>
      <c r="O250">
        <v>205</v>
      </c>
      <c r="P250">
        <v>6</v>
      </c>
      <c r="Q250">
        <v>0</v>
      </c>
      <c r="R250">
        <v>404</v>
      </c>
      <c r="S250">
        <v>398</v>
      </c>
      <c r="T250">
        <v>40</v>
      </c>
    </row>
    <row r="251" spans="1:20" x14ac:dyDescent="0.35">
      <c r="A251" s="1">
        <v>45888</v>
      </c>
      <c r="B251" s="2">
        <v>0.8077703819444445</v>
      </c>
      <c r="C251">
        <v>79</v>
      </c>
      <c r="D251">
        <v>202</v>
      </c>
      <c r="E251">
        <v>0</v>
      </c>
      <c r="F251">
        <v>0</v>
      </c>
      <c r="G251">
        <v>0</v>
      </c>
      <c r="H251">
        <v>2368</v>
      </c>
      <c r="I251">
        <v>1784</v>
      </c>
      <c r="J251">
        <v>0</v>
      </c>
      <c r="K251">
        <v>100</v>
      </c>
      <c r="L251">
        <v>172</v>
      </c>
      <c r="M251">
        <v>6</v>
      </c>
      <c r="N251">
        <v>1</v>
      </c>
      <c r="O251">
        <v>200</v>
      </c>
      <c r="P251">
        <v>6</v>
      </c>
      <c r="Q251">
        <v>1</v>
      </c>
      <c r="R251">
        <v>404</v>
      </c>
      <c r="S251">
        <v>396</v>
      </c>
      <c r="T251">
        <v>67</v>
      </c>
    </row>
    <row r="252" spans="1:20" x14ac:dyDescent="0.35">
      <c r="A252" s="1">
        <v>45888</v>
      </c>
      <c r="B252" s="2">
        <v>0.80778634259259263</v>
      </c>
      <c r="C252">
        <v>79</v>
      </c>
      <c r="D252">
        <v>207</v>
      </c>
      <c r="E252">
        <v>0</v>
      </c>
      <c r="F252">
        <v>0</v>
      </c>
      <c r="G252">
        <v>0</v>
      </c>
      <c r="H252">
        <v>2368</v>
      </c>
      <c r="I252">
        <v>1784</v>
      </c>
      <c r="J252">
        <v>0</v>
      </c>
      <c r="K252">
        <v>100</v>
      </c>
      <c r="L252">
        <v>175</v>
      </c>
      <c r="M252">
        <v>6</v>
      </c>
      <c r="N252">
        <v>1</v>
      </c>
      <c r="O252">
        <v>203</v>
      </c>
      <c r="P252">
        <v>7</v>
      </c>
      <c r="Q252">
        <v>2</v>
      </c>
      <c r="R252">
        <v>404</v>
      </c>
      <c r="S252">
        <v>398</v>
      </c>
      <c r="T252">
        <v>161</v>
      </c>
    </row>
    <row r="253" spans="1:20" x14ac:dyDescent="0.35">
      <c r="A253" s="1">
        <v>45888</v>
      </c>
      <c r="B253" s="2">
        <v>0.80780232638888883</v>
      </c>
      <c r="C253">
        <v>79</v>
      </c>
      <c r="D253">
        <v>212</v>
      </c>
      <c r="E253">
        <v>0</v>
      </c>
      <c r="F253">
        <v>0</v>
      </c>
      <c r="G253">
        <v>0</v>
      </c>
      <c r="H253">
        <v>2368</v>
      </c>
      <c r="I253">
        <v>1784</v>
      </c>
      <c r="J253">
        <v>0</v>
      </c>
      <c r="K253">
        <v>100</v>
      </c>
      <c r="L253">
        <v>181</v>
      </c>
      <c r="M253">
        <v>6</v>
      </c>
      <c r="N253">
        <v>1</v>
      </c>
      <c r="O253">
        <v>203</v>
      </c>
      <c r="P253">
        <v>7</v>
      </c>
      <c r="Q253">
        <v>0</v>
      </c>
      <c r="R253">
        <v>405</v>
      </c>
      <c r="S253">
        <v>398</v>
      </c>
      <c r="T253">
        <v>237</v>
      </c>
    </row>
    <row r="254" spans="1:20" x14ac:dyDescent="0.35">
      <c r="A254" s="1">
        <v>45888</v>
      </c>
      <c r="B254" s="2">
        <v>0.80781829861111121</v>
      </c>
      <c r="C254">
        <v>79</v>
      </c>
      <c r="D254">
        <v>217</v>
      </c>
      <c r="E254">
        <v>0</v>
      </c>
      <c r="F254">
        <v>0</v>
      </c>
      <c r="G254">
        <v>0</v>
      </c>
      <c r="H254">
        <v>2368</v>
      </c>
      <c r="I254">
        <v>1784</v>
      </c>
      <c r="J254">
        <v>0</v>
      </c>
      <c r="K254">
        <v>100</v>
      </c>
      <c r="L254">
        <v>176</v>
      </c>
      <c r="M254">
        <v>6</v>
      </c>
      <c r="N254">
        <v>2</v>
      </c>
      <c r="O254">
        <v>204</v>
      </c>
      <c r="P254">
        <v>7</v>
      </c>
      <c r="Q254">
        <v>2</v>
      </c>
      <c r="R254">
        <v>404</v>
      </c>
      <c r="S254">
        <v>398</v>
      </c>
      <c r="T254">
        <v>85</v>
      </c>
    </row>
    <row r="255" spans="1:20" x14ac:dyDescent="0.35">
      <c r="A255" s="1">
        <v>45888</v>
      </c>
      <c r="B255" s="2">
        <v>0.80783427083333326</v>
      </c>
      <c r="C255">
        <v>79</v>
      </c>
      <c r="D255">
        <v>222</v>
      </c>
      <c r="E255">
        <v>0</v>
      </c>
      <c r="F255">
        <v>0</v>
      </c>
      <c r="G255">
        <v>0</v>
      </c>
      <c r="H255">
        <v>2368</v>
      </c>
      <c r="I255">
        <v>1784</v>
      </c>
      <c r="J255">
        <v>0</v>
      </c>
      <c r="K255">
        <v>100</v>
      </c>
      <c r="L255">
        <v>179</v>
      </c>
      <c r="M255">
        <v>6</v>
      </c>
      <c r="N255">
        <v>1</v>
      </c>
      <c r="O255">
        <v>210</v>
      </c>
      <c r="P255">
        <v>6</v>
      </c>
      <c r="Q255">
        <v>1</v>
      </c>
      <c r="R255">
        <v>405</v>
      </c>
      <c r="S255">
        <v>398</v>
      </c>
      <c r="T255">
        <v>81</v>
      </c>
    </row>
    <row r="256" spans="1:20" x14ac:dyDescent="0.35">
      <c r="A256" s="1">
        <v>45888</v>
      </c>
      <c r="B256" s="2">
        <v>0.80785005787037034</v>
      </c>
      <c r="C256">
        <v>79</v>
      </c>
      <c r="D256">
        <v>227</v>
      </c>
      <c r="E256">
        <v>0</v>
      </c>
      <c r="F256">
        <v>0</v>
      </c>
      <c r="G256">
        <v>0</v>
      </c>
      <c r="H256">
        <v>2368</v>
      </c>
      <c r="I256">
        <v>1784</v>
      </c>
      <c r="J256">
        <v>0</v>
      </c>
      <c r="K256">
        <v>100</v>
      </c>
      <c r="L256">
        <v>186</v>
      </c>
      <c r="M256">
        <v>6</v>
      </c>
      <c r="N256">
        <v>0</v>
      </c>
      <c r="O256">
        <v>217</v>
      </c>
      <c r="P256">
        <v>7</v>
      </c>
      <c r="Q256">
        <v>2</v>
      </c>
      <c r="R256">
        <v>404</v>
      </c>
      <c r="S256">
        <v>398</v>
      </c>
      <c r="T256">
        <v>29</v>
      </c>
    </row>
    <row r="257" spans="1:20" x14ac:dyDescent="0.35">
      <c r="A257" s="1">
        <v>45888</v>
      </c>
      <c r="B257" s="2">
        <v>0.80786584490740732</v>
      </c>
      <c r="C257">
        <v>79</v>
      </c>
      <c r="D257">
        <v>232</v>
      </c>
      <c r="E257">
        <v>0</v>
      </c>
      <c r="F257">
        <v>0</v>
      </c>
      <c r="G257">
        <v>0</v>
      </c>
      <c r="H257">
        <v>2368</v>
      </c>
      <c r="I257">
        <v>1784</v>
      </c>
      <c r="J257">
        <v>0</v>
      </c>
      <c r="K257">
        <v>100</v>
      </c>
      <c r="L257">
        <v>179</v>
      </c>
      <c r="M257">
        <v>6</v>
      </c>
      <c r="N257">
        <v>0</v>
      </c>
      <c r="O257">
        <v>225</v>
      </c>
      <c r="P257">
        <v>8</v>
      </c>
      <c r="Q257">
        <v>0</v>
      </c>
      <c r="R257">
        <v>404</v>
      </c>
      <c r="S257">
        <v>398</v>
      </c>
      <c r="T257">
        <v>218</v>
      </c>
    </row>
    <row r="258" spans="1:20" x14ac:dyDescent="0.35">
      <c r="A258" s="1">
        <v>45888</v>
      </c>
      <c r="B258" s="2">
        <v>0.8078818171296297</v>
      </c>
      <c r="C258">
        <v>79</v>
      </c>
      <c r="D258">
        <v>237</v>
      </c>
      <c r="E258">
        <v>0</v>
      </c>
      <c r="F258">
        <v>0</v>
      </c>
      <c r="G258">
        <v>0</v>
      </c>
      <c r="H258">
        <v>2368</v>
      </c>
      <c r="I258">
        <v>1784</v>
      </c>
      <c r="J258">
        <v>0</v>
      </c>
      <c r="K258">
        <v>100</v>
      </c>
      <c r="L258">
        <v>179</v>
      </c>
      <c r="M258">
        <v>6</v>
      </c>
      <c r="N258">
        <v>1</v>
      </c>
      <c r="O258">
        <v>243</v>
      </c>
      <c r="P258">
        <v>8</v>
      </c>
      <c r="Q258">
        <v>2</v>
      </c>
      <c r="R258">
        <v>404</v>
      </c>
      <c r="S258">
        <v>398</v>
      </c>
      <c r="T258">
        <v>176</v>
      </c>
    </row>
    <row r="259" spans="1:20" x14ac:dyDescent="0.35">
      <c r="A259" s="1">
        <v>45888</v>
      </c>
      <c r="B259" s="2">
        <v>0.80789761574074082</v>
      </c>
      <c r="C259">
        <v>79</v>
      </c>
      <c r="D259">
        <v>242</v>
      </c>
      <c r="E259">
        <v>0</v>
      </c>
      <c r="F259">
        <v>0</v>
      </c>
      <c r="G259">
        <v>0</v>
      </c>
      <c r="H259">
        <v>2368</v>
      </c>
      <c r="I259">
        <v>1784</v>
      </c>
      <c r="J259">
        <v>0</v>
      </c>
      <c r="K259">
        <v>100</v>
      </c>
      <c r="L259">
        <v>173</v>
      </c>
      <c r="M259">
        <v>6</v>
      </c>
      <c r="N259">
        <v>2</v>
      </c>
      <c r="O259">
        <v>259</v>
      </c>
      <c r="P259">
        <v>8</v>
      </c>
      <c r="Q259">
        <v>2</v>
      </c>
      <c r="R259">
        <v>405</v>
      </c>
      <c r="S259">
        <v>398</v>
      </c>
      <c r="T259">
        <v>245</v>
      </c>
    </row>
    <row r="260" spans="1:20" x14ac:dyDescent="0.35">
      <c r="A260" s="1">
        <v>45888</v>
      </c>
      <c r="B260" s="2">
        <v>0.80791356481481491</v>
      </c>
      <c r="C260">
        <v>79</v>
      </c>
      <c r="D260">
        <v>247</v>
      </c>
      <c r="E260">
        <v>0</v>
      </c>
      <c r="F260">
        <v>0</v>
      </c>
      <c r="G260">
        <v>0</v>
      </c>
      <c r="H260">
        <v>2368</v>
      </c>
      <c r="I260">
        <v>1784</v>
      </c>
      <c r="J260">
        <v>0</v>
      </c>
      <c r="K260">
        <v>100</v>
      </c>
      <c r="L260">
        <v>178</v>
      </c>
      <c r="M260">
        <v>6</v>
      </c>
      <c r="N260">
        <v>1</v>
      </c>
      <c r="O260">
        <v>285</v>
      </c>
      <c r="P260">
        <v>8</v>
      </c>
      <c r="Q260">
        <v>2</v>
      </c>
      <c r="R260">
        <v>404</v>
      </c>
      <c r="S260">
        <v>398</v>
      </c>
      <c r="T260">
        <v>252</v>
      </c>
    </row>
    <row r="261" spans="1:20" x14ac:dyDescent="0.35">
      <c r="A261" s="1">
        <v>45888</v>
      </c>
      <c r="B261" s="2">
        <v>0.8079295486111111</v>
      </c>
      <c r="C261">
        <v>79</v>
      </c>
      <c r="D261">
        <v>252</v>
      </c>
      <c r="E261">
        <v>0</v>
      </c>
      <c r="F261">
        <v>0</v>
      </c>
      <c r="G261">
        <v>0</v>
      </c>
      <c r="H261">
        <v>2368</v>
      </c>
      <c r="I261">
        <v>1784</v>
      </c>
      <c r="J261">
        <v>0</v>
      </c>
      <c r="K261">
        <v>100</v>
      </c>
      <c r="L261">
        <v>174</v>
      </c>
      <c r="M261">
        <v>6</v>
      </c>
      <c r="N261">
        <v>0</v>
      </c>
      <c r="O261">
        <v>314</v>
      </c>
      <c r="P261">
        <v>10</v>
      </c>
      <c r="Q261">
        <v>2</v>
      </c>
      <c r="R261">
        <v>404</v>
      </c>
      <c r="S261">
        <v>398</v>
      </c>
      <c r="T261">
        <v>130</v>
      </c>
    </row>
    <row r="262" spans="1:20" x14ac:dyDescent="0.35">
      <c r="A262" s="1">
        <v>45888</v>
      </c>
      <c r="B262" s="2">
        <v>0.80794553240740752</v>
      </c>
      <c r="C262">
        <v>79</v>
      </c>
      <c r="D262">
        <v>1</v>
      </c>
      <c r="E262">
        <v>0</v>
      </c>
      <c r="F262">
        <v>0</v>
      </c>
      <c r="G262">
        <v>0</v>
      </c>
      <c r="H262">
        <v>2368</v>
      </c>
      <c r="I262">
        <v>1784</v>
      </c>
      <c r="J262">
        <v>0</v>
      </c>
      <c r="K262">
        <v>100</v>
      </c>
      <c r="L262">
        <v>178</v>
      </c>
      <c r="M262">
        <v>6</v>
      </c>
      <c r="N262">
        <v>1</v>
      </c>
      <c r="O262">
        <v>345</v>
      </c>
      <c r="P262">
        <v>11</v>
      </c>
      <c r="Q262">
        <v>2</v>
      </c>
      <c r="R262">
        <v>404</v>
      </c>
      <c r="S262">
        <v>398</v>
      </c>
      <c r="T262">
        <v>43</v>
      </c>
    </row>
    <row r="263" spans="1:20" x14ac:dyDescent="0.35">
      <c r="A263" s="1">
        <v>45888</v>
      </c>
      <c r="B263" s="2">
        <v>0.80796149305555565</v>
      </c>
      <c r="C263">
        <v>79</v>
      </c>
      <c r="D263">
        <v>6</v>
      </c>
      <c r="E263">
        <v>0</v>
      </c>
      <c r="F263">
        <v>0</v>
      </c>
      <c r="G263">
        <v>0</v>
      </c>
      <c r="H263">
        <v>2368</v>
      </c>
      <c r="I263">
        <v>1784</v>
      </c>
      <c r="J263">
        <v>0</v>
      </c>
      <c r="K263">
        <v>100</v>
      </c>
      <c r="L263">
        <v>174</v>
      </c>
      <c r="M263">
        <v>6</v>
      </c>
      <c r="N263">
        <v>0</v>
      </c>
      <c r="O263">
        <v>381</v>
      </c>
      <c r="P263">
        <v>13</v>
      </c>
      <c r="Q263">
        <v>2</v>
      </c>
      <c r="R263">
        <v>404</v>
      </c>
      <c r="S263">
        <v>398</v>
      </c>
      <c r="T263">
        <v>164</v>
      </c>
    </row>
    <row r="264" spans="1:20" x14ac:dyDescent="0.35">
      <c r="A264" s="1">
        <v>45888</v>
      </c>
      <c r="B264" s="2">
        <v>0.8079774305555556</v>
      </c>
      <c r="C264">
        <v>79</v>
      </c>
      <c r="D264">
        <v>11</v>
      </c>
      <c r="E264">
        <v>0</v>
      </c>
      <c r="F264">
        <v>0</v>
      </c>
      <c r="G264">
        <v>0</v>
      </c>
      <c r="H264">
        <v>2368</v>
      </c>
      <c r="I264">
        <v>1784</v>
      </c>
      <c r="J264">
        <v>0</v>
      </c>
      <c r="K264">
        <v>100</v>
      </c>
      <c r="L264">
        <v>186</v>
      </c>
      <c r="M264">
        <v>6</v>
      </c>
      <c r="N264">
        <v>2</v>
      </c>
      <c r="O264">
        <v>459</v>
      </c>
      <c r="P264">
        <v>16</v>
      </c>
      <c r="Q264">
        <v>1</v>
      </c>
      <c r="R264">
        <v>404</v>
      </c>
      <c r="S264">
        <v>398</v>
      </c>
      <c r="T264">
        <v>136</v>
      </c>
    </row>
    <row r="265" spans="1:20" x14ac:dyDescent="0.35">
      <c r="A265" s="1">
        <v>45888</v>
      </c>
      <c r="B265" s="2">
        <v>0.80799325231481478</v>
      </c>
      <c r="C265">
        <v>79</v>
      </c>
      <c r="D265">
        <v>16</v>
      </c>
      <c r="E265">
        <v>0</v>
      </c>
      <c r="F265">
        <v>0</v>
      </c>
      <c r="G265">
        <v>0</v>
      </c>
      <c r="H265">
        <v>2368</v>
      </c>
      <c r="I265">
        <v>1784</v>
      </c>
      <c r="J265">
        <v>0</v>
      </c>
      <c r="K265">
        <v>100</v>
      </c>
      <c r="L265">
        <v>173</v>
      </c>
      <c r="M265">
        <v>6</v>
      </c>
      <c r="N265">
        <v>0</v>
      </c>
      <c r="O265">
        <v>560</v>
      </c>
      <c r="P265">
        <v>18</v>
      </c>
      <c r="Q265">
        <v>0</v>
      </c>
      <c r="R265">
        <v>404</v>
      </c>
      <c r="S265">
        <v>399</v>
      </c>
      <c r="T265">
        <v>1</v>
      </c>
    </row>
    <row r="266" spans="1:20" x14ac:dyDescent="0.35">
      <c r="A266" s="1">
        <v>45888</v>
      </c>
      <c r="B266" s="2">
        <v>0.80800900462962966</v>
      </c>
      <c r="C266">
        <v>79</v>
      </c>
      <c r="D266">
        <v>21</v>
      </c>
      <c r="E266">
        <v>0</v>
      </c>
      <c r="F266">
        <v>0</v>
      </c>
      <c r="G266">
        <v>0</v>
      </c>
      <c r="H266">
        <v>2368</v>
      </c>
      <c r="I266">
        <v>1784</v>
      </c>
      <c r="J266">
        <v>0</v>
      </c>
      <c r="K266">
        <v>100</v>
      </c>
      <c r="L266">
        <v>178</v>
      </c>
      <c r="M266">
        <v>6</v>
      </c>
      <c r="N266">
        <v>0</v>
      </c>
      <c r="O266">
        <v>749</v>
      </c>
      <c r="P266">
        <v>24</v>
      </c>
      <c r="Q266">
        <v>2</v>
      </c>
      <c r="R266">
        <v>404</v>
      </c>
      <c r="S266">
        <v>397</v>
      </c>
      <c r="T266">
        <v>126</v>
      </c>
    </row>
    <row r="267" spans="1:20" x14ac:dyDescent="0.35">
      <c r="A267" s="1">
        <v>45888</v>
      </c>
      <c r="B267" s="2">
        <v>0.80802495370370375</v>
      </c>
      <c r="C267">
        <v>79</v>
      </c>
      <c r="D267">
        <v>26</v>
      </c>
      <c r="E267">
        <v>0</v>
      </c>
      <c r="F267">
        <v>0</v>
      </c>
      <c r="G267">
        <v>0</v>
      </c>
      <c r="H267">
        <v>2368</v>
      </c>
      <c r="I267">
        <v>1784</v>
      </c>
      <c r="J267">
        <v>0</v>
      </c>
      <c r="K267">
        <v>100</v>
      </c>
      <c r="L267">
        <v>177</v>
      </c>
      <c r="M267">
        <v>4</v>
      </c>
      <c r="N267">
        <v>0</v>
      </c>
      <c r="O267">
        <v>966</v>
      </c>
      <c r="P267">
        <v>32</v>
      </c>
      <c r="Q267">
        <v>2</v>
      </c>
      <c r="R267">
        <v>404</v>
      </c>
      <c r="S267">
        <v>398</v>
      </c>
      <c r="T267">
        <v>122</v>
      </c>
    </row>
    <row r="268" spans="1:20" x14ac:dyDescent="0.35">
      <c r="A268" s="1">
        <v>45888</v>
      </c>
      <c r="B268" s="2">
        <v>0.80804074074074073</v>
      </c>
      <c r="C268">
        <v>79</v>
      </c>
      <c r="D268">
        <v>31</v>
      </c>
      <c r="E268">
        <v>0</v>
      </c>
      <c r="F268">
        <v>0</v>
      </c>
      <c r="G268">
        <v>0</v>
      </c>
      <c r="H268">
        <v>2368</v>
      </c>
      <c r="I268">
        <v>1784</v>
      </c>
      <c r="J268">
        <v>0</v>
      </c>
      <c r="K268">
        <v>100</v>
      </c>
      <c r="L268">
        <v>182</v>
      </c>
      <c r="M268">
        <v>6</v>
      </c>
      <c r="N268">
        <v>1</v>
      </c>
      <c r="O268">
        <v>1260</v>
      </c>
      <c r="P268">
        <v>42</v>
      </c>
      <c r="Q268">
        <v>3</v>
      </c>
      <c r="R268">
        <v>404</v>
      </c>
      <c r="S268">
        <v>398</v>
      </c>
      <c r="T268">
        <v>158</v>
      </c>
    </row>
    <row r="269" spans="1:20" x14ac:dyDescent="0.35">
      <c r="A269" s="1">
        <v>45888</v>
      </c>
      <c r="B269" s="2">
        <v>0.808056712962963</v>
      </c>
      <c r="C269">
        <v>79</v>
      </c>
      <c r="D269">
        <v>36</v>
      </c>
      <c r="E269">
        <v>0</v>
      </c>
      <c r="F269">
        <v>0</v>
      </c>
      <c r="G269">
        <v>0</v>
      </c>
      <c r="H269">
        <v>2368</v>
      </c>
      <c r="I269">
        <v>1784</v>
      </c>
      <c r="J269">
        <v>0</v>
      </c>
      <c r="K269">
        <v>100</v>
      </c>
      <c r="L269">
        <v>173</v>
      </c>
      <c r="M269">
        <v>4</v>
      </c>
      <c r="N269">
        <v>1</v>
      </c>
      <c r="O269">
        <v>1537</v>
      </c>
      <c r="P269">
        <v>52</v>
      </c>
      <c r="Q269">
        <v>3</v>
      </c>
      <c r="R269">
        <v>404</v>
      </c>
      <c r="S269">
        <v>397</v>
      </c>
      <c r="T269">
        <v>102</v>
      </c>
    </row>
    <row r="270" spans="1:20" x14ac:dyDescent="0.35">
      <c r="A270" s="1">
        <v>45888</v>
      </c>
      <c r="B270" s="2">
        <v>0.80807252314814815</v>
      </c>
      <c r="C270">
        <v>79</v>
      </c>
      <c r="D270">
        <v>41</v>
      </c>
      <c r="E270">
        <v>0</v>
      </c>
      <c r="F270">
        <v>0</v>
      </c>
      <c r="G270">
        <v>0</v>
      </c>
      <c r="H270">
        <v>2368</v>
      </c>
      <c r="I270">
        <v>1784</v>
      </c>
      <c r="J270">
        <v>0</v>
      </c>
      <c r="K270">
        <v>100</v>
      </c>
      <c r="L270">
        <v>180</v>
      </c>
      <c r="M270">
        <v>6</v>
      </c>
      <c r="N270">
        <v>1</v>
      </c>
      <c r="O270">
        <v>1840</v>
      </c>
      <c r="P270">
        <v>62</v>
      </c>
      <c r="Q270">
        <v>3</v>
      </c>
      <c r="R270">
        <v>404</v>
      </c>
      <c r="S270">
        <v>398</v>
      </c>
      <c r="T270">
        <v>220</v>
      </c>
    </row>
    <row r="271" spans="1:20" x14ac:dyDescent="0.35">
      <c r="A271" s="1">
        <v>45888</v>
      </c>
      <c r="B271" s="2">
        <v>0.80808829861111109</v>
      </c>
      <c r="C271">
        <v>79</v>
      </c>
      <c r="D271">
        <v>46</v>
      </c>
      <c r="E271">
        <v>0</v>
      </c>
      <c r="F271">
        <v>0</v>
      </c>
      <c r="G271">
        <v>0</v>
      </c>
      <c r="H271">
        <v>2368</v>
      </c>
      <c r="I271">
        <v>1784</v>
      </c>
      <c r="J271">
        <v>0</v>
      </c>
      <c r="K271">
        <v>100</v>
      </c>
      <c r="L271">
        <v>176</v>
      </c>
      <c r="M271">
        <v>6</v>
      </c>
      <c r="N271">
        <v>1</v>
      </c>
      <c r="O271">
        <v>2119</v>
      </c>
      <c r="P271">
        <v>72</v>
      </c>
      <c r="Q271">
        <v>3</v>
      </c>
      <c r="R271">
        <v>404</v>
      </c>
      <c r="S271">
        <v>398</v>
      </c>
      <c r="T271">
        <v>235</v>
      </c>
    </row>
    <row r="272" spans="1:20" x14ac:dyDescent="0.35">
      <c r="A272" s="1">
        <v>45888</v>
      </c>
      <c r="B272" s="2">
        <v>0.80810431712962971</v>
      </c>
      <c r="C272">
        <v>79</v>
      </c>
      <c r="D272">
        <v>51</v>
      </c>
      <c r="E272">
        <v>0</v>
      </c>
      <c r="F272">
        <v>0</v>
      </c>
      <c r="G272">
        <v>0</v>
      </c>
      <c r="H272">
        <v>2368</v>
      </c>
      <c r="I272">
        <v>1784</v>
      </c>
      <c r="J272">
        <v>0</v>
      </c>
      <c r="K272">
        <v>100</v>
      </c>
      <c r="L272">
        <v>173</v>
      </c>
      <c r="M272">
        <v>6</v>
      </c>
      <c r="N272">
        <v>0</v>
      </c>
      <c r="O272">
        <v>2448</v>
      </c>
      <c r="P272">
        <v>83</v>
      </c>
      <c r="Q272">
        <v>3</v>
      </c>
      <c r="R272">
        <v>404</v>
      </c>
      <c r="S272">
        <v>398</v>
      </c>
      <c r="T272">
        <v>101</v>
      </c>
    </row>
    <row r="273" spans="1:20" x14ac:dyDescent="0.35">
      <c r="A273" s="1">
        <v>45888</v>
      </c>
      <c r="B273" s="2">
        <v>0.80812033564814811</v>
      </c>
      <c r="C273">
        <v>79</v>
      </c>
      <c r="D273">
        <v>56</v>
      </c>
      <c r="E273">
        <v>0</v>
      </c>
      <c r="F273">
        <v>0</v>
      </c>
      <c r="G273">
        <v>0</v>
      </c>
      <c r="H273">
        <v>2368</v>
      </c>
      <c r="I273">
        <v>1784</v>
      </c>
      <c r="J273">
        <v>0</v>
      </c>
      <c r="K273">
        <v>100</v>
      </c>
      <c r="L273">
        <v>178</v>
      </c>
      <c r="M273">
        <v>6</v>
      </c>
      <c r="N273">
        <v>1</v>
      </c>
      <c r="O273">
        <v>2749</v>
      </c>
      <c r="P273">
        <v>93</v>
      </c>
      <c r="Q273">
        <v>4</v>
      </c>
      <c r="R273">
        <v>404</v>
      </c>
      <c r="S273">
        <v>398</v>
      </c>
      <c r="T273">
        <v>254</v>
      </c>
    </row>
    <row r="274" spans="1:20" x14ac:dyDescent="0.35">
      <c r="A274" s="1">
        <v>45888</v>
      </c>
      <c r="B274" s="2">
        <v>0.80813633101851856</v>
      </c>
      <c r="C274">
        <v>79</v>
      </c>
      <c r="D274">
        <v>61</v>
      </c>
      <c r="E274">
        <v>0</v>
      </c>
      <c r="F274">
        <v>0</v>
      </c>
      <c r="G274">
        <v>0</v>
      </c>
      <c r="H274">
        <v>2368</v>
      </c>
      <c r="I274">
        <v>1784</v>
      </c>
      <c r="J274">
        <v>0</v>
      </c>
      <c r="K274">
        <v>100</v>
      </c>
      <c r="L274">
        <v>172</v>
      </c>
      <c r="M274">
        <v>6</v>
      </c>
      <c r="N274">
        <v>2</v>
      </c>
      <c r="O274">
        <v>3110</v>
      </c>
      <c r="P274">
        <v>106</v>
      </c>
      <c r="Q274">
        <v>5</v>
      </c>
      <c r="R274">
        <v>404</v>
      </c>
      <c r="S274">
        <v>398</v>
      </c>
      <c r="T274">
        <v>243</v>
      </c>
    </row>
    <row r="275" spans="1:20" x14ac:dyDescent="0.35">
      <c r="A275" s="1">
        <v>45888</v>
      </c>
      <c r="B275" s="2">
        <v>0.80815234953703696</v>
      </c>
      <c r="C275">
        <v>79</v>
      </c>
      <c r="D275">
        <v>66</v>
      </c>
      <c r="E275">
        <v>0</v>
      </c>
      <c r="F275">
        <v>0</v>
      </c>
      <c r="G275">
        <v>0</v>
      </c>
      <c r="H275">
        <v>2368</v>
      </c>
      <c r="I275">
        <v>1784</v>
      </c>
      <c r="J275">
        <v>0</v>
      </c>
      <c r="K275">
        <v>100</v>
      </c>
      <c r="L275">
        <v>168</v>
      </c>
      <c r="M275">
        <v>6</v>
      </c>
      <c r="N275">
        <v>1</v>
      </c>
      <c r="O275">
        <v>3451</v>
      </c>
      <c r="P275">
        <v>117</v>
      </c>
      <c r="Q275">
        <v>5</v>
      </c>
      <c r="R275">
        <v>404</v>
      </c>
      <c r="S275">
        <v>398</v>
      </c>
      <c r="T275">
        <v>82</v>
      </c>
    </row>
    <row r="276" spans="1:20" x14ac:dyDescent="0.35">
      <c r="A276" s="1">
        <v>45888</v>
      </c>
      <c r="B276" s="2">
        <v>0.80816832175925923</v>
      </c>
      <c r="C276">
        <v>79</v>
      </c>
      <c r="D276">
        <v>71</v>
      </c>
      <c r="E276">
        <v>0</v>
      </c>
      <c r="F276">
        <v>0</v>
      </c>
      <c r="G276">
        <v>0</v>
      </c>
      <c r="H276">
        <v>2368</v>
      </c>
      <c r="I276">
        <v>1784</v>
      </c>
      <c r="J276">
        <v>0</v>
      </c>
      <c r="K276">
        <v>100</v>
      </c>
      <c r="L276">
        <v>173</v>
      </c>
      <c r="M276">
        <v>6</v>
      </c>
      <c r="N276">
        <v>1</v>
      </c>
      <c r="O276">
        <v>3829</v>
      </c>
      <c r="P276">
        <v>129</v>
      </c>
      <c r="Q276">
        <v>5</v>
      </c>
      <c r="R276">
        <v>404</v>
      </c>
      <c r="S276">
        <v>398</v>
      </c>
      <c r="T276">
        <v>111</v>
      </c>
    </row>
    <row r="277" spans="1:20" x14ac:dyDescent="0.35">
      <c r="A277" s="1">
        <v>45888</v>
      </c>
      <c r="B277" s="2">
        <v>0.80818416666666659</v>
      </c>
      <c r="C277">
        <v>79</v>
      </c>
      <c r="D277">
        <v>76</v>
      </c>
      <c r="E277">
        <v>0</v>
      </c>
      <c r="F277">
        <v>0</v>
      </c>
      <c r="G277">
        <v>0</v>
      </c>
      <c r="H277">
        <v>2368</v>
      </c>
      <c r="I277">
        <v>1784</v>
      </c>
      <c r="J277">
        <v>0</v>
      </c>
      <c r="K277">
        <v>100</v>
      </c>
      <c r="L277">
        <v>180</v>
      </c>
      <c r="M277">
        <v>6</v>
      </c>
      <c r="N277">
        <v>1</v>
      </c>
      <c r="O277">
        <v>3915</v>
      </c>
      <c r="P277">
        <v>140</v>
      </c>
      <c r="Q277">
        <v>6</v>
      </c>
      <c r="R277">
        <v>404</v>
      </c>
      <c r="S277">
        <v>398</v>
      </c>
      <c r="T277">
        <v>95</v>
      </c>
    </row>
    <row r="278" spans="1:20" x14ac:dyDescent="0.35">
      <c r="A278" s="1">
        <v>45888</v>
      </c>
      <c r="B278" s="2">
        <v>0.8082001157407408</v>
      </c>
      <c r="C278">
        <v>79</v>
      </c>
      <c r="D278">
        <v>81</v>
      </c>
      <c r="E278">
        <v>0</v>
      </c>
      <c r="F278">
        <v>0</v>
      </c>
      <c r="G278">
        <v>0</v>
      </c>
      <c r="H278">
        <v>2368</v>
      </c>
      <c r="I278">
        <v>1784</v>
      </c>
      <c r="J278">
        <v>0</v>
      </c>
      <c r="K278">
        <v>100</v>
      </c>
      <c r="L278">
        <v>164</v>
      </c>
      <c r="M278">
        <v>6</v>
      </c>
      <c r="N278">
        <v>1</v>
      </c>
      <c r="O278">
        <v>3942</v>
      </c>
      <c r="P278">
        <v>151</v>
      </c>
      <c r="Q278">
        <v>6</v>
      </c>
      <c r="R278">
        <v>405</v>
      </c>
      <c r="S278">
        <v>398</v>
      </c>
      <c r="T278">
        <v>132</v>
      </c>
    </row>
    <row r="279" spans="1:20" x14ac:dyDescent="0.35">
      <c r="A279" s="1">
        <v>45888</v>
      </c>
      <c r="B279" s="2">
        <v>0.80821609953703699</v>
      </c>
      <c r="C279">
        <v>79</v>
      </c>
      <c r="D279">
        <v>86</v>
      </c>
      <c r="E279">
        <v>0</v>
      </c>
      <c r="F279">
        <v>0</v>
      </c>
      <c r="G279">
        <v>0</v>
      </c>
      <c r="H279">
        <v>2368</v>
      </c>
      <c r="I279">
        <v>1784</v>
      </c>
      <c r="J279">
        <v>0</v>
      </c>
      <c r="K279">
        <v>100</v>
      </c>
      <c r="L279">
        <v>173</v>
      </c>
      <c r="M279">
        <v>6</v>
      </c>
      <c r="N279">
        <v>1</v>
      </c>
      <c r="O279">
        <v>3953</v>
      </c>
      <c r="P279">
        <v>159</v>
      </c>
      <c r="Q279">
        <v>6</v>
      </c>
      <c r="R279">
        <v>404</v>
      </c>
      <c r="S279">
        <v>398</v>
      </c>
      <c r="T279">
        <v>84</v>
      </c>
    </row>
    <row r="280" spans="1:20" x14ac:dyDescent="0.35">
      <c r="A280" s="1">
        <v>45888</v>
      </c>
      <c r="B280" s="2">
        <v>0.80823206018518523</v>
      </c>
      <c r="C280">
        <v>79</v>
      </c>
      <c r="D280">
        <v>91</v>
      </c>
      <c r="E280">
        <v>0</v>
      </c>
      <c r="F280">
        <v>0</v>
      </c>
      <c r="G280">
        <v>0</v>
      </c>
      <c r="H280">
        <v>2368</v>
      </c>
      <c r="I280">
        <v>1784</v>
      </c>
      <c r="J280">
        <v>0</v>
      </c>
      <c r="K280">
        <v>100</v>
      </c>
      <c r="L280">
        <v>178</v>
      </c>
      <c r="M280">
        <v>4</v>
      </c>
      <c r="N280">
        <v>2</v>
      </c>
      <c r="O280">
        <v>3955</v>
      </c>
      <c r="P280">
        <v>163</v>
      </c>
      <c r="Q280">
        <v>6</v>
      </c>
      <c r="R280">
        <v>405</v>
      </c>
      <c r="S280">
        <v>398</v>
      </c>
      <c r="T280">
        <v>207</v>
      </c>
    </row>
    <row r="281" spans="1:20" x14ac:dyDescent="0.35">
      <c r="A281" s="1">
        <v>45888</v>
      </c>
      <c r="B281" s="2">
        <v>0.80824797453703701</v>
      </c>
      <c r="C281">
        <v>79</v>
      </c>
      <c r="D281">
        <v>96</v>
      </c>
      <c r="E281">
        <v>0</v>
      </c>
      <c r="F281">
        <v>0</v>
      </c>
      <c r="G281">
        <v>0</v>
      </c>
      <c r="H281">
        <v>2368</v>
      </c>
      <c r="I281">
        <v>1784</v>
      </c>
      <c r="J281">
        <v>0</v>
      </c>
      <c r="K281">
        <v>100</v>
      </c>
      <c r="L281">
        <v>176</v>
      </c>
      <c r="M281">
        <v>6</v>
      </c>
      <c r="N281">
        <v>1</v>
      </c>
      <c r="O281">
        <v>3963</v>
      </c>
      <c r="P281">
        <v>170</v>
      </c>
      <c r="Q281">
        <v>6</v>
      </c>
      <c r="R281">
        <v>404</v>
      </c>
      <c r="S281">
        <v>398</v>
      </c>
      <c r="T281">
        <v>186</v>
      </c>
    </row>
    <row r="282" spans="1:20" x14ac:dyDescent="0.35">
      <c r="A282" s="1">
        <v>45888</v>
      </c>
      <c r="B282" s="2">
        <v>0.80826394675925928</v>
      </c>
      <c r="C282">
        <v>79</v>
      </c>
      <c r="D282">
        <v>101</v>
      </c>
      <c r="E282">
        <v>0</v>
      </c>
      <c r="F282">
        <v>0</v>
      </c>
      <c r="G282">
        <v>0</v>
      </c>
      <c r="H282">
        <v>2368</v>
      </c>
      <c r="I282">
        <v>1784</v>
      </c>
      <c r="J282">
        <v>0</v>
      </c>
      <c r="K282">
        <v>100</v>
      </c>
      <c r="L282">
        <v>178</v>
      </c>
      <c r="M282">
        <v>6</v>
      </c>
      <c r="N282">
        <v>0</v>
      </c>
      <c r="O282">
        <v>3969</v>
      </c>
      <c r="P282">
        <v>179</v>
      </c>
      <c r="Q282">
        <v>7</v>
      </c>
      <c r="R282">
        <v>404</v>
      </c>
      <c r="S282">
        <v>398</v>
      </c>
      <c r="T282">
        <v>31</v>
      </c>
    </row>
    <row r="283" spans="1:20" x14ac:dyDescent="0.35">
      <c r="A283" s="1">
        <v>45888</v>
      </c>
      <c r="B283" s="2">
        <v>0.80827976851851857</v>
      </c>
      <c r="C283">
        <v>79</v>
      </c>
      <c r="D283">
        <v>106</v>
      </c>
      <c r="E283">
        <v>0</v>
      </c>
      <c r="F283">
        <v>0</v>
      </c>
      <c r="G283">
        <v>0</v>
      </c>
      <c r="H283">
        <v>2368</v>
      </c>
      <c r="I283">
        <v>1784</v>
      </c>
      <c r="J283">
        <v>0</v>
      </c>
      <c r="K283">
        <v>100</v>
      </c>
      <c r="L283">
        <v>180</v>
      </c>
      <c r="M283">
        <v>6</v>
      </c>
      <c r="N283">
        <v>0</v>
      </c>
      <c r="O283">
        <v>3975</v>
      </c>
      <c r="P283">
        <v>187</v>
      </c>
      <c r="Q283">
        <v>8</v>
      </c>
      <c r="R283">
        <v>404</v>
      </c>
      <c r="S283">
        <v>398</v>
      </c>
      <c r="T283">
        <v>46</v>
      </c>
    </row>
    <row r="284" spans="1:20" x14ac:dyDescent="0.35">
      <c r="A284" s="1">
        <v>45888</v>
      </c>
      <c r="B284" s="2">
        <v>0.80829556712962958</v>
      </c>
      <c r="C284">
        <v>79</v>
      </c>
      <c r="D284">
        <v>111</v>
      </c>
      <c r="E284">
        <v>0</v>
      </c>
      <c r="F284">
        <v>0</v>
      </c>
      <c r="G284">
        <v>0</v>
      </c>
      <c r="H284">
        <v>2368</v>
      </c>
      <c r="I284">
        <v>1784</v>
      </c>
      <c r="J284">
        <v>0</v>
      </c>
      <c r="K284">
        <v>100</v>
      </c>
      <c r="L284">
        <v>173</v>
      </c>
      <c r="M284">
        <v>6</v>
      </c>
      <c r="N284">
        <v>1</v>
      </c>
      <c r="O284">
        <v>3978</v>
      </c>
      <c r="P284">
        <v>194</v>
      </c>
      <c r="Q284">
        <v>7</v>
      </c>
      <c r="R284">
        <v>404</v>
      </c>
      <c r="S284">
        <v>398</v>
      </c>
      <c r="T284">
        <v>249</v>
      </c>
    </row>
    <row r="285" spans="1:20" x14ac:dyDescent="0.35">
      <c r="A285" s="1">
        <v>45888</v>
      </c>
      <c r="B285" s="2">
        <v>0.80831152777777771</v>
      </c>
      <c r="C285">
        <v>79</v>
      </c>
      <c r="D285">
        <v>116</v>
      </c>
      <c r="E285">
        <v>0</v>
      </c>
      <c r="F285">
        <v>0</v>
      </c>
      <c r="G285">
        <v>0</v>
      </c>
      <c r="H285">
        <v>2368</v>
      </c>
      <c r="I285">
        <v>1784</v>
      </c>
      <c r="J285">
        <v>0</v>
      </c>
      <c r="K285">
        <v>100</v>
      </c>
      <c r="L285">
        <v>172</v>
      </c>
      <c r="M285">
        <v>6</v>
      </c>
      <c r="N285">
        <v>0</v>
      </c>
      <c r="O285">
        <v>3983</v>
      </c>
      <c r="P285">
        <v>200</v>
      </c>
      <c r="Q285">
        <v>8</v>
      </c>
      <c r="R285">
        <v>404</v>
      </c>
      <c r="S285">
        <v>398</v>
      </c>
      <c r="T285">
        <v>246</v>
      </c>
    </row>
    <row r="286" spans="1:20" x14ac:dyDescent="0.35">
      <c r="A286" s="1">
        <v>45888</v>
      </c>
      <c r="B286" s="2">
        <v>0.80832730324074087</v>
      </c>
      <c r="C286">
        <v>79</v>
      </c>
      <c r="D286">
        <v>121</v>
      </c>
      <c r="E286">
        <v>0</v>
      </c>
      <c r="F286">
        <v>0</v>
      </c>
      <c r="G286">
        <v>0</v>
      </c>
      <c r="H286">
        <v>2368</v>
      </c>
      <c r="I286">
        <v>1784</v>
      </c>
      <c r="J286">
        <v>0</v>
      </c>
      <c r="K286">
        <v>100</v>
      </c>
      <c r="L286">
        <v>171</v>
      </c>
      <c r="M286">
        <v>6</v>
      </c>
      <c r="N286">
        <v>0</v>
      </c>
      <c r="O286">
        <v>3985</v>
      </c>
      <c r="P286">
        <v>204</v>
      </c>
      <c r="Q286">
        <v>8</v>
      </c>
      <c r="R286">
        <v>404</v>
      </c>
      <c r="S286">
        <v>398</v>
      </c>
      <c r="T286">
        <v>229</v>
      </c>
    </row>
    <row r="287" spans="1:20" x14ac:dyDescent="0.35">
      <c r="A287" s="1">
        <v>45888</v>
      </c>
      <c r="B287" s="2">
        <v>0.80834309027777773</v>
      </c>
      <c r="C287">
        <v>79</v>
      </c>
      <c r="D287">
        <v>126</v>
      </c>
      <c r="E287">
        <v>0</v>
      </c>
      <c r="F287">
        <v>0</v>
      </c>
      <c r="G287">
        <v>0</v>
      </c>
      <c r="H287">
        <v>2368</v>
      </c>
      <c r="I287">
        <v>1784</v>
      </c>
      <c r="J287">
        <v>0</v>
      </c>
      <c r="K287">
        <v>100</v>
      </c>
      <c r="L287">
        <v>182</v>
      </c>
      <c r="M287">
        <v>6</v>
      </c>
      <c r="N287">
        <v>2</v>
      </c>
      <c r="O287">
        <v>3986</v>
      </c>
      <c r="P287">
        <v>208</v>
      </c>
      <c r="Q287">
        <v>8</v>
      </c>
      <c r="R287">
        <v>404</v>
      </c>
      <c r="S287">
        <v>398</v>
      </c>
      <c r="T287">
        <v>27</v>
      </c>
    </row>
    <row r="288" spans="1:20" x14ac:dyDescent="0.35">
      <c r="A288" s="1">
        <v>45888</v>
      </c>
      <c r="B288" s="2">
        <v>0.8083590625</v>
      </c>
      <c r="C288">
        <v>79</v>
      </c>
      <c r="D288">
        <v>131</v>
      </c>
      <c r="E288">
        <v>0</v>
      </c>
      <c r="F288">
        <v>0</v>
      </c>
      <c r="G288">
        <v>0</v>
      </c>
      <c r="H288">
        <v>2368</v>
      </c>
      <c r="I288">
        <v>1784</v>
      </c>
      <c r="J288">
        <v>0</v>
      </c>
      <c r="K288">
        <v>100</v>
      </c>
      <c r="L288">
        <v>170</v>
      </c>
      <c r="M288">
        <v>6</v>
      </c>
      <c r="N288">
        <v>0</v>
      </c>
      <c r="O288">
        <v>3987</v>
      </c>
      <c r="P288">
        <v>209</v>
      </c>
      <c r="Q288">
        <v>8</v>
      </c>
      <c r="R288">
        <v>404</v>
      </c>
      <c r="S288">
        <v>397</v>
      </c>
      <c r="T288">
        <v>127</v>
      </c>
    </row>
    <row r="289" spans="1:20" x14ac:dyDescent="0.35">
      <c r="A289" s="1">
        <v>45888</v>
      </c>
      <c r="B289" s="2">
        <v>0.80837503472222227</v>
      </c>
      <c r="C289">
        <v>79</v>
      </c>
      <c r="D289">
        <v>136</v>
      </c>
      <c r="E289">
        <v>0</v>
      </c>
      <c r="F289">
        <v>0</v>
      </c>
      <c r="G289">
        <v>0</v>
      </c>
      <c r="H289">
        <v>2368</v>
      </c>
      <c r="I289">
        <v>1784</v>
      </c>
      <c r="J289">
        <v>0</v>
      </c>
      <c r="K289">
        <v>100</v>
      </c>
      <c r="L289">
        <v>174</v>
      </c>
      <c r="M289">
        <v>6</v>
      </c>
      <c r="N289">
        <v>1</v>
      </c>
      <c r="O289">
        <v>3987</v>
      </c>
      <c r="P289">
        <v>208</v>
      </c>
      <c r="Q289">
        <v>8</v>
      </c>
      <c r="R289">
        <v>405</v>
      </c>
      <c r="S289">
        <v>398</v>
      </c>
      <c r="T289">
        <v>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39AF-5E7F-42A7-92A1-E0D8E0248702}">
  <dimension ref="A1:T289"/>
  <sheetViews>
    <sheetView topLeftCell="E1" workbookViewId="0">
      <selection activeCell="H18" sqref="H18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45888</v>
      </c>
      <c r="B2" s="2">
        <v>0.84766376157407408</v>
      </c>
      <c r="C2">
        <v>79</v>
      </c>
      <c r="D2">
        <v>4</v>
      </c>
      <c r="E2">
        <v>0</v>
      </c>
      <c r="F2">
        <v>8</v>
      </c>
      <c r="G2">
        <v>0</v>
      </c>
      <c r="H2">
        <v>2368</v>
      </c>
      <c r="I2">
        <v>1784</v>
      </c>
      <c r="J2">
        <v>0</v>
      </c>
      <c r="K2">
        <v>100</v>
      </c>
      <c r="L2">
        <v>4011</v>
      </c>
      <c r="M2">
        <v>348</v>
      </c>
      <c r="N2">
        <v>13</v>
      </c>
      <c r="O2">
        <v>4011</v>
      </c>
      <c r="P2">
        <v>340</v>
      </c>
      <c r="Q2">
        <v>12</v>
      </c>
      <c r="R2">
        <v>404</v>
      </c>
      <c r="S2">
        <v>399</v>
      </c>
      <c r="T2">
        <v>150</v>
      </c>
    </row>
    <row r="3" spans="1:20" x14ac:dyDescent="0.35">
      <c r="A3" s="1">
        <v>45888</v>
      </c>
      <c r="B3" s="2">
        <v>0.84767950231481493</v>
      </c>
      <c r="C3">
        <v>79</v>
      </c>
      <c r="D3">
        <v>9</v>
      </c>
      <c r="E3">
        <v>0</v>
      </c>
      <c r="F3">
        <v>8</v>
      </c>
      <c r="G3">
        <v>0</v>
      </c>
      <c r="H3">
        <v>2368</v>
      </c>
      <c r="I3">
        <v>1784</v>
      </c>
      <c r="J3">
        <v>0</v>
      </c>
      <c r="K3">
        <v>100</v>
      </c>
      <c r="L3">
        <v>4010</v>
      </c>
      <c r="M3">
        <v>344</v>
      </c>
      <c r="N3">
        <v>12</v>
      </c>
      <c r="O3">
        <v>4012</v>
      </c>
      <c r="P3">
        <v>345</v>
      </c>
      <c r="Q3">
        <v>13</v>
      </c>
      <c r="R3">
        <v>404</v>
      </c>
      <c r="S3">
        <v>399</v>
      </c>
      <c r="T3">
        <v>25</v>
      </c>
    </row>
    <row r="4" spans="1:20" x14ac:dyDescent="0.35">
      <c r="A4" s="1">
        <v>45888</v>
      </c>
      <c r="B4" s="2">
        <v>0.84769523148148151</v>
      </c>
      <c r="C4">
        <v>79</v>
      </c>
      <c r="D4">
        <v>14</v>
      </c>
      <c r="E4">
        <v>0</v>
      </c>
      <c r="F4">
        <v>8</v>
      </c>
      <c r="G4">
        <v>0</v>
      </c>
      <c r="H4">
        <v>2368</v>
      </c>
      <c r="I4">
        <v>1784</v>
      </c>
      <c r="J4">
        <v>0</v>
      </c>
      <c r="K4">
        <v>100</v>
      </c>
      <c r="L4">
        <v>4010</v>
      </c>
      <c r="M4">
        <v>336</v>
      </c>
      <c r="N4">
        <v>12</v>
      </c>
      <c r="O4">
        <v>4012</v>
      </c>
      <c r="P4">
        <v>347</v>
      </c>
      <c r="Q4">
        <v>13</v>
      </c>
      <c r="R4">
        <v>404</v>
      </c>
      <c r="S4">
        <v>398</v>
      </c>
      <c r="T4">
        <v>161</v>
      </c>
    </row>
    <row r="5" spans="1:20" x14ac:dyDescent="0.35">
      <c r="A5" s="1">
        <v>45888</v>
      </c>
      <c r="B5" s="2">
        <v>0.84771094907407407</v>
      </c>
      <c r="C5">
        <v>79</v>
      </c>
      <c r="D5">
        <v>19</v>
      </c>
      <c r="E5">
        <v>0</v>
      </c>
      <c r="F5">
        <v>8</v>
      </c>
      <c r="G5">
        <v>0</v>
      </c>
      <c r="H5">
        <v>2368</v>
      </c>
      <c r="I5">
        <v>1784</v>
      </c>
      <c r="J5">
        <v>0</v>
      </c>
      <c r="K5">
        <v>100</v>
      </c>
      <c r="L5">
        <v>4010</v>
      </c>
      <c r="M5">
        <v>334</v>
      </c>
      <c r="N5">
        <v>12</v>
      </c>
      <c r="O5">
        <v>4012</v>
      </c>
      <c r="P5">
        <v>344</v>
      </c>
      <c r="Q5">
        <v>13</v>
      </c>
      <c r="R5">
        <v>404</v>
      </c>
      <c r="S5">
        <v>398</v>
      </c>
      <c r="T5">
        <v>173</v>
      </c>
    </row>
    <row r="6" spans="1:20" x14ac:dyDescent="0.35">
      <c r="A6" s="1">
        <v>45888</v>
      </c>
      <c r="B6" s="2">
        <v>0.84772677083333325</v>
      </c>
      <c r="C6">
        <v>79</v>
      </c>
      <c r="D6">
        <v>24</v>
      </c>
      <c r="E6">
        <v>0</v>
      </c>
      <c r="F6">
        <v>8</v>
      </c>
      <c r="G6">
        <v>0</v>
      </c>
      <c r="H6">
        <v>2368</v>
      </c>
      <c r="I6">
        <v>1784</v>
      </c>
      <c r="J6">
        <v>0</v>
      </c>
      <c r="K6">
        <v>100</v>
      </c>
      <c r="L6">
        <v>4010</v>
      </c>
      <c r="M6">
        <v>331</v>
      </c>
      <c r="N6">
        <v>12</v>
      </c>
      <c r="O6">
        <v>4011</v>
      </c>
      <c r="P6">
        <v>341</v>
      </c>
      <c r="Q6">
        <v>13</v>
      </c>
      <c r="R6">
        <v>404</v>
      </c>
      <c r="S6">
        <v>398</v>
      </c>
      <c r="T6">
        <v>250</v>
      </c>
    </row>
    <row r="7" spans="1:20" x14ac:dyDescent="0.35">
      <c r="A7" s="1">
        <v>45888</v>
      </c>
      <c r="B7" s="2">
        <v>0.84774252314814813</v>
      </c>
      <c r="C7">
        <v>79</v>
      </c>
      <c r="D7">
        <v>29</v>
      </c>
      <c r="E7">
        <v>0</v>
      </c>
      <c r="F7">
        <v>8</v>
      </c>
      <c r="G7">
        <v>0</v>
      </c>
      <c r="H7">
        <v>2368</v>
      </c>
      <c r="I7">
        <v>1784</v>
      </c>
      <c r="J7">
        <v>0</v>
      </c>
      <c r="K7">
        <v>100</v>
      </c>
      <c r="L7">
        <v>4011</v>
      </c>
      <c r="M7">
        <v>328</v>
      </c>
      <c r="N7">
        <v>11</v>
      </c>
      <c r="O7">
        <v>4012</v>
      </c>
      <c r="P7">
        <v>336</v>
      </c>
      <c r="Q7">
        <v>12</v>
      </c>
      <c r="R7">
        <v>405</v>
      </c>
      <c r="S7">
        <v>398</v>
      </c>
      <c r="T7">
        <v>164</v>
      </c>
    </row>
    <row r="8" spans="1:20" x14ac:dyDescent="0.35">
      <c r="A8" s="1">
        <v>45888</v>
      </c>
      <c r="B8" s="2">
        <v>0.84775825231481472</v>
      </c>
      <c r="C8">
        <v>79</v>
      </c>
      <c r="D8">
        <v>34</v>
      </c>
      <c r="E8">
        <v>0</v>
      </c>
      <c r="F8">
        <v>0</v>
      </c>
      <c r="G8">
        <v>0</v>
      </c>
      <c r="H8">
        <v>2368</v>
      </c>
      <c r="I8">
        <v>1784</v>
      </c>
      <c r="J8">
        <v>0</v>
      </c>
      <c r="K8">
        <v>100</v>
      </c>
      <c r="L8">
        <v>4010</v>
      </c>
      <c r="M8">
        <v>326</v>
      </c>
      <c r="N8">
        <v>12</v>
      </c>
      <c r="O8">
        <v>4012</v>
      </c>
      <c r="P8">
        <v>330</v>
      </c>
      <c r="Q8">
        <v>11</v>
      </c>
      <c r="R8">
        <v>404</v>
      </c>
      <c r="S8">
        <v>398</v>
      </c>
      <c r="T8">
        <v>5</v>
      </c>
    </row>
    <row r="9" spans="1:20" x14ac:dyDescent="0.35">
      <c r="A9" s="1">
        <v>45888</v>
      </c>
      <c r="B9" s="2">
        <v>0.84777396990740739</v>
      </c>
      <c r="C9">
        <v>79</v>
      </c>
      <c r="D9">
        <v>39</v>
      </c>
      <c r="E9">
        <v>0</v>
      </c>
      <c r="F9">
        <v>0</v>
      </c>
      <c r="G9">
        <v>0</v>
      </c>
      <c r="H9">
        <v>2368</v>
      </c>
      <c r="I9">
        <v>1784</v>
      </c>
      <c r="J9">
        <v>0</v>
      </c>
      <c r="K9">
        <v>100</v>
      </c>
      <c r="L9">
        <v>4011</v>
      </c>
      <c r="M9">
        <v>327</v>
      </c>
      <c r="N9">
        <v>11</v>
      </c>
      <c r="O9">
        <v>4012</v>
      </c>
      <c r="P9">
        <v>328</v>
      </c>
      <c r="Q9">
        <v>11</v>
      </c>
      <c r="R9">
        <v>404</v>
      </c>
      <c r="S9">
        <v>398</v>
      </c>
      <c r="T9">
        <v>6</v>
      </c>
    </row>
    <row r="10" spans="1:20" x14ac:dyDescent="0.35">
      <c r="A10" s="1">
        <v>45888</v>
      </c>
      <c r="B10" s="2">
        <v>0.84778976851851839</v>
      </c>
      <c r="C10">
        <v>79</v>
      </c>
      <c r="D10">
        <v>44</v>
      </c>
      <c r="E10">
        <v>0</v>
      </c>
      <c r="F10">
        <v>0</v>
      </c>
      <c r="G10">
        <v>0</v>
      </c>
      <c r="H10">
        <v>2368</v>
      </c>
      <c r="I10">
        <v>1784</v>
      </c>
      <c r="J10">
        <v>0</v>
      </c>
      <c r="K10">
        <v>100</v>
      </c>
      <c r="L10">
        <v>4010</v>
      </c>
      <c r="M10">
        <v>328</v>
      </c>
      <c r="N10">
        <v>12</v>
      </c>
      <c r="O10">
        <v>4012</v>
      </c>
      <c r="P10">
        <v>330</v>
      </c>
      <c r="Q10">
        <v>12</v>
      </c>
      <c r="R10">
        <v>404</v>
      </c>
      <c r="S10">
        <v>398</v>
      </c>
      <c r="T10">
        <v>146</v>
      </c>
    </row>
    <row r="11" spans="1:20" x14ac:dyDescent="0.35">
      <c r="A11" s="1">
        <v>45888</v>
      </c>
      <c r="B11" s="2">
        <v>0.84780554398148156</v>
      </c>
      <c r="C11">
        <v>79</v>
      </c>
      <c r="D11">
        <v>49</v>
      </c>
      <c r="E11">
        <v>0</v>
      </c>
      <c r="F11">
        <v>0</v>
      </c>
      <c r="G11">
        <v>0</v>
      </c>
      <c r="H11">
        <v>2368</v>
      </c>
      <c r="I11">
        <v>1784</v>
      </c>
      <c r="J11">
        <v>0</v>
      </c>
      <c r="K11">
        <v>100</v>
      </c>
      <c r="L11">
        <v>4010</v>
      </c>
      <c r="M11">
        <v>331</v>
      </c>
      <c r="N11">
        <v>11</v>
      </c>
      <c r="O11">
        <v>4012</v>
      </c>
      <c r="P11">
        <v>336</v>
      </c>
      <c r="Q11">
        <v>12</v>
      </c>
      <c r="R11">
        <v>404</v>
      </c>
      <c r="S11">
        <v>398</v>
      </c>
      <c r="T11">
        <v>44</v>
      </c>
    </row>
    <row r="12" spans="1:20" x14ac:dyDescent="0.35">
      <c r="A12" s="1">
        <v>45888</v>
      </c>
      <c r="B12" s="2">
        <v>0.84782128472222229</v>
      </c>
      <c r="C12">
        <v>79</v>
      </c>
      <c r="D12">
        <v>54</v>
      </c>
      <c r="E12">
        <v>0</v>
      </c>
      <c r="F12">
        <v>0</v>
      </c>
      <c r="G12">
        <v>0</v>
      </c>
      <c r="H12">
        <v>2368</v>
      </c>
      <c r="I12">
        <v>1784</v>
      </c>
      <c r="J12">
        <v>0</v>
      </c>
      <c r="K12">
        <v>100</v>
      </c>
      <c r="L12">
        <v>4010</v>
      </c>
      <c r="M12">
        <v>339</v>
      </c>
      <c r="N12">
        <v>12</v>
      </c>
      <c r="O12">
        <v>4012</v>
      </c>
      <c r="P12">
        <v>344</v>
      </c>
      <c r="Q12">
        <v>13</v>
      </c>
      <c r="R12">
        <v>405</v>
      </c>
      <c r="S12">
        <v>398</v>
      </c>
      <c r="T12">
        <v>235</v>
      </c>
    </row>
    <row r="13" spans="1:20" x14ac:dyDescent="0.35">
      <c r="A13" s="1">
        <v>45888</v>
      </c>
      <c r="B13" s="2">
        <v>0.84783702546296302</v>
      </c>
      <c r="C13">
        <v>79</v>
      </c>
      <c r="D13">
        <v>59</v>
      </c>
      <c r="E13">
        <v>0</v>
      </c>
      <c r="F13">
        <v>0</v>
      </c>
      <c r="G13">
        <v>0</v>
      </c>
      <c r="H13">
        <v>2368</v>
      </c>
      <c r="I13">
        <v>1784</v>
      </c>
      <c r="J13">
        <v>0</v>
      </c>
      <c r="K13">
        <v>100</v>
      </c>
      <c r="L13">
        <v>4010</v>
      </c>
      <c r="M13">
        <v>363</v>
      </c>
      <c r="N13">
        <v>12</v>
      </c>
      <c r="O13">
        <v>4012</v>
      </c>
      <c r="P13">
        <v>358</v>
      </c>
      <c r="Q13">
        <v>13</v>
      </c>
      <c r="R13">
        <v>405</v>
      </c>
      <c r="S13">
        <v>398</v>
      </c>
      <c r="T13">
        <v>179</v>
      </c>
    </row>
    <row r="14" spans="1:20" x14ac:dyDescent="0.35">
      <c r="A14" s="1">
        <v>45888</v>
      </c>
      <c r="B14" s="2">
        <v>0.84785280092592596</v>
      </c>
      <c r="C14">
        <v>79</v>
      </c>
      <c r="D14">
        <v>64</v>
      </c>
      <c r="E14">
        <v>0</v>
      </c>
      <c r="F14">
        <v>0</v>
      </c>
      <c r="G14">
        <v>0</v>
      </c>
      <c r="H14">
        <v>2368</v>
      </c>
      <c r="I14">
        <v>1784</v>
      </c>
      <c r="J14">
        <v>0</v>
      </c>
      <c r="K14">
        <v>100</v>
      </c>
      <c r="L14">
        <v>4010</v>
      </c>
      <c r="M14">
        <v>388</v>
      </c>
      <c r="N14">
        <v>12</v>
      </c>
      <c r="O14">
        <v>4011</v>
      </c>
      <c r="P14">
        <v>369</v>
      </c>
      <c r="Q14">
        <v>13</v>
      </c>
      <c r="R14">
        <v>405</v>
      </c>
      <c r="S14">
        <v>398</v>
      </c>
      <c r="T14">
        <v>146</v>
      </c>
    </row>
    <row r="15" spans="1:20" x14ac:dyDescent="0.35">
      <c r="A15" s="1">
        <v>45888</v>
      </c>
      <c r="B15" s="2">
        <v>0.84786853009259255</v>
      </c>
      <c r="C15">
        <v>79</v>
      </c>
      <c r="D15">
        <v>69</v>
      </c>
      <c r="E15">
        <v>0</v>
      </c>
      <c r="F15">
        <v>0</v>
      </c>
      <c r="G15">
        <v>0</v>
      </c>
      <c r="H15">
        <v>2368</v>
      </c>
      <c r="I15">
        <v>1784</v>
      </c>
      <c r="J15">
        <v>0</v>
      </c>
      <c r="K15">
        <v>100</v>
      </c>
      <c r="L15">
        <v>4011</v>
      </c>
      <c r="M15">
        <v>446</v>
      </c>
      <c r="N15">
        <v>16</v>
      </c>
      <c r="O15">
        <v>4011</v>
      </c>
      <c r="P15">
        <v>384</v>
      </c>
      <c r="Q15">
        <v>15</v>
      </c>
      <c r="R15">
        <v>405</v>
      </c>
      <c r="S15">
        <v>398</v>
      </c>
      <c r="T15">
        <v>38</v>
      </c>
    </row>
    <row r="16" spans="1:20" x14ac:dyDescent="0.35">
      <c r="A16" s="1">
        <v>45888</v>
      </c>
      <c r="B16" s="2">
        <v>0.8478842708333334</v>
      </c>
      <c r="C16">
        <v>79</v>
      </c>
      <c r="D16">
        <v>74</v>
      </c>
      <c r="E16">
        <v>0</v>
      </c>
      <c r="F16">
        <v>0</v>
      </c>
      <c r="G16">
        <v>0</v>
      </c>
      <c r="H16">
        <v>2368</v>
      </c>
      <c r="I16">
        <v>1784</v>
      </c>
      <c r="J16">
        <v>0</v>
      </c>
      <c r="K16">
        <v>100</v>
      </c>
      <c r="L16">
        <v>4010</v>
      </c>
      <c r="M16">
        <v>556</v>
      </c>
      <c r="N16">
        <v>19</v>
      </c>
      <c r="O16">
        <v>4012</v>
      </c>
      <c r="P16">
        <v>398</v>
      </c>
      <c r="Q16">
        <v>15</v>
      </c>
      <c r="R16">
        <v>405</v>
      </c>
      <c r="S16">
        <v>398</v>
      </c>
      <c r="T16">
        <v>56</v>
      </c>
    </row>
    <row r="17" spans="1:20" x14ac:dyDescent="0.35">
      <c r="A17" s="1">
        <v>45888</v>
      </c>
      <c r="B17" s="2">
        <v>0.84789997685185192</v>
      </c>
      <c r="C17">
        <v>79</v>
      </c>
      <c r="D17">
        <v>79</v>
      </c>
      <c r="E17">
        <v>0</v>
      </c>
      <c r="F17">
        <v>0</v>
      </c>
      <c r="G17">
        <v>0</v>
      </c>
      <c r="H17">
        <v>2368</v>
      </c>
      <c r="I17">
        <v>1784</v>
      </c>
      <c r="J17">
        <v>0</v>
      </c>
      <c r="K17">
        <v>100</v>
      </c>
      <c r="L17">
        <v>4010</v>
      </c>
      <c r="M17">
        <v>778</v>
      </c>
      <c r="N17">
        <v>26</v>
      </c>
      <c r="O17">
        <v>4011</v>
      </c>
      <c r="P17">
        <v>413</v>
      </c>
      <c r="Q17">
        <v>14</v>
      </c>
      <c r="R17">
        <v>405</v>
      </c>
      <c r="S17">
        <v>398</v>
      </c>
      <c r="T17">
        <v>204</v>
      </c>
    </row>
    <row r="18" spans="1:20" x14ac:dyDescent="0.35">
      <c r="A18" s="1">
        <v>45888</v>
      </c>
      <c r="B18" s="2">
        <v>0.84791578703703707</v>
      </c>
      <c r="C18">
        <v>79</v>
      </c>
      <c r="D18">
        <v>84</v>
      </c>
      <c r="E18">
        <v>0</v>
      </c>
      <c r="F18">
        <v>0</v>
      </c>
      <c r="G18">
        <v>0</v>
      </c>
      <c r="H18">
        <v>2368</v>
      </c>
      <c r="I18">
        <v>1784</v>
      </c>
      <c r="J18">
        <v>0</v>
      </c>
      <c r="K18">
        <v>100</v>
      </c>
      <c r="L18">
        <v>4010</v>
      </c>
      <c r="M18">
        <v>1145</v>
      </c>
      <c r="N18">
        <v>40</v>
      </c>
      <c r="O18">
        <v>4012</v>
      </c>
      <c r="P18">
        <v>430</v>
      </c>
      <c r="Q18">
        <v>16</v>
      </c>
      <c r="R18">
        <v>404</v>
      </c>
      <c r="S18">
        <v>398</v>
      </c>
      <c r="T18">
        <v>179</v>
      </c>
    </row>
    <row r="19" spans="1:20" x14ac:dyDescent="0.35">
      <c r="A19" s="1">
        <v>45888</v>
      </c>
      <c r="B19" s="2">
        <v>0.84793177083333326</v>
      </c>
      <c r="C19">
        <v>79</v>
      </c>
      <c r="D19">
        <v>89</v>
      </c>
      <c r="E19">
        <v>0</v>
      </c>
      <c r="F19">
        <v>0</v>
      </c>
      <c r="G19">
        <v>0</v>
      </c>
      <c r="H19">
        <v>2368</v>
      </c>
      <c r="I19">
        <v>1784</v>
      </c>
      <c r="J19">
        <v>0</v>
      </c>
      <c r="K19">
        <v>100</v>
      </c>
      <c r="L19">
        <v>4010</v>
      </c>
      <c r="M19">
        <v>1563</v>
      </c>
      <c r="N19">
        <v>54</v>
      </c>
      <c r="O19">
        <v>4012</v>
      </c>
      <c r="P19">
        <v>446</v>
      </c>
      <c r="Q19">
        <v>16</v>
      </c>
      <c r="R19">
        <v>405</v>
      </c>
      <c r="S19">
        <v>398</v>
      </c>
      <c r="T19">
        <v>144</v>
      </c>
    </row>
    <row r="20" spans="1:20" x14ac:dyDescent="0.35">
      <c r="A20" s="1">
        <v>45888</v>
      </c>
      <c r="B20" s="2">
        <v>0.84794755787037035</v>
      </c>
      <c r="C20">
        <v>79</v>
      </c>
      <c r="D20">
        <v>94</v>
      </c>
      <c r="E20">
        <v>0</v>
      </c>
      <c r="F20">
        <v>0</v>
      </c>
      <c r="G20">
        <v>0</v>
      </c>
      <c r="H20">
        <v>2368</v>
      </c>
      <c r="I20">
        <v>1784</v>
      </c>
      <c r="J20">
        <v>0</v>
      </c>
      <c r="K20">
        <v>100</v>
      </c>
      <c r="L20">
        <v>4010</v>
      </c>
      <c r="M20">
        <v>1935</v>
      </c>
      <c r="N20">
        <v>66</v>
      </c>
      <c r="O20">
        <v>4012</v>
      </c>
      <c r="P20">
        <v>466</v>
      </c>
      <c r="Q20">
        <v>16</v>
      </c>
      <c r="R20">
        <v>404</v>
      </c>
      <c r="S20">
        <v>398</v>
      </c>
      <c r="T20">
        <v>184</v>
      </c>
    </row>
    <row r="21" spans="1:20" x14ac:dyDescent="0.35">
      <c r="A21" s="1">
        <v>45888</v>
      </c>
      <c r="B21" s="2">
        <v>0.84796328703703705</v>
      </c>
      <c r="C21">
        <v>79</v>
      </c>
      <c r="D21">
        <v>99</v>
      </c>
      <c r="E21">
        <v>0</v>
      </c>
      <c r="F21">
        <v>0</v>
      </c>
      <c r="G21">
        <v>0</v>
      </c>
      <c r="H21">
        <v>2368</v>
      </c>
      <c r="I21">
        <v>1784</v>
      </c>
      <c r="J21">
        <v>0</v>
      </c>
      <c r="K21">
        <v>100</v>
      </c>
      <c r="L21">
        <v>4009</v>
      </c>
      <c r="M21">
        <v>2263</v>
      </c>
      <c r="N21">
        <v>78</v>
      </c>
      <c r="O21">
        <v>4012</v>
      </c>
      <c r="P21">
        <v>496</v>
      </c>
      <c r="Q21">
        <v>18</v>
      </c>
      <c r="R21">
        <v>404</v>
      </c>
      <c r="S21">
        <v>398</v>
      </c>
      <c r="T21">
        <v>133</v>
      </c>
    </row>
    <row r="22" spans="1:20" x14ac:dyDescent="0.35">
      <c r="A22" s="1">
        <v>45888</v>
      </c>
      <c r="B22" s="2">
        <v>0.84797903935185182</v>
      </c>
      <c r="C22">
        <v>79</v>
      </c>
      <c r="D22">
        <v>104</v>
      </c>
      <c r="E22">
        <v>0</v>
      </c>
      <c r="F22">
        <v>0</v>
      </c>
      <c r="G22">
        <v>0</v>
      </c>
      <c r="H22">
        <v>2368</v>
      </c>
      <c r="I22">
        <v>1784</v>
      </c>
      <c r="J22">
        <v>0</v>
      </c>
      <c r="K22">
        <v>100</v>
      </c>
      <c r="L22">
        <v>4010</v>
      </c>
      <c r="M22">
        <v>2477</v>
      </c>
      <c r="N22">
        <v>84</v>
      </c>
      <c r="O22">
        <v>4012</v>
      </c>
      <c r="P22">
        <v>528</v>
      </c>
      <c r="Q22">
        <v>18</v>
      </c>
      <c r="R22">
        <v>404</v>
      </c>
      <c r="S22">
        <v>398</v>
      </c>
      <c r="T22">
        <v>142</v>
      </c>
    </row>
    <row r="23" spans="1:20" x14ac:dyDescent="0.35">
      <c r="A23" s="1">
        <v>45888</v>
      </c>
      <c r="B23" s="2">
        <v>0.84799481481481476</v>
      </c>
      <c r="C23">
        <v>79</v>
      </c>
      <c r="D23">
        <v>109</v>
      </c>
      <c r="E23">
        <v>0</v>
      </c>
      <c r="F23">
        <v>0</v>
      </c>
      <c r="G23">
        <v>0</v>
      </c>
      <c r="H23">
        <v>2368</v>
      </c>
      <c r="I23">
        <v>1784</v>
      </c>
      <c r="J23">
        <v>0</v>
      </c>
      <c r="K23">
        <v>100</v>
      </c>
      <c r="L23">
        <v>4010</v>
      </c>
      <c r="M23">
        <v>2588</v>
      </c>
      <c r="N23">
        <v>88</v>
      </c>
      <c r="O23">
        <v>4012</v>
      </c>
      <c r="P23">
        <v>571</v>
      </c>
      <c r="Q23">
        <v>20</v>
      </c>
      <c r="R23">
        <v>404</v>
      </c>
      <c r="S23">
        <v>398</v>
      </c>
      <c r="T23">
        <v>102</v>
      </c>
    </row>
    <row r="24" spans="1:20" x14ac:dyDescent="0.35">
      <c r="A24" s="1">
        <v>45888</v>
      </c>
      <c r="B24" s="2">
        <v>0.84801060185185184</v>
      </c>
      <c r="C24">
        <v>79</v>
      </c>
      <c r="D24">
        <v>114</v>
      </c>
      <c r="E24">
        <v>0</v>
      </c>
      <c r="F24">
        <v>0</v>
      </c>
      <c r="G24">
        <v>0</v>
      </c>
      <c r="H24">
        <v>2368</v>
      </c>
      <c r="I24">
        <v>1784</v>
      </c>
      <c r="J24">
        <v>0</v>
      </c>
      <c r="K24">
        <v>100</v>
      </c>
      <c r="L24">
        <v>4010</v>
      </c>
      <c r="M24">
        <v>2687</v>
      </c>
      <c r="N24">
        <v>91</v>
      </c>
      <c r="O24">
        <v>4012</v>
      </c>
      <c r="P24">
        <v>621</v>
      </c>
      <c r="Q24">
        <v>22</v>
      </c>
      <c r="R24">
        <v>405</v>
      </c>
      <c r="S24">
        <v>398</v>
      </c>
      <c r="T24">
        <v>168</v>
      </c>
    </row>
    <row r="25" spans="1:20" x14ac:dyDescent="0.35">
      <c r="A25" s="1">
        <v>45888</v>
      </c>
      <c r="B25" s="2">
        <v>0.8480265046296297</v>
      </c>
      <c r="C25">
        <v>79</v>
      </c>
      <c r="D25">
        <v>119</v>
      </c>
      <c r="E25">
        <v>0</v>
      </c>
      <c r="F25">
        <v>0</v>
      </c>
      <c r="G25">
        <v>0</v>
      </c>
      <c r="H25">
        <v>2368</v>
      </c>
      <c r="I25">
        <v>1784</v>
      </c>
      <c r="J25">
        <v>0</v>
      </c>
      <c r="K25">
        <v>100</v>
      </c>
      <c r="L25">
        <v>4010</v>
      </c>
      <c r="M25">
        <v>2786</v>
      </c>
      <c r="N25">
        <v>95</v>
      </c>
      <c r="O25">
        <v>4012</v>
      </c>
      <c r="P25">
        <v>676</v>
      </c>
      <c r="Q25">
        <v>24</v>
      </c>
      <c r="R25">
        <v>404</v>
      </c>
      <c r="S25">
        <v>398</v>
      </c>
      <c r="T25">
        <v>41</v>
      </c>
    </row>
    <row r="26" spans="1:20" x14ac:dyDescent="0.35">
      <c r="A26" s="1">
        <v>45888</v>
      </c>
      <c r="B26" s="2">
        <v>0.84804223379629629</v>
      </c>
      <c r="C26">
        <v>79</v>
      </c>
      <c r="D26">
        <v>124</v>
      </c>
      <c r="E26">
        <v>0</v>
      </c>
      <c r="F26">
        <v>0</v>
      </c>
      <c r="G26">
        <v>0</v>
      </c>
      <c r="H26">
        <v>2368</v>
      </c>
      <c r="I26">
        <v>1784</v>
      </c>
      <c r="J26">
        <v>0</v>
      </c>
      <c r="K26">
        <v>100</v>
      </c>
      <c r="L26">
        <v>4009</v>
      </c>
      <c r="M26">
        <v>2865</v>
      </c>
      <c r="N26">
        <v>98</v>
      </c>
      <c r="O26">
        <v>4012</v>
      </c>
      <c r="P26">
        <v>738</v>
      </c>
      <c r="Q26">
        <v>26</v>
      </c>
      <c r="R26">
        <v>404</v>
      </c>
      <c r="S26">
        <v>398</v>
      </c>
      <c r="T26">
        <v>167</v>
      </c>
    </row>
    <row r="27" spans="1:20" x14ac:dyDescent="0.35">
      <c r="A27" s="1">
        <v>45888</v>
      </c>
      <c r="B27" s="2">
        <v>0.84805814814814817</v>
      </c>
      <c r="C27">
        <v>79</v>
      </c>
      <c r="D27">
        <v>129</v>
      </c>
      <c r="E27">
        <v>0</v>
      </c>
      <c r="F27">
        <v>0</v>
      </c>
      <c r="G27">
        <v>0</v>
      </c>
      <c r="H27">
        <v>2368</v>
      </c>
      <c r="I27">
        <v>1784</v>
      </c>
      <c r="J27">
        <v>0</v>
      </c>
      <c r="K27">
        <v>100</v>
      </c>
      <c r="L27">
        <v>4010</v>
      </c>
      <c r="M27">
        <v>3005</v>
      </c>
      <c r="N27">
        <v>103</v>
      </c>
      <c r="O27">
        <v>4012</v>
      </c>
      <c r="P27">
        <v>811</v>
      </c>
      <c r="Q27">
        <v>27</v>
      </c>
      <c r="R27">
        <v>404</v>
      </c>
      <c r="S27">
        <v>399</v>
      </c>
      <c r="T27">
        <v>126</v>
      </c>
    </row>
    <row r="28" spans="1:20" x14ac:dyDescent="0.35">
      <c r="A28" s="1">
        <v>45888</v>
      </c>
      <c r="B28" s="2">
        <v>0.84807392361111111</v>
      </c>
      <c r="C28">
        <v>79</v>
      </c>
      <c r="D28">
        <v>134</v>
      </c>
      <c r="E28">
        <v>0</v>
      </c>
      <c r="F28">
        <v>0</v>
      </c>
      <c r="G28">
        <v>0</v>
      </c>
      <c r="H28">
        <v>2368</v>
      </c>
      <c r="I28">
        <v>1784</v>
      </c>
      <c r="J28">
        <v>0</v>
      </c>
      <c r="K28">
        <v>100</v>
      </c>
      <c r="L28">
        <v>4010</v>
      </c>
      <c r="M28">
        <v>3284</v>
      </c>
      <c r="N28">
        <v>112</v>
      </c>
      <c r="O28">
        <v>4012</v>
      </c>
      <c r="P28">
        <v>886</v>
      </c>
      <c r="Q28">
        <v>30</v>
      </c>
      <c r="R28">
        <v>404</v>
      </c>
      <c r="S28">
        <v>399</v>
      </c>
      <c r="T28">
        <v>205</v>
      </c>
    </row>
    <row r="29" spans="1:20" x14ac:dyDescent="0.35">
      <c r="A29" s="1">
        <v>45888</v>
      </c>
      <c r="B29" s="2">
        <v>0.84808966435185185</v>
      </c>
      <c r="C29">
        <v>79</v>
      </c>
      <c r="D29">
        <v>139</v>
      </c>
      <c r="E29">
        <v>0</v>
      </c>
      <c r="F29">
        <v>0</v>
      </c>
      <c r="G29">
        <v>0</v>
      </c>
      <c r="H29">
        <v>2368</v>
      </c>
      <c r="I29">
        <v>1784</v>
      </c>
      <c r="J29">
        <v>0</v>
      </c>
      <c r="K29">
        <v>100</v>
      </c>
      <c r="L29">
        <v>4010</v>
      </c>
      <c r="M29">
        <v>3726</v>
      </c>
      <c r="N29">
        <v>127</v>
      </c>
      <c r="O29">
        <v>4012</v>
      </c>
      <c r="P29">
        <v>963</v>
      </c>
      <c r="Q29">
        <v>34</v>
      </c>
      <c r="R29">
        <v>405</v>
      </c>
      <c r="S29">
        <v>399</v>
      </c>
      <c r="T29">
        <v>122</v>
      </c>
    </row>
    <row r="30" spans="1:20" x14ac:dyDescent="0.35">
      <c r="A30" s="1">
        <v>45888</v>
      </c>
      <c r="B30" s="2">
        <v>0.84810546296296307</v>
      </c>
      <c r="C30">
        <v>79</v>
      </c>
      <c r="D30">
        <v>144</v>
      </c>
      <c r="E30">
        <v>0</v>
      </c>
      <c r="F30">
        <v>0</v>
      </c>
      <c r="G30">
        <v>0</v>
      </c>
      <c r="H30">
        <v>2368</v>
      </c>
      <c r="I30">
        <v>1784</v>
      </c>
      <c r="J30">
        <v>0</v>
      </c>
      <c r="K30">
        <v>100</v>
      </c>
      <c r="L30">
        <v>4011</v>
      </c>
      <c r="M30">
        <v>3917</v>
      </c>
      <c r="N30">
        <v>142</v>
      </c>
      <c r="O30">
        <v>4012</v>
      </c>
      <c r="P30">
        <v>1059</v>
      </c>
      <c r="Q30">
        <v>38</v>
      </c>
      <c r="R30">
        <v>404</v>
      </c>
      <c r="S30">
        <v>398</v>
      </c>
      <c r="T30">
        <v>74</v>
      </c>
    </row>
    <row r="31" spans="1:20" x14ac:dyDescent="0.35">
      <c r="A31" s="1">
        <v>45888</v>
      </c>
      <c r="B31" s="2">
        <v>0.84812115740740746</v>
      </c>
      <c r="C31">
        <v>79</v>
      </c>
      <c r="D31">
        <v>149</v>
      </c>
      <c r="E31">
        <v>0</v>
      </c>
      <c r="F31">
        <v>0</v>
      </c>
      <c r="G31">
        <v>0</v>
      </c>
      <c r="H31">
        <v>2368</v>
      </c>
      <c r="I31">
        <v>1784</v>
      </c>
      <c r="J31">
        <v>0</v>
      </c>
      <c r="K31">
        <v>100</v>
      </c>
      <c r="L31">
        <v>4010</v>
      </c>
      <c r="M31">
        <v>3934</v>
      </c>
      <c r="N31">
        <v>149</v>
      </c>
      <c r="O31">
        <v>4012</v>
      </c>
      <c r="P31">
        <v>1144</v>
      </c>
      <c r="Q31">
        <v>40</v>
      </c>
      <c r="R31">
        <v>404</v>
      </c>
      <c r="S31">
        <v>399</v>
      </c>
      <c r="T31">
        <v>156</v>
      </c>
    </row>
    <row r="32" spans="1:20" x14ac:dyDescent="0.35">
      <c r="A32" s="1">
        <v>45888</v>
      </c>
      <c r="B32" s="2">
        <v>0.84813695601851846</v>
      </c>
      <c r="C32">
        <v>79</v>
      </c>
      <c r="D32">
        <v>154</v>
      </c>
      <c r="E32">
        <v>0</v>
      </c>
      <c r="F32">
        <v>0</v>
      </c>
      <c r="G32">
        <v>0</v>
      </c>
      <c r="H32">
        <v>2368</v>
      </c>
      <c r="I32">
        <v>1784</v>
      </c>
      <c r="J32">
        <v>0</v>
      </c>
      <c r="K32">
        <v>100</v>
      </c>
      <c r="L32">
        <v>4010</v>
      </c>
      <c r="M32">
        <v>3939</v>
      </c>
      <c r="N32">
        <v>152</v>
      </c>
      <c r="O32">
        <v>4012</v>
      </c>
      <c r="P32">
        <v>1186</v>
      </c>
      <c r="Q32">
        <v>43</v>
      </c>
      <c r="R32">
        <v>405</v>
      </c>
      <c r="S32">
        <v>398</v>
      </c>
      <c r="T32">
        <v>56</v>
      </c>
    </row>
    <row r="33" spans="1:20" x14ac:dyDescent="0.35">
      <c r="A33" s="1">
        <v>45888</v>
      </c>
      <c r="B33" s="2">
        <v>0.84815276620370372</v>
      </c>
      <c r="C33">
        <v>79</v>
      </c>
      <c r="D33">
        <v>159</v>
      </c>
      <c r="E33">
        <v>0</v>
      </c>
      <c r="F33">
        <v>0</v>
      </c>
      <c r="G33">
        <v>0</v>
      </c>
      <c r="H33">
        <v>2368</v>
      </c>
      <c r="I33">
        <v>1784</v>
      </c>
      <c r="J33">
        <v>0</v>
      </c>
      <c r="K33">
        <v>100</v>
      </c>
      <c r="L33">
        <v>4010</v>
      </c>
      <c r="M33">
        <v>3946</v>
      </c>
      <c r="N33">
        <v>156</v>
      </c>
      <c r="O33">
        <v>4011</v>
      </c>
      <c r="P33">
        <v>1194</v>
      </c>
      <c r="Q33">
        <v>42</v>
      </c>
      <c r="R33">
        <v>404</v>
      </c>
      <c r="S33">
        <v>398</v>
      </c>
      <c r="T33">
        <v>33</v>
      </c>
    </row>
    <row r="34" spans="1:20" x14ac:dyDescent="0.35">
      <c r="A34" s="1">
        <v>45888</v>
      </c>
      <c r="B34" s="2">
        <v>0.84816873842592588</v>
      </c>
      <c r="C34">
        <v>79</v>
      </c>
      <c r="D34">
        <v>164</v>
      </c>
      <c r="E34">
        <v>0</v>
      </c>
      <c r="F34">
        <v>0</v>
      </c>
      <c r="G34">
        <v>0</v>
      </c>
      <c r="H34">
        <v>2368</v>
      </c>
      <c r="I34">
        <v>1784</v>
      </c>
      <c r="J34">
        <v>0</v>
      </c>
      <c r="K34">
        <v>100</v>
      </c>
      <c r="L34">
        <v>4011</v>
      </c>
      <c r="M34">
        <v>3953</v>
      </c>
      <c r="N34">
        <v>163</v>
      </c>
      <c r="O34">
        <v>4012</v>
      </c>
      <c r="P34">
        <v>1180</v>
      </c>
      <c r="Q34">
        <v>42</v>
      </c>
      <c r="R34">
        <v>405</v>
      </c>
      <c r="S34">
        <v>398</v>
      </c>
      <c r="T34">
        <v>99</v>
      </c>
    </row>
    <row r="35" spans="1:20" x14ac:dyDescent="0.35">
      <c r="A35" s="1">
        <v>45888</v>
      </c>
      <c r="B35" s="2">
        <v>0.84818452546296297</v>
      </c>
      <c r="C35">
        <v>79</v>
      </c>
      <c r="D35">
        <v>169</v>
      </c>
      <c r="E35">
        <v>0</v>
      </c>
      <c r="F35">
        <v>0</v>
      </c>
      <c r="G35">
        <v>0</v>
      </c>
      <c r="H35">
        <v>2368</v>
      </c>
      <c r="I35">
        <v>1784</v>
      </c>
      <c r="J35">
        <v>0</v>
      </c>
      <c r="K35">
        <v>100</v>
      </c>
      <c r="L35">
        <v>4010</v>
      </c>
      <c r="M35">
        <v>3959</v>
      </c>
      <c r="N35">
        <v>170</v>
      </c>
      <c r="O35">
        <v>4012</v>
      </c>
      <c r="P35">
        <v>1180</v>
      </c>
      <c r="Q35">
        <v>40</v>
      </c>
      <c r="R35">
        <v>405</v>
      </c>
      <c r="S35">
        <v>398</v>
      </c>
      <c r="T35">
        <v>181</v>
      </c>
    </row>
    <row r="36" spans="1:20" x14ac:dyDescent="0.35">
      <c r="A36" s="1">
        <v>45888</v>
      </c>
      <c r="B36" s="2">
        <v>0.84820024305555564</v>
      </c>
      <c r="C36">
        <v>79</v>
      </c>
      <c r="D36">
        <v>174</v>
      </c>
      <c r="E36">
        <v>0</v>
      </c>
      <c r="F36">
        <v>0</v>
      </c>
      <c r="G36">
        <v>0</v>
      </c>
      <c r="H36">
        <v>2368</v>
      </c>
      <c r="I36">
        <v>1784</v>
      </c>
      <c r="J36">
        <v>0</v>
      </c>
      <c r="K36">
        <v>100</v>
      </c>
      <c r="L36">
        <v>4010</v>
      </c>
      <c r="M36">
        <v>3964</v>
      </c>
      <c r="N36">
        <v>174</v>
      </c>
      <c r="O36">
        <v>4011</v>
      </c>
      <c r="P36">
        <v>1202</v>
      </c>
      <c r="Q36">
        <v>42</v>
      </c>
      <c r="R36">
        <v>404</v>
      </c>
      <c r="S36">
        <v>398</v>
      </c>
      <c r="T36">
        <v>52</v>
      </c>
    </row>
    <row r="37" spans="1:20" x14ac:dyDescent="0.35">
      <c r="A37" s="1">
        <v>45888</v>
      </c>
      <c r="B37" s="2">
        <v>0.84821604166666664</v>
      </c>
      <c r="C37">
        <v>79</v>
      </c>
      <c r="D37">
        <v>179</v>
      </c>
      <c r="E37">
        <v>0</v>
      </c>
      <c r="F37">
        <v>0</v>
      </c>
      <c r="G37">
        <v>0</v>
      </c>
      <c r="H37">
        <v>2368</v>
      </c>
      <c r="I37">
        <v>1784</v>
      </c>
      <c r="J37">
        <v>0</v>
      </c>
      <c r="K37">
        <v>100</v>
      </c>
      <c r="L37">
        <v>4011</v>
      </c>
      <c r="M37">
        <v>3964</v>
      </c>
      <c r="N37">
        <v>174</v>
      </c>
      <c r="O37">
        <v>4012</v>
      </c>
      <c r="P37">
        <v>1240</v>
      </c>
      <c r="Q37">
        <v>43</v>
      </c>
      <c r="R37">
        <v>404</v>
      </c>
      <c r="S37">
        <v>398</v>
      </c>
      <c r="T37">
        <v>228</v>
      </c>
    </row>
    <row r="38" spans="1:20" x14ac:dyDescent="0.35">
      <c r="A38" s="1">
        <v>45888</v>
      </c>
      <c r="B38" s="2">
        <v>0.84823196759259256</v>
      </c>
      <c r="C38">
        <v>79</v>
      </c>
      <c r="D38">
        <v>184</v>
      </c>
      <c r="E38">
        <v>0</v>
      </c>
      <c r="F38">
        <v>0</v>
      </c>
      <c r="G38">
        <v>0</v>
      </c>
      <c r="H38">
        <v>2368</v>
      </c>
      <c r="I38">
        <v>1784</v>
      </c>
      <c r="J38">
        <v>0</v>
      </c>
      <c r="K38">
        <v>100</v>
      </c>
      <c r="L38">
        <v>4010</v>
      </c>
      <c r="M38">
        <v>3963</v>
      </c>
      <c r="N38">
        <v>172</v>
      </c>
      <c r="O38">
        <v>4011</v>
      </c>
      <c r="P38">
        <v>1294</v>
      </c>
      <c r="Q38">
        <v>45</v>
      </c>
      <c r="R38">
        <v>405</v>
      </c>
      <c r="S38">
        <v>399</v>
      </c>
      <c r="T38">
        <v>179</v>
      </c>
    </row>
    <row r="39" spans="1:20" x14ac:dyDescent="0.35">
      <c r="A39" s="1">
        <v>45888</v>
      </c>
      <c r="B39" s="2">
        <v>0.84824768518518523</v>
      </c>
      <c r="C39">
        <v>79</v>
      </c>
      <c r="D39">
        <v>189</v>
      </c>
      <c r="E39">
        <v>0</v>
      </c>
      <c r="F39">
        <v>0</v>
      </c>
      <c r="G39">
        <v>0</v>
      </c>
      <c r="H39">
        <v>2368</v>
      </c>
      <c r="I39">
        <v>1784</v>
      </c>
      <c r="J39">
        <v>0</v>
      </c>
      <c r="K39">
        <v>100</v>
      </c>
      <c r="L39">
        <v>4011</v>
      </c>
      <c r="M39">
        <v>3960</v>
      </c>
      <c r="N39">
        <v>171</v>
      </c>
      <c r="O39">
        <v>4012</v>
      </c>
      <c r="P39">
        <v>1364</v>
      </c>
      <c r="Q39">
        <v>48</v>
      </c>
      <c r="R39">
        <v>404</v>
      </c>
      <c r="S39">
        <v>398</v>
      </c>
      <c r="T39">
        <v>33</v>
      </c>
    </row>
    <row r="40" spans="1:20" x14ac:dyDescent="0.35">
      <c r="A40" s="1">
        <v>45888</v>
      </c>
      <c r="B40" s="2">
        <v>0.8482635648148148</v>
      </c>
      <c r="C40">
        <v>79</v>
      </c>
      <c r="D40">
        <v>194</v>
      </c>
      <c r="E40">
        <v>0</v>
      </c>
      <c r="F40">
        <v>0</v>
      </c>
      <c r="G40">
        <v>0</v>
      </c>
      <c r="H40">
        <v>2368</v>
      </c>
      <c r="I40">
        <v>1784</v>
      </c>
      <c r="J40">
        <v>0</v>
      </c>
      <c r="K40">
        <v>100</v>
      </c>
      <c r="L40">
        <v>4010</v>
      </c>
      <c r="M40">
        <v>3959</v>
      </c>
      <c r="N40">
        <v>168</v>
      </c>
      <c r="O40">
        <v>4012</v>
      </c>
      <c r="P40">
        <v>1460</v>
      </c>
      <c r="Q40">
        <v>50</v>
      </c>
      <c r="R40">
        <v>404</v>
      </c>
      <c r="S40">
        <v>398</v>
      </c>
      <c r="T40">
        <v>154</v>
      </c>
    </row>
    <row r="41" spans="1:20" x14ac:dyDescent="0.35">
      <c r="A41" s="1">
        <v>45888</v>
      </c>
      <c r="B41" s="2">
        <v>0.84827937500000006</v>
      </c>
      <c r="C41">
        <v>79</v>
      </c>
      <c r="D41">
        <v>199</v>
      </c>
      <c r="E41">
        <v>0</v>
      </c>
      <c r="F41">
        <v>0</v>
      </c>
      <c r="G41">
        <v>0</v>
      </c>
      <c r="H41">
        <v>2368</v>
      </c>
      <c r="I41">
        <v>1784</v>
      </c>
      <c r="J41">
        <v>0</v>
      </c>
      <c r="K41">
        <v>100</v>
      </c>
      <c r="L41">
        <v>4010</v>
      </c>
      <c r="M41">
        <v>3956</v>
      </c>
      <c r="N41">
        <v>167</v>
      </c>
      <c r="O41">
        <v>4012</v>
      </c>
      <c r="P41">
        <v>1598</v>
      </c>
      <c r="Q41">
        <v>55</v>
      </c>
      <c r="R41">
        <v>405</v>
      </c>
      <c r="S41">
        <v>399</v>
      </c>
      <c r="T41">
        <v>47</v>
      </c>
    </row>
    <row r="42" spans="1:20" x14ac:dyDescent="0.35">
      <c r="A42" s="1">
        <v>45888</v>
      </c>
      <c r="B42" s="2">
        <v>0.84829528935185194</v>
      </c>
      <c r="C42">
        <v>79</v>
      </c>
      <c r="D42">
        <v>204</v>
      </c>
      <c r="E42">
        <v>0</v>
      </c>
      <c r="F42">
        <v>0</v>
      </c>
      <c r="G42">
        <v>0</v>
      </c>
      <c r="H42">
        <v>2368</v>
      </c>
      <c r="I42">
        <v>1784</v>
      </c>
      <c r="J42">
        <v>0</v>
      </c>
      <c r="K42">
        <v>100</v>
      </c>
      <c r="L42">
        <v>4011</v>
      </c>
      <c r="M42">
        <v>3956</v>
      </c>
      <c r="N42">
        <v>166</v>
      </c>
      <c r="O42">
        <v>4011</v>
      </c>
      <c r="P42">
        <v>1779</v>
      </c>
      <c r="Q42">
        <v>62</v>
      </c>
      <c r="R42">
        <v>405</v>
      </c>
      <c r="S42">
        <v>398</v>
      </c>
      <c r="T42">
        <v>171</v>
      </c>
    </row>
    <row r="43" spans="1:20" x14ac:dyDescent="0.35">
      <c r="A43" s="1">
        <v>45888</v>
      </c>
      <c r="B43" s="2">
        <v>0.84831120370370372</v>
      </c>
      <c r="C43">
        <v>79</v>
      </c>
      <c r="D43">
        <v>209</v>
      </c>
      <c r="E43">
        <v>0</v>
      </c>
      <c r="F43">
        <v>0</v>
      </c>
      <c r="G43">
        <v>0</v>
      </c>
      <c r="H43">
        <v>2368</v>
      </c>
      <c r="I43">
        <v>1784</v>
      </c>
      <c r="J43">
        <v>0</v>
      </c>
      <c r="K43">
        <v>100</v>
      </c>
      <c r="L43">
        <v>4011</v>
      </c>
      <c r="M43">
        <v>3956</v>
      </c>
      <c r="N43">
        <v>167</v>
      </c>
      <c r="O43">
        <v>4012</v>
      </c>
      <c r="P43">
        <v>2042</v>
      </c>
      <c r="Q43">
        <v>70</v>
      </c>
      <c r="R43">
        <v>404</v>
      </c>
      <c r="S43">
        <v>398</v>
      </c>
      <c r="T43">
        <v>206</v>
      </c>
    </row>
    <row r="44" spans="1:20" x14ac:dyDescent="0.35">
      <c r="A44" s="1">
        <v>45888</v>
      </c>
      <c r="B44" s="2">
        <v>0.84832696759259252</v>
      </c>
      <c r="C44">
        <v>79</v>
      </c>
      <c r="D44">
        <v>214</v>
      </c>
      <c r="E44">
        <v>0</v>
      </c>
      <c r="F44">
        <v>0</v>
      </c>
      <c r="G44">
        <v>0</v>
      </c>
      <c r="H44">
        <v>2368</v>
      </c>
      <c r="I44">
        <v>1784</v>
      </c>
      <c r="J44">
        <v>0</v>
      </c>
      <c r="K44">
        <v>100</v>
      </c>
      <c r="L44">
        <v>4010</v>
      </c>
      <c r="M44">
        <v>3956</v>
      </c>
      <c r="N44">
        <v>166</v>
      </c>
      <c r="O44">
        <v>4011</v>
      </c>
      <c r="P44">
        <v>2391</v>
      </c>
      <c r="Q44">
        <v>82</v>
      </c>
      <c r="R44">
        <v>404</v>
      </c>
      <c r="S44">
        <v>398</v>
      </c>
      <c r="T44">
        <v>146</v>
      </c>
    </row>
    <row r="45" spans="1:20" x14ac:dyDescent="0.35">
      <c r="A45" s="1">
        <v>45888</v>
      </c>
      <c r="B45" s="2">
        <v>0.84834268518518519</v>
      </c>
      <c r="C45">
        <v>79</v>
      </c>
      <c r="D45">
        <v>219</v>
      </c>
      <c r="E45">
        <v>0</v>
      </c>
      <c r="F45">
        <v>0</v>
      </c>
      <c r="G45">
        <v>0</v>
      </c>
      <c r="H45">
        <v>2368</v>
      </c>
      <c r="I45">
        <v>1784</v>
      </c>
      <c r="J45">
        <v>0</v>
      </c>
      <c r="K45">
        <v>100</v>
      </c>
      <c r="L45">
        <v>4011</v>
      </c>
      <c r="M45">
        <v>3957</v>
      </c>
      <c r="N45">
        <v>167</v>
      </c>
      <c r="O45">
        <v>4012</v>
      </c>
      <c r="P45">
        <v>2844</v>
      </c>
      <c r="Q45">
        <v>97</v>
      </c>
      <c r="R45">
        <v>405</v>
      </c>
      <c r="S45">
        <v>398</v>
      </c>
      <c r="T45">
        <v>129</v>
      </c>
    </row>
    <row r="46" spans="1:20" x14ac:dyDescent="0.35">
      <c r="A46" s="1">
        <v>45888</v>
      </c>
      <c r="B46" s="2">
        <v>0.84835842592592603</v>
      </c>
      <c r="C46">
        <v>79</v>
      </c>
      <c r="D46">
        <v>224</v>
      </c>
      <c r="E46">
        <v>0</v>
      </c>
      <c r="F46">
        <v>0</v>
      </c>
      <c r="G46">
        <v>0</v>
      </c>
      <c r="H46">
        <v>2368</v>
      </c>
      <c r="I46">
        <v>1784</v>
      </c>
      <c r="J46">
        <v>0</v>
      </c>
      <c r="K46">
        <v>100</v>
      </c>
      <c r="L46">
        <v>4010</v>
      </c>
      <c r="M46">
        <v>3957</v>
      </c>
      <c r="N46">
        <v>167</v>
      </c>
      <c r="O46">
        <v>4011</v>
      </c>
      <c r="P46">
        <v>3377</v>
      </c>
      <c r="Q46">
        <v>116</v>
      </c>
      <c r="R46">
        <v>404</v>
      </c>
      <c r="S46">
        <v>398</v>
      </c>
      <c r="T46">
        <v>234</v>
      </c>
    </row>
    <row r="47" spans="1:20" x14ac:dyDescent="0.35">
      <c r="A47" s="1">
        <v>45888</v>
      </c>
      <c r="B47" s="2">
        <v>0.84837418981481483</v>
      </c>
      <c r="C47">
        <v>79</v>
      </c>
      <c r="D47">
        <v>229</v>
      </c>
      <c r="E47">
        <v>0</v>
      </c>
      <c r="F47">
        <v>0</v>
      </c>
      <c r="G47">
        <v>0</v>
      </c>
      <c r="H47">
        <v>2368</v>
      </c>
      <c r="I47">
        <v>1784</v>
      </c>
      <c r="J47">
        <v>0</v>
      </c>
      <c r="K47">
        <v>100</v>
      </c>
      <c r="L47">
        <v>4010</v>
      </c>
      <c r="M47">
        <v>3959</v>
      </c>
      <c r="N47">
        <v>167</v>
      </c>
      <c r="O47">
        <v>4012</v>
      </c>
      <c r="P47">
        <v>3903</v>
      </c>
      <c r="Q47">
        <v>138</v>
      </c>
      <c r="R47">
        <v>404</v>
      </c>
      <c r="S47">
        <v>398</v>
      </c>
      <c r="T47">
        <v>48</v>
      </c>
    </row>
    <row r="48" spans="1:20" x14ac:dyDescent="0.35">
      <c r="A48" s="1">
        <v>45888</v>
      </c>
      <c r="B48" s="2">
        <v>0.84838991898148142</v>
      </c>
      <c r="C48">
        <v>79</v>
      </c>
      <c r="D48">
        <v>234</v>
      </c>
      <c r="E48">
        <v>0</v>
      </c>
      <c r="F48">
        <v>0</v>
      </c>
      <c r="G48">
        <v>0</v>
      </c>
      <c r="H48">
        <v>2368</v>
      </c>
      <c r="I48">
        <v>1784</v>
      </c>
      <c r="J48">
        <v>0</v>
      </c>
      <c r="K48">
        <v>100</v>
      </c>
      <c r="L48">
        <v>4011</v>
      </c>
      <c r="M48">
        <v>3958</v>
      </c>
      <c r="N48">
        <v>168</v>
      </c>
      <c r="O48">
        <v>4012</v>
      </c>
      <c r="P48">
        <v>3958</v>
      </c>
      <c r="Q48">
        <v>171</v>
      </c>
      <c r="R48">
        <v>404</v>
      </c>
      <c r="S48">
        <v>398</v>
      </c>
      <c r="T48">
        <v>143</v>
      </c>
    </row>
    <row r="49" spans="1:20" x14ac:dyDescent="0.35">
      <c r="A49" s="1">
        <v>45888</v>
      </c>
      <c r="B49" s="2">
        <v>0.84840565972222215</v>
      </c>
      <c r="C49">
        <v>79</v>
      </c>
      <c r="D49">
        <v>239</v>
      </c>
      <c r="E49">
        <v>0</v>
      </c>
      <c r="F49">
        <v>0</v>
      </c>
      <c r="G49">
        <v>0</v>
      </c>
      <c r="H49">
        <v>2368</v>
      </c>
      <c r="I49">
        <v>1784</v>
      </c>
      <c r="J49">
        <v>0</v>
      </c>
      <c r="K49">
        <v>100</v>
      </c>
      <c r="L49">
        <v>4010</v>
      </c>
      <c r="M49">
        <v>3959</v>
      </c>
      <c r="N49">
        <v>170</v>
      </c>
      <c r="O49">
        <v>4012</v>
      </c>
      <c r="P49">
        <v>3979</v>
      </c>
      <c r="Q49">
        <v>201</v>
      </c>
      <c r="R49">
        <v>404</v>
      </c>
      <c r="S49">
        <v>398</v>
      </c>
      <c r="T49">
        <v>195</v>
      </c>
    </row>
    <row r="50" spans="1:20" x14ac:dyDescent="0.35">
      <c r="A50" s="1">
        <v>45888</v>
      </c>
      <c r="B50" s="2">
        <v>0.84842175925925922</v>
      </c>
      <c r="C50">
        <v>79</v>
      </c>
      <c r="D50">
        <v>244</v>
      </c>
      <c r="E50">
        <v>0</v>
      </c>
      <c r="F50">
        <v>0</v>
      </c>
      <c r="G50">
        <v>0</v>
      </c>
      <c r="H50">
        <v>2368</v>
      </c>
      <c r="I50">
        <v>1784</v>
      </c>
      <c r="J50">
        <v>0</v>
      </c>
      <c r="K50">
        <v>100</v>
      </c>
      <c r="L50">
        <v>4010</v>
      </c>
      <c r="M50">
        <v>3963</v>
      </c>
      <c r="N50">
        <v>171</v>
      </c>
      <c r="O50">
        <v>4012</v>
      </c>
      <c r="P50">
        <v>3991</v>
      </c>
      <c r="Q50">
        <v>232</v>
      </c>
      <c r="R50">
        <v>404</v>
      </c>
      <c r="S50">
        <v>398</v>
      </c>
      <c r="T50">
        <v>40</v>
      </c>
    </row>
    <row r="51" spans="1:20" x14ac:dyDescent="0.35">
      <c r="A51" s="1">
        <v>45888</v>
      </c>
      <c r="B51" s="2">
        <v>0.84843753472222216</v>
      </c>
      <c r="C51">
        <v>79</v>
      </c>
      <c r="D51">
        <v>249</v>
      </c>
      <c r="E51">
        <v>0</v>
      </c>
      <c r="F51">
        <v>0</v>
      </c>
      <c r="G51">
        <v>0</v>
      </c>
      <c r="H51">
        <v>2368</v>
      </c>
      <c r="I51">
        <v>1784</v>
      </c>
      <c r="J51">
        <v>0</v>
      </c>
      <c r="K51">
        <v>100</v>
      </c>
      <c r="L51">
        <v>4011</v>
      </c>
      <c r="M51">
        <v>3964</v>
      </c>
      <c r="N51">
        <v>173</v>
      </c>
      <c r="O51">
        <v>4012</v>
      </c>
      <c r="P51">
        <v>3999</v>
      </c>
      <c r="Q51">
        <v>257</v>
      </c>
      <c r="R51">
        <v>404</v>
      </c>
      <c r="S51">
        <v>399</v>
      </c>
      <c r="T51">
        <v>143</v>
      </c>
    </row>
    <row r="52" spans="1:20" x14ac:dyDescent="0.35">
      <c r="A52" s="1">
        <v>45888</v>
      </c>
      <c r="B52" s="2">
        <v>0.8484532754629629</v>
      </c>
      <c r="C52">
        <v>79</v>
      </c>
      <c r="D52">
        <v>254</v>
      </c>
      <c r="E52">
        <v>0</v>
      </c>
      <c r="F52">
        <v>0</v>
      </c>
      <c r="G52">
        <v>0</v>
      </c>
      <c r="H52">
        <v>2368</v>
      </c>
      <c r="I52">
        <v>1784</v>
      </c>
      <c r="J52">
        <v>0</v>
      </c>
      <c r="K52">
        <v>100</v>
      </c>
      <c r="L52">
        <v>4010</v>
      </c>
      <c r="M52">
        <v>3966</v>
      </c>
      <c r="N52">
        <v>178</v>
      </c>
      <c r="O52">
        <v>4012</v>
      </c>
      <c r="P52">
        <v>4005</v>
      </c>
      <c r="Q52">
        <v>282</v>
      </c>
      <c r="R52">
        <v>405</v>
      </c>
      <c r="S52">
        <v>399</v>
      </c>
      <c r="T52">
        <v>58</v>
      </c>
    </row>
    <row r="53" spans="1:20" x14ac:dyDescent="0.35">
      <c r="A53" s="1">
        <v>45888</v>
      </c>
      <c r="B53" s="2">
        <v>0.84846922453703699</v>
      </c>
      <c r="C53">
        <v>79</v>
      </c>
      <c r="D53">
        <v>3</v>
      </c>
      <c r="E53">
        <v>0</v>
      </c>
      <c r="F53">
        <v>0</v>
      </c>
      <c r="G53">
        <v>0</v>
      </c>
      <c r="H53">
        <v>2368</v>
      </c>
      <c r="I53">
        <v>1784</v>
      </c>
      <c r="J53">
        <v>0</v>
      </c>
      <c r="K53">
        <v>100</v>
      </c>
      <c r="L53">
        <v>4011</v>
      </c>
      <c r="M53">
        <v>3969</v>
      </c>
      <c r="N53">
        <v>181</v>
      </c>
      <c r="O53">
        <v>4012</v>
      </c>
      <c r="P53">
        <v>4008</v>
      </c>
      <c r="Q53">
        <v>305</v>
      </c>
      <c r="R53">
        <v>404</v>
      </c>
      <c r="S53">
        <v>398</v>
      </c>
      <c r="T53">
        <v>10</v>
      </c>
    </row>
    <row r="54" spans="1:20" x14ac:dyDescent="0.35">
      <c r="A54" s="1">
        <v>45888</v>
      </c>
      <c r="B54" s="2">
        <v>0.84848520833333341</v>
      </c>
      <c r="C54">
        <v>79</v>
      </c>
      <c r="D54">
        <v>8</v>
      </c>
      <c r="E54">
        <v>0</v>
      </c>
      <c r="F54">
        <v>0</v>
      </c>
      <c r="G54">
        <v>0</v>
      </c>
      <c r="H54">
        <v>2368</v>
      </c>
      <c r="I54">
        <v>1784</v>
      </c>
      <c r="J54">
        <v>0</v>
      </c>
      <c r="K54">
        <v>100</v>
      </c>
      <c r="L54">
        <v>4011</v>
      </c>
      <c r="M54">
        <v>3971</v>
      </c>
      <c r="N54">
        <v>184</v>
      </c>
      <c r="O54">
        <v>4011</v>
      </c>
      <c r="P54">
        <v>4008</v>
      </c>
      <c r="Q54">
        <v>322</v>
      </c>
      <c r="R54">
        <v>404</v>
      </c>
      <c r="S54">
        <v>398</v>
      </c>
      <c r="T54">
        <v>91</v>
      </c>
    </row>
    <row r="55" spans="1:20" x14ac:dyDescent="0.35">
      <c r="A55" s="1">
        <v>45888</v>
      </c>
      <c r="B55" s="2">
        <v>0.84850091435185193</v>
      </c>
      <c r="C55">
        <v>79</v>
      </c>
      <c r="D55">
        <v>13</v>
      </c>
      <c r="E55">
        <v>0</v>
      </c>
      <c r="F55">
        <v>0</v>
      </c>
      <c r="G55">
        <v>0</v>
      </c>
      <c r="H55">
        <v>2368</v>
      </c>
      <c r="I55">
        <v>1784</v>
      </c>
      <c r="J55">
        <v>0</v>
      </c>
      <c r="K55">
        <v>100</v>
      </c>
      <c r="L55">
        <v>4011</v>
      </c>
      <c r="M55">
        <v>3974</v>
      </c>
      <c r="N55">
        <v>187</v>
      </c>
      <c r="O55">
        <v>4011</v>
      </c>
      <c r="P55">
        <v>4008</v>
      </c>
      <c r="Q55">
        <v>343</v>
      </c>
      <c r="R55">
        <v>404</v>
      </c>
      <c r="S55">
        <v>398</v>
      </c>
      <c r="T55">
        <v>169</v>
      </c>
    </row>
    <row r="56" spans="1:20" x14ac:dyDescent="0.35">
      <c r="A56" s="1">
        <v>45888</v>
      </c>
      <c r="B56" s="2">
        <v>0.84851664351851852</v>
      </c>
      <c r="C56">
        <v>79</v>
      </c>
      <c r="D56">
        <v>18</v>
      </c>
      <c r="E56">
        <v>0</v>
      </c>
      <c r="F56">
        <v>0</v>
      </c>
      <c r="G56">
        <v>0</v>
      </c>
      <c r="H56">
        <v>2368</v>
      </c>
      <c r="I56">
        <v>1784</v>
      </c>
      <c r="J56">
        <v>0</v>
      </c>
      <c r="K56">
        <v>100</v>
      </c>
      <c r="L56">
        <v>4010</v>
      </c>
      <c r="M56">
        <v>3975</v>
      </c>
      <c r="N56">
        <v>191</v>
      </c>
      <c r="O56">
        <v>4011</v>
      </c>
      <c r="P56">
        <v>4008</v>
      </c>
      <c r="Q56">
        <v>372</v>
      </c>
      <c r="R56">
        <v>404</v>
      </c>
      <c r="S56">
        <v>398</v>
      </c>
      <c r="T56">
        <v>146</v>
      </c>
    </row>
    <row r="57" spans="1:20" x14ac:dyDescent="0.35">
      <c r="A57" s="1">
        <v>45888</v>
      </c>
      <c r="B57" s="2">
        <v>0.84853238425925925</v>
      </c>
      <c r="C57">
        <v>79</v>
      </c>
      <c r="D57">
        <v>23</v>
      </c>
      <c r="E57">
        <v>0</v>
      </c>
      <c r="F57">
        <v>0</v>
      </c>
      <c r="G57">
        <v>0</v>
      </c>
      <c r="H57">
        <v>2368</v>
      </c>
      <c r="I57">
        <v>1784</v>
      </c>
      <c r="J57">
        <v>0</v>
      </c>
      <c r="K57">
        <v>100</v>
      </c>
      <c r="L57">
        <v>4011</v>
      </c>
      <c r="M57">
        <v>3977</v>
      </c>
      <c r="N57">
        <v>194</v>
      </c>
      <c r="O57">
        <v>4011</v>
      </c>
      <c r="P57">
        <v>4008</v>
      </c>
      <c r="Q57">
        <v>405</v>
      </c>
      <c r="R57">
        <v>405</v>
      </c>
      <c r="S57">
        <v>398</v>
      </c>
      <c r="T57">
        <v>78</v>
      </c>
    </row>
    <row r="58" spans="1:20" x14ac:dyDescent="0.35">
      <c r="A58" s="1">
        <v>45888</v>
      </c>
      <c r="B58" s="2">
        <v>0.84854833333333335</v>
      </c>
      <c r="C58">
        <v>79</v>
      </c>
      <c r="D58">
        <v>28</v>
      </c>
      <c r="E58">
        <v>0</v>
      </c>
      <c r="F58">
        <v>0</v>
      </c>
      <c r="G58">
        <v>0</v>
      </c>
      <c r="H58">
        <v>2368</v>
      </c>
      <c r="I58">
        <v>1784</v>
      </c>
      <c r="J58">
        <v>0</v>
      </c>
      <c r="K58">
        <v>100</v>
      </c>
      <c r="L58">
        <v>4010</v>
      </c>
      <c r="M58">
        <v>3979</v>
      </c>
      <c r="N58">
        <v>197</v>
      </c>
      <c r="O58">
        <v>4012</v>
      </c>
      <c r="P58">
        <v>4008</v>
      </c>
      <c r="Q58">
        <v>447</v>
      </c>
      <c r="R58">
        <v>404</v>
      </c>
      <c r="S58">
        <v>398</v>
      </c>
      <c r="T58">
        <v>134</v>
      </c>
    </row>
    <row r="59" spans="1:20" x14ac:dyDescent="0.35">
      <c r="A59" s="1">
        <v>45888</v>
      </c>
      <c r="B59" s="2">
        <v>0.84856424768518524</v>
      </c>
      <c r="C59">
        <v>79</v>
      </c>
      <c r="D59">
        <v>33</v>
      </c>
      <c r="E59">
        <v>0</v>
      </c>
      <c r="F59">
        <v>0</v>
      </c>
      <c r="G59">
        <v>0</v>
      </c>
      <c r="H59">
        <v>2368</v>
      </c>
      <c r="I59">
        <v>1784</v>
      </c>
      <c r="J59">
        <v>0</v>
      </c>
      <c r="K59">
        <v>100</v>
      </c>
      <c r="L59">
        <v>4011</v>
      </c>
      <c r="M59">
        <v>3980</v>
      </c>
      <c r="N59">
        <v>200</v>
      </c>
      <c r="O59">
        <v>4012</v>
      </c>
      <c r="P59">
        <v>4008</v>
      </c>
      <c r="Q59">
        <v>489</v>
      </c>
      <c r="R59">
        <v>405</v>
      </c>
      <c r="S59">
        <v>399</v>
      </c>
      <c r="T59">
        <v>157</v>
      </c>
    </row>
    <row r="60" spans="1:20" x14ac:dyDescent="0.35">
      <c r="A60" s="1">
        <v>45888</v>
      </c>
      <c r="B60" s="2">
        <v>0.84858002314814818</v>
      </c>
      <c r="C60">
        <v>79</v>
      </c>
      <c r="D60">
        <v>38</v>
      </c>
      <c r="E60">
        <v>0</v>
      </c>
      <c r="F60">
        <v>0</v>
      </c>
      <c r="G60">
        <v>0</v>
      </c>
      <c r="H60">
        <v>2368</v>
      </c>
      <c r="I60">
        <v>1784</v>
      </c>
      <c r="J60">
        <v>0</v>
      </c>
      <c r="K60">
        <v>100</v>
      </c>
      <c r="L60">
        <v>4011</v>
      </c>
      <c r="M60">
        <v>3983</v>
      </c>
      <c r="N60">
        <v>203</v>
      </c>
      <c r="O60">
        <v>4012</v>
      </c>
      <c r="P60">
        <v>4008</v>
      </c>
      <c r="Q60">
        <v>517</v>
      </c>
      <c r="R60">
        <v>405</v>
      </c>
      <c r="S60">
        <v>398</v>
      </c>
      <c r="T60">
        <v>108</v>
      </c>
    </row>
    <row r="61" spans="1:20" x14ac:dyDescent="0.35">
      <c r="A61" s="1">
        <v>45888</v>
      </c>
      <c r="B61" s="2">
        <v>0.84859582175925929</v>
      </c>
      <c r="C61">
        <v>79</v>
      </c>
      <c r="D61">
        <v>43</v>
      </c>
      <c r="E61">
        <v>0</v>
      </c>
      <c r="F61">
        <v>0</v>
      </c>
      <c r="G61">
        <v>0</v>
      </c>
      <c r="H61">
        <v>2368</v>
      </c>
      <c r="I61">
        <v>1784</v>
      </c>
      <c r="J61">
        <v>0</v>
      </c>
      <c r="K61">
        <v>100</v>
      </c>
      <c r="L61">
        <v>4010</v>
      </c>
      <c r="M61">
        <v>3985</v>
      </c>
      <c r="N61">
        <v>205</v>
      </c>
      <c r="O61">
        <v>4012</v>
      </c>
      <c r="P61">
        <v>4008</v>
      </c>
      <c r="Q61">
        <v>532</v>
      </c>
      <c r="R61">
        <v>404</v>
      </c>
      <c r="S61">
        <v>398</v>
      </c>
      <c r="T61">
        <v>35</v>
      </c>
    </row>
    <row r="62" spans="1:20" x14ac:dyDescent="0.35">
      <c r="A62" s="1">
        <v>45888</v>
      </c>
      <c r="B62" s="2">
        <v>0.84861155092592588</v>
      </c>
      <c r="C62">
        <v>79</v>
      </c>
      <c r="D62">
        <v>48</v>
      </c>
      <c r="E62">
        <v>0</v>
      </c>
      <c r="F62">
        <v>0</v>
      </c>
      <c r="G62">
        <v>0</v>
      </c>
      <c r="H62">
        <v>2368</v>
      </c>
      <c r="I62">
        <v>1784</v>
      </c>
      <c r="J62">
        <v>0</v>
      </c>
      <c r="K62">
        <v>100</v>
      </c>
      <c r="L62">
        <v>4010</v>
      </c>
      <c r="M62">
        <v>3985</v>
      </c>
      <c r="N62">
        <v>208</v>
      </c>
      <c r="O62">
        <v>4012</v>
      </c>
      <c r="P62">
        <v>4008</v>
      </c>
      <c r="Q62">
        <v>541</v>
      </c>
      <c r="R62">
        <v>404</v>
      </c>
      <c r="S62">
        <v>398</v>
      </c>
      <c r="T62">
        <v>104</v>
      </c>
    </row>
    <row r="63" spans="1:20" x14ac:dyDescent="0.35">
      <c r="A63" s="1">
        <v>45888</v>
      </c>
      <c r="B63" s="2">
        <v>0.84862728009259258</v>
      </c>
      <c r="C63">
        <v>79</v>
      </c>
      <c r="D63">
        <v>53</v>
      </c>
      <c r="E63">
        <v>0</v>
      </c>
      <c r="F63">
        <v>0</v>
      </c>
      <c r="G63">
        <v>0</v>
      </c>
      <c r="H63">
        <v>2368</v>
      </c>
      <c r="I63">
        <v>1784</v>
      </c>
      <c r="J63">
        <v>0</v>
      </c>
      <c r="K63">
        <v>100</v>
      </c>
      <c r="L63">
        <v>4010</v>
      </c>
      <c r="M63">
        <v>3987</v>
      </c>
      <c r="N63">
        <v>211</v>
      </c>
      <c r="O63">
        <v>4012</v>
      </c>
      <c r="P63">
        <v>4008</v>
      </c>
      <c r="Q63">
        <v>546</v>
      </c>
      <c r="R63">
        <v>405</v>
      </c>
      <c r="S63">
        <v>398</v>
      </c>
      <c r="T63">
        <v>173</v>
      </c>
    </row>
    <row r="64" spans="1:20" x14ac:dyDescent="0.35">
      <c r="A64" s="1">
        <v>45888</v>
      </c>
      <c r="B64" s="2">
        <v>0.8486432060185185</v>
      </c>
      <c r="C64">
        <v>79</v>
      </c>
      <c r="D64">
        <v>58</v>
      </c>
      <c r="E64">
        <v>0</v>
      </c>
      <c r="F64">
        <v>0</v>
      </c>
      <c r="G64">
        <v>0</v>
      </c>
      <c r="H64">
        <v>2368</v>
      </c>
      <c r="I64">
        <v>1784</v>
      </c>
      <c r="J64">
        <v>0</v>
      </c>
      <c r="K64">
        <v>100</v>
      </c>
      <c r="L64">
        <v>4011</v>
      </c>
      <c r="M64">
        <v>3987</v>
      </c>
      <c r="N64">
        <v>214</v>
      </c>
      <c r="O64">
        <v>4012</v>
      </c>
      <c r="P64">
        <v>4009</v>
      </c>
      <c r="Q64">
        <v>550</v>
      </c>
      <c r="R64">
        <v>404</v>
      </c>
      <c r="S64">
        <v>398</v>
      </c>
      <c r="T64">
        <v>13</v>
      </c>
    </row>
    <row r="65" spans="1:20" x14ac:dyDescent="0.35">
      <c r="A65" s="1">
        <v>45888</v>
      </c>
      <c r="B65" s="2">
        <v>0.84865910879629625</v>
      </c>
      <c r="C65">
        <v>79</v>
      </c>
      <c r="D65">
        <v>63</v>
      </c>
      <c r="E65">
        <v>0</v>
      </c>
      <c r="F65">
        <v>0</v>
      </c>
      <c r="G65">
        <v>0</v>
      </c>
      <c r="H65">
        <v>2368</v>
      </c>
      <c r="I65">
        <v>1784</v>
      </c>
      <c r="J65">
        <v>0</v>
      </c>
      <c r="K65">
        <v>100</v>
      </c>
      <c r="L65">
        <v>4010</v>
      </c>
      <c r="M65">
        <v>3989</v>
      </c>
      <c r="N65">
        <v>218</v>
      </c>
      <c r="O65">
        <v>4012</v>
      </c>
      <c r="P65">
        <v>4008</v>
      </c>
      <c r="Q65">
        <v>552</v>
      </c>
      <c r="R65">
        <v>405</v>
      </c>
      <c r="S65">
        <v>399</v>
      </c>
      <c r="T65">
        <v>106</v>
      </c>
    </row>
    <row r="66" spans="1:20" x14ac:dyDescent="0.35">
      <c r="A66" s="1">
        <v>45888</v>
      </c>
      <c r="B66" s="2">
        <v>0.84867480324074074</v>
      </c>
      <c r="C66">
        <v>79</v>
      </c>
      <c r="D66">
        <v>68</v>
      </c>
      <c r="E66">
        <v>0</v>
      </c>
      <c r="F66">
        <v>0</v>
      </c>
      <c r="G66">
        <v>0</v>
      </c>
      <c r="H66">
        <v>2368</v>
      </c>
      <c r="I66">
        <v>1784</v>
      </c>
      <c r="J66">
        <v>0</v>
      </c>
      <c r="K66">
        <v>100</v>
      </c>
      <c r="L66">
        <v>4010</v>
      </c>
      <c r="M66">
        <v>3991</v>
      </c>
      <c r="N66">
        <v>221</v>
      </c>
      <c r="O66">
        <v>4011</v>
      </c>
      <c r="P66">
        <v>4008</v>
      </c>
      <c r="Q66">
        <v>558</v>
      </c>
      <c r="R66">
        <v>405</v>
      </c>
      <c r="S66">
        <v>398</v>
      </c>
      <c r="T66">
        <v>24</v>
      </c>
    </row>
    <row r="67" spans="1:20" x14ac:dyDescent="0.35">
      <c r="A67" s="1">
        <v>45888</v>
      </c>
      <c r="B67" s="2">
        <v>0.84869056712962965</v>
      </c>
      <c r="C67">
        <v>79</v>
      </c>
      <c r="D67">
        <v>73</v>
      </c>
      <c r="E67">
        <v>0</v>
      </c>
      <c r="F67">
        <v>0</v>
      </c>
      <c r="G67">
        <v>0</v>
      </c>
      <c r="H67">
        <v>2368</v>
      </c>
      <c r="I67">
        <v>1784</v>
      </c>
      <c r="J67">
        <v>0</v>
      </c>
      <c r="K67">
        <v>100</v>
      </c>
      <c r="L67">
        <v>4010</v>
      </c>
      <c r="M67">
        <v>3992</v>
      </c>
      <c r="N67">
        <v>225</v>
      </c>
      <c r="O67">
        <v>4011</v>
      </c>
      <c r="P67">
        <v>4008</v>
      </c>
      <c r="Q67">
        <v>562</v>
      </c>
      <c r="R67">
        <v>404</v>
      </c>
      <c r="S67">
        <v>398</v>
      </c>
      <c r="T67">
        <v>37</v>
      </c>
    </row>
    <row r="68" spans="1:20" x14ac:dyDescent="0.35">
      <c r="A68" s="1">
        <v>45888</v>
      </c>
      <c r="B68" s="2">
        <v>0.84870633101851856</v>
      </c>
      <c r="C68">
        <v>79</v>
      </c>
      <c r="D68">
        <v>78</v>
      </c>
      <c r="E68">
        <v>0</v>
      </c>
      <c r="F68">
        <v>0</v>
      </c>
      <c r="G68">
        <v>0</v>
      </c>
      <c r="H68">
        <v>2368</v>
      </c>
      <c r="I68">
        <v>1784</v>
      </c>
      <c r="J68">
        <v>0</v>
      </c>
      <c r="K68">
        <v>100</v>
      </c>
      <c r="L68">
        <v>4011</v>
      </c>
      <c r="M68">
        <v>3994</v>
      </c>
      <c r="N68">
        <v>230</v>
      </c>
      <c r="O68">
        <v>4012</v>
      </c>
      <c r="P68">
        <v>4008</v>
      </c>
      <c r="Q68">
        <v>566</v>
      </c>
      <c r="R68">
        <v>405</v>
      </c>
      <c r="S68">
        <v>398</v>
      </c>
      <c r="T68">
        <v>212</v>
      </c>
    </row>
    <row r="69" spans="1:20" x14ac:dyDescent="0.35">
      <c r="A69" s="1">
        <v>45888</v>
      </c>
      <c r="B69" s="2">
        <v>0.84872204861111122</v>
      </c>
      <c r="C69">
        <v>79</v>
      </c>
      <c r="D69">
        <v>83</v>
      </c>
      <c r="E69">
        <v>0</v>
      </c>
      <c r="F69">
        <v>0</v>
      </c>
      <c r="G69">
        <v>0</v>
      </c>
      <c r="H69">
        <v>2368</v>
      </c>
      <c r="I69">
        <v>1784</v>
      </c>
      <c r="J69">
        <v>0</v>
      </c>
      <c r="K69">
        <v>100</v>
      </c>
      <c r="L69">
        <v>4010</v>
      </c>
      <c r="M69">
        <v>3995</v>
      </c>
      <c r="N69">
        <v>233</v>
      </c>
      <c r="O69">
        <v>4012</v>
      </c>
      <c r="P69">
        <v>4008</v>
      </c>
      <c r="Q69">
        <v>568</v>
      </c>
      <c r="R69">
        <v>404</v>
      </c>
      <c r="S69">
        <v>398</v>
      </c>
      <c r="T69">
        <v>177</v>
      </c>
    </row>
    <row r="70" spans="1:20" x14ac:dyDescent="0.35">
      <c r="A70" s="1">
        <v>45888</v>
      </c>
      <c r="B70" s="2">
        <v>0.84873778935185196</v>
      </c>
      <c r="C70">
        <v>79</v>
      </c>
      <c r="D70">
        <v>88</v>
      </c>
      <c r="E70">
        <v>0</v>
      </c>
      <c r="F70">
        <v>0</v>
      </c>
      <c r="G70">
        <v>0</v>
      </c>
      <c r="H70">
        <v>2368</v>
      </c>
      <c r="I70">
        <v>1784</v>
      </c>
      <c r="J70">
        <v>0</v>
      </c>
      <c r="K70">
        <v>100</v>
      </c>
      <c r="L70">
        <v>4011</v>
      </c>
      <c r="M70">
        <v>3996</v>
      </c>
      <c r="N70">
        <v>236</v>
      </c>
      <c r="O70">
        <v>4011</v>
      </c>
      <c r="P70">
        <v>4008</v>
      </c>
      <c r="Q70">
        <v>566</v>
      </c>
      <c r="R70">
        <v>405</v>
      </c>
      <c r="S70">
        <v>398</v>
      </c>
      <c r="T70">
        <v>102</v>
      </c>
    </row>
    <row r="71" spans="1:20" x14ac:dyDescent="0.35">
      <c r="A71" s="1">
        <v>45888</v>
      </c>
      <c r="B71" s="2">
        <v>0.8487536921296297</v>
      </c>
      <c r="C71">
        <v>79</v>
      </c>
      <c r="D71">
        <v>93</v>
      </c>
      <c r="E71">
        <v>0</v>
      </c>
      <c r="F71">
        <v>0</v>
      </c>
      <c r="G71">
        <v>0</v>
      </c>
      <c r="H71">
        <v>2368</v>
      </c>
      <c r="I71">
        <v>1784</v>
      </c>
      <c r="J71">
        <v>0</v>
      </c>
      <c r="K71">
        <v>100</v>
      </c>
      <c r="L71">
        <v>4011</v>
      </c>
      <c r="M71">
        <v>3998</v>
      </c>
      <c r="N71">
        <v>240</v>
      </c>
      <c r="O71">
        <v>4012</v>
      </c>
      <c r="P71">
        <v>4008</v>
      </c>
      <c r="Q71">
        <v>562</v>
      </c>
      <c r="R71">
        <v>404</v>
      </c>
      <c r="S71">
        <v>398</v>
      </c>
      <c r="T71">
        <v>112</v>
      </c>
    </row>
    <row r="72" spans="1:20" x14ac:dyDescent="0.35">
      <c r="A72" s="1">
        <v>45888</v>
      </c>
      <c r="B72" s="2">
        <v>0.84876966435185175</v>
      </c>
      <c r="C72">
        <v>79</v>
      </c>
      <c r="D72">
        <v>98</v>
      </c>
      <c r="E72">
        <v>0</v>
      </c>
      <c r="F72">
        <v>0</v>
      </c>
      <c r="G72">
        <v>0</v>
      </c>
      <c r="H72">
        <v>2368</v>
      </c>
      <c r="I72">
        <v>1784</v>
      </c>
      <c r="J72">
        <v>0</v>
      </c>
      <c r="K72">
        <v>100</v>
      </c>
      <c r="L72">
        <v>4011</v>
      </c>
      <c r="M72">
        <v>3999</v>
      </c>
      <c r="N72">
        <v>242</v>
      </c>
      <c r="O72">
        <v>4012</v>
      </c>
      <c r="P72">
        <v>4008</v>
      </c>
      <c r="Q72">
        <v>554</v>
      </c>
      <c r="R72">
        <v>404</v>
      </c>
      <c r="S72">
        <v>398</v>
      </c>
      <c r="T72">
        <v>128</v>
      </c>
    </row>
    <row r="73" spans="1:20" x14ac:dyDescent="0.35">
      <c r="A73" s="1">
        <v>45888</v>
      </c>
      <c r="B73" s="2">
        <v>0.84878568287037037</v>
      </c>
      <c r="C73">
        <v>79</v>
      </c>
      <c r="D73">
        <v>103</v>
      </c>
      <c r="E73">
        <v>0</v>
      </c>
      <c r="F73">
        <v>0</v>
      </c>
      <c r="G73">
        <v>0</v>
      </c>
      <c r="H73">
        <v>2368</v>
      </c>
      <c r="I73">
        <v>1784</v>
      </c>
      <c r="J73">
        <v>0</v>
      </c>
      <c r="K73">
        <v>100</v>
      </c>
      <c r="L73">
        <v>4011</v>
      </c>
      <c r="M73">
        <v>3999</v>
      </c>
      <c r="N73">
        <v>246</v>
      </c>
      <c r="O73">
        <v>4012</v>
      </c>
      <c r="P73">
        <v>4008</v>
      </c>
      <c r="Q73">
        <v>550</v>
      </c>
      <c r="R73">
        <v>405</v>
      </c>
      <c r="S73">
        <v>398</v>
      </c>
      <c r="T73">
        <v>199</v>
      </c>
    </row>
    <row r="74" spans="1:20" x14ac:dyDescent="0.35">
      <c r="A74" s="1">
        <v>45888</v>
      </c>
      <c r="B74" s="2">
        <v>0.8488013888888889</v>
      </c>
      <c r="C74">
        <v>79</v>
      </c>
      <c r="D74">
        <v>108</v>
      </c>
      <c r="E74">
        <v>0</v>
      </c>
      <c r="F74">
        <v>0</v>
      </c>
      <c r="G74">
        <v>0</v>
      </c>
      <c r="H74">
        <v>2368</v>
      </c>
      <c r="I74">
        <v>1784</v>
      </c>
      <c r="J74">
        <v>0</v>
      </c>
      <c r="K74">
        <v>100</v>
      </c>
      <c r="L74">
        <v>4010</v>
      </c>
      <c r="M74">
        <v>4000</v>
      </c>
      <c r="N74">
        <v>249</v>
      </c>
      <c r="O74">
        <v>4012</v>
      </c>
      <c r="P74">
        <v>4008</v>
      </c>
      <c r="Q74">
        <v>541</v>
      </c>
      <c r="R74">
        <v>405</v>
      </c>
      <c r="S74">
        <v>398</v>
      </c>
      <c r="T74">
        <v>83</v>
      </c>
    </row>
    <row r="75" spans="1:20" x14ac:dyDescent="0.35">
      <c r="A75" s="1">
        <v>45888</v>
      </c>
      <c r="B75" s="2">
        <v>0.8488171180555556</v>
      </c>
      <c r="C75">
        <v>79</v>
      </c>
      <c r="D75">
        <v>113</v>
      </c>
      <c r="E75">
        <v>0</v>
      </c>
      <c r="F75">
        <v>0</v>
      </c>
      <c r="G75">
        <v>0</v>
      </c>
      <c r="H75">
        <v>2368</v>
      </c>
      <c r="I75">
        <v>1784</v>
      </c>
      <c r="J75">
        <v>0</v>
      </c>
      <c r="K75">
        <v>100</v>
      </c>
      <c r="L75">
        <v>4009</v>
      </c>
      <c r="M75">
        <v>4002</v>
      </c>
      <c r="N75">
        <v>253</v>
      </c>
      <c r="O75">
        <v>4012</v>
      </c>
      <c r="P75">
        <v>4008</v>
      </c>
      <c r="Q75">
        <v>538</v>
      </c>
      <c r="R75">
        <v>404</v>
      </c>
      <c r="S75">
        <v>398</v>
      </c>
      <c r="T75">
        <v>66</v>
      </c>
    </row>
    <row r="76" spans="1:20" x14ac:dyDescent="0.35">
      <c r="A76" s="1">
        <v>45888</v>
      </c>
      <c r="B76" s="2">
        <v>0.84883290509259257</v>
      </c>
      <c r="C76">
        <v>79</v>
      </c>
      <c r="D76">
        <v>118</v>
      </c>
      <c r="E76">
        <v>0</v>
      </c>
      <c r="F76">
        <v>0</v>
      </c>
      <c r="G76">
        <v>0</v>
      </c>
      <c r="H76">
        <v>2368</v>
      </c>
      <c r="I76">
        <v>1784</v>
      </c>
      <c r="J76">
        <v>0</v>
      </c>
      <c r="K76">
        <v>100</v>
      </c>
      <c r="L76">
        <v>4009</v>
      </c>
      <c r="M76">
        <v>4003</v>
      </c>
      <c r="N76">
        <v>257</v>
      </c>
      <c r="O76">
        <v>4012</v>
      </c>
      <c r="P76">
        <v>4008</v>
      </c>
      <c r="Q76">
        <v>538</v>
      </c>
      <c r="R76">
        <v>404</v>
      </c>
      <c r="S76">
        <v>398</v>
      </c>
      <c r="T76">
        <v>211</v>
      </c>
    </row>
    <row r="77" spans="1:20" x14ac:dyDescent="0.35">
      <c r="A77" s="1">
        <v>45888</v>
      </c>
      <c r="B77" s="2">
        <v>0.84884884259259252</v>
      </c>
      <c r="C77">
        <v>79</v>
      </c>
      <c r="D77">
        <v>123</v>
      </c>
      <c r="E77">
        <v>0</v>
      </c>
      <c r="F77">
        <v>0</v>
      </c>
      <c r="G77">
        <v>0</v>
      </c>
      <c r="H77">
        <v>2368</v>
      </c>
      <c r="I77">
        <v>1784</v>
      </c>
      <c r="J77">
        <v>0</v>
      </c>
      <c r="K77">
        <v>100</v>
      </c>
      <c r="L77">
        <v>4010</v>
      </c>
      <c r="M77">
        <v>4005</v>
      </c>
      <c r="N77">
        <v>266</v>
      </c>
      <c r="O77">
        <v>4012</v>
      </c>
      <c r="P77">
        <v>4008</v>
      </c>
      <c r="Q77">
        <v>536</v>
      </c>
      <c r="R77">
        <v>404</v>
      </c>
      <c r="S77">
        <v>397</v>
      </c>
      <c r="T77">
        <v>95</v>
      </c>
    </row>
    <row r="78" spans="1:20" x14ac:dyDescent="0.35">
      <c r="A78" s="1">
        <v>45888</v>
      </c>
      <c r="B78" s="2">
        <v>0.84886453703703701</v>
      </c>
      <c r="C78">
        <v>79</v>
      </c>
      <c r="D78">
        <v>128</v>
      </c>
      <c r="E78">
        <v>0</v>
      </c>
      <c r="F78">
        <v>0</v>
      </c>
      <c r="G78">
        <v>0</v>
      </c>
      <c r="H78">
        <v>2368</v>
      </c>
      <c r="I78">
        <v>1784</v>
      </c>
      <c r="J78">
        <v>0</v>
      </c>
      <c r="K78">
        <v>100</v>
      </c>
      <c r="L78">
        <v>4010</v>
      </c>
      <c r="M78">
        <v>4007</v>
      </c>
      <c r="N78">
        <v>272</v>
      </c>
      <c r="O78">
        <v>4012</v>
      </c>
      <c r="P78">
        <v>4008</v>
      </c>
      <c r="Q78">
        <v>534</v>
      </c>
      <c r="R78">
        <v>405</v>
      </c>
      <c r="S78">
        <v>400</v>
      </c>
      <c r="T78">
        <v>82</v>
      </c>
    </row>
    <row r="79" spans="1:20" x14ac:dyDescent="0.35">
      <c r="A79" s="1">
        <v>45888</v>
      </c>
      <c r="B79" s="2">
        <v>0.84888031250000007</v>
      </c>
      <c r="C79">
        <v>79</v>
      </c>
      <c r="D79">
        <v>133</v>
      </c>
      <c r="E79">
        <v>0</v>
      </c>
      <c r="F79">
        <v>0</v>
      </c>
      <c r="G79">
        <v>0</v>
      </c>
      <c r="H79">
        <v>2368</v>
      </c>
      <c r="I79">
        <v>1784</v>
      </c>
      <c r="J79">
        <v>0</v>
      </c>
      <c r="K79">
        <v>100</v>
      </c>
      <c r="L79">
        <v>4010</v>
      </c>
      <c r="M79">
        <v>4008</v>
      </c>
      <c r="N79">
        <v>277</v>
      </c>
      <c r="O79">
        <v>4012</v>
      </c>
      <c r="P79">
        <v>4008</v>
      </c>
      <c r="Q79">
        <v>534</v>
      </c>
      <c r="R79">
        <v>404</v>
      </c>
      <c r="S79">
        <v>398</v>
      </c>
      <c r="T79">
        <v>159</v>
      </c>
    </row>
    <row r="80" spans="1:20" x14ac:dyDescent="0.35">
      <c r="A80" s="1">
        <v>45888</v>
      </c>
      <c r="B80" s="2">
        <v>0.84889626157407405</v>
      </c>
      <c r="C80">
        <v>79</v>
      </c>
      <c r="D80">
        <v>138</v>
      </c>
      <c r="E80">
        <v>0</v>
      </c>
      <c r="F80">
        <v>0</v>
      </c>
      <c r="G80">
        <v>0</v>
      </c>
      <c r="H80">
        <v>2368</v>
      </c>
      <c r="I80">
        <v>1784</v>
      </c>
      <c r="J80">
        <v>0</v>
      </c>
      <c r="K80">
        <v>100</v>
      </c>
      <c r="L80">
        <v>4010</v>
      </c>
      <c r="M80">
        <v>4008</v>
      </c>
      <c r="N80">
        <v>276</v>
      </c>
      <c r="O80">
        <v>4012</v>
      </c>
      <c r="P80">
        <v>4008</v>
      </c>
      <c r="Q80">
        <v>543</v>
      </c>
      <c r="R80">
        <v>404</v>
      </c>
      <c r="S80">
        <v>398</v>
      </c>
      <c r="T80">
        <v>182</v>
      </c>
    </row>
    <row r="81" spans="1:20" x14ac:dyDescent="0.35">
      <c r="A81" s="1">
        <v>45888</v>
      </c>
      <c r="B81" s="2">
        <v>0.8489119444444444</v>
      </c>
      <c r="C81">
        <v>79</v>
      </c>
      <c r="D81">
        <v>143</v>
      </c>
      <c r="E81">
        <v>0</v>
      </c>
      <c r="F81">
        <v>0</v>
      </c>
      <c r="G81">
        <v>0</v>
      </c>
      <c r="H81">
        <v>2368</v>
      </c>
      <c r="I81">
        <v>1784</v>
      </c>
      <c r="J81">
        <v>0</v>
      </c>
      <c r="K81">
        <v>100</v>
      </c>
      <c r="L81">
        <v>4010</v>
      </c>
      <c r="M81">
        <v>4009</v>
      </c>
      <c r="N81">
        <v>279</v>
      </c>
      <c r="O81">
        <v>4012</v>
      </c>
      <c r="P81">
        <v>4008</v>
      </c>
      <c r="Q81">
        <v>555</v>
      </c>
      <c r="R81">
        <v>404</v>
      </c>
      <c r="S81">
        <v>398</v>
      </c>
      <c r="T81">
        <v>28</v>
      </c>
    </row>
    <row r="82" spans="1:20" x14ac:dyDescent="0.35">
      <c r="A82" s="1">
        <v>45888</v>
      </c>
      <c r="B82" s="2">
        <v>0.84892768518518513</v>
      </c>
      <c r="C82">
        <v>79</v>
      </c>
      <c r="D82">
        <v>148</v>
      </c>
      <c r="E82">
        <v>0</v>
      </c>
      <c r="F82">
        <v>0</v>
      </c>
      <c r="G82">
        <v>0</v>
      </c>
      <c r="H82">
        <v>2368</v>
      </c>
      <c r="I82">
        <v>1784</v>
      </c>
      <c r="J82">
        <v>0</v>
      </c>
      <c r="K82">
        <v>100</v>
      </c>
      <c r="L82">
        <v>4010</v>
      </c>
      <c r="M82">
        <v>4010</v>
      </c>
      <c r="N82">
        <v>283</v>
      </c>
      <c r="O82">
        <v>4012</v>
      </c>
      <c r="P82">
        <v>4008</v>
      </c>
      <c r="Q82">
        <v>559</v>
      </c>
      <c r="R82">
        <v>405</v>
      </c>
      <c r="S82">
        <v>398</v>
      </c>
      <c r="T82">
        <v>155</v>
      </c>
    </row>
    <row r="83" spans="1:20" x14ac:dyDescent="0.35">
      <c r="A83" s="1">
        <v>45888</v>
      </c>
      <c r="B83" s="2">
        <v>0.84894346064814807</v>
      </c>
      <c r="C83">
        <v>79</v>
      </c>
      <c r="D83">
        <v>153</v>
      </c>
      <c r="E83">
        <v>0</v>
      </c>
      <c r="F83">
        <v>0</v>
      </c>
      <c r="G83">
        <v>0</v>
      </c>
      <c r="H83">
        <v>2368</v>
      </c>
      <c r="I83">
        <v>1784</v>
      </c>
      <c r="J83">
        <v>0</v>
      </c>
      <c r="K83">
        <v>100</v>
      </c>
      <c r="L83">
        <v>4010</v>
      </c>
      <c r="M83">
        <v>4011</v>
      </c>
      <c r="N83">
        <v>287</v>
      </c>
      <c r="O83">
        <v>4012</v>
      </c>
      <c r="P83">
        <v>4008</v>
      </c>
      <c r="Q83">
        <v>557</v>
      </c>
      <c r="R83">
        <v>404</v>
      </c>
      <c r="S83">
        <v>398</v>
      </c>
      <c r="T83">
        <v>237</v>
      </c>
    </row>
    <row r="84" spans="1:20" x14ac:dyDescent="0.35">
      <c r="A84" s="1">
        <v>45888</v>
      </c>
      <c r="B84" s="2">
        <v>0.84895918981481477</v>
      </c>
      <c r="C84">
        <v>79</v>
      </c>
      <c r="D84">
        <v>158</v>
      </c>
      <c r="E84">
        <v>0</v>
      </c>
      <c r="F84">
        <v>0</v>
      </c>
      <c r="G84">
        <v>0</v>
      </c>
      <c r="H84">
        <v>2368</v>
      </c>
      <c r="I84">
        <v>1784</v>
      </c>
      <c r="J84">
        <v>0</v>
      </c>
      <c r="K84">
        <v>100</v>
      </c>
      <c r="L84">
        <v>4010</v>
      </c>
      <c r="M84">
        <v>4012</v>
      </c>
      <c r="N84">
        <v>291</v>
      </c>
      <c r="O84">
        <v>4012</v>
      </c>
      <c r="P84">
        <v>4009</v>
      </c>
      <c r="Q84">
        <v>554</v>
      </c>
      <c r="R84">
        <v>404</v>
      </c>
      <c r="S84">
        <v>398</v>
      </c>
      <c r="T84">
        <v>222</v>
      </c>
    </row>
    <row r="85" spans="1:20" x14ac:dyDescent="0.35">
      <c r="A85" s="1">
        <v>45888</v>
      </c>
      <c r="B85" s="2">
        <v>0.84897498842592589</v>
      </c>
      <c r="C85">
        <v>79</v>
      </c>
      <c r="D85">
        <v>163</v>
      </c>
      <c r="E85">
        <v>0</v>
      </c>
      <c r="F85">
        <v>0</v>
      </c>
      <c r="G85">
        <v>0</v>
      </c>
      <c r="H85">
        <v>2368</v>
      </c>
      <c r="I85">
        <v>1784</v>
      </c>
      <c r="J85">
        <v>0</v>
      </c>
      <c r="K85">
        <v>100</v>
      </c>
      <c r="L85">
        <v>4010</v>
      </c>
      <c r="M85">
        <v>4012</v>
      </c>
      <c r="N85">
        <v>295</v>
      </c>
      <c r="O85">
        <v>4012</v>
      </c>
      <c r="P85">
        <v>4008</v>
      </c>
      <c r="Q85">
        <v>553</v>
      </c>
      <c r="R85">
        <v>405</v>
      </c>
      <c r="S85">
        <v>398</v>
      </c>
      <c r="T85">
        <v>189</v>
      </c>
    </row>
    <row r="86" spans="1:20" x14ac:dyDescent="0.35">
      <c r="A86" s="1">
        <v>45888</v>
      </c>
      <c r="B86" s="2">
        <v>0.84899068287037038</v>
      </c>
      <c r="C86">
        <v>79</v>
      </c>
      <c r="D86">
        <v>168</v>
      </c>
      <c r="E86">
        <v>0</v>
      </c>
      <c r="F86">
        <v>0</v>
      </c>
      <c r="G86">
        <v>0</v>
      </c>
      <c r="H86">
        <v>2368</v>
      </c>
      <c r="I86">
        <v>1784</v>
      </c>
      <c r="J86">
        <v>0</v>
      </c>
      <c r="K86">
        <v>100</v>
      </c>
      <c r="L86">
        <v>4010</v>
      </c>
      <c r="M86">
        <v>4013</v>
      </c>
      <c r="N86">
        <v>298</v>
      </c>
      <c r="O86">
        <v>4012</v>
      </c>
      <c r="P86">
        <v>4009</v>
      </c>
      <c r="Q86">
        <v>555</v>
      </c>
      <c r="R86">
        <v>404</v>
      </c>
      <c r="S86">
        <v>398</v>
      </c>
      <c r="T86">
        <v>119</v>
      </c>
    </row>
    <row r="87" spans="1:20" x14ac:dyDescent="0.35">
      <c r="A87" s="1">
        <v>45888</v>
      </c>
      <c r="B87" s="2">
        <v>0.84900642361111112</v>
      </c>
      <c r="C87">
        <v>79</v>
      </c>
      <c r="D87">
        <v>173</v>
      </c>
      <c r="E87">
        <v>0</v>
      </c>
      <c r="F87">
        <v>0</v>
      </c>
      <c r="G87">
        <v>0</v>
      </c>
      <c r="H87">
        <v>2368</v>
      </c>
      <c r="I87">
        <v>1784</v>
      </c>
      <c r="J87">
        <v>0</v>
      </c>
      <c r="K87">
        <v>100</v>
      </c>
      <c r="L87">
        <v>4011</v>
      </c>
      <c r="M87">
        <v>4013</v>
      </c>
      <c r="N87">
        <v>303</v>
      </c>
      <c r="O87">
        <v>4012</v>
      </c>
      <c r="P87">
        <v>4008</v>
      </c>
      <c r="Q87">
        <v>560</v>
      </c>
      <c r="R87">
        <v>404</v>
      </c>
      <c r="S87">
        <v>398</v>
      </c>
      <c r="T87">
        <v>53</v>
      </c>
    </row>
    <row r="88" spans="1:20" x14ac:dyDescent="0.35">
      <c r="A88" s="1">
        <v>45888</v>
      </c>
      <c r="B88" s="2">
        <v>0.84902215277777771</v>
      </c>
      <c r="C88">
        <v>79</v>
      </c>
      <c r="D88">
        <v>178</v>
      </c>
      <c r="E88">
        <v>0</v>
      </c>
      <c r="F88">
        <v>0</v>
      </c>
      <c r="G88">
        <v>0</v>
      </c>
      <c r="H88">
        <v>2368</v>
      </c>
      <c r="I88">
        <v>1784</v>
      </c>
      <c r="J88">
        <v>0</v>
      </c>
      <c r="K88">
        <v>100</v>
      </c>
      <c r="L88">
        <v>4011</v>
      </c>
      <c r="M88">
        <v>4013</v>
      </c>
      <c r="N88">
        <v>307</v>
      </c>
      <c r="O88">
        <v>4012</v>
      </c>
      <c r="P88">
        <v>4008</v>
      </c>
      <c r="Q88">
        <v>563</v>
      </c>
      <c r="R88">
        <v>404</v>
      </c>
      <c r="S88">
        <v>399</v>
      </c>
      <c r="T88">
        <v>67</v>
      </c>
    </row>
    <row r="89" spans="1:20" x14ac:dyDescent="0.35">
      <c r="A89" s="1">
        <v>45888</v>
      </c>
      <c r="B89" s="2">
        <v>0.84903790509259258</v>
      </c>
      <c r="C89">
        <v>79</v>
      </c>
      <c r="D89">
        <v>183</v>
      </c>
      <c r="E89">
        <v>0</v>
      </c>
      <c r="F89">
        <v>0</v>
      </c>
      <c r="G89">
        <v>0</v>
      </c>
      <c r="H89">
        <v>2368</v>
      </c>
      <c r="I89">
        <v>1784</v>
      </c>
      <c r="J89">
        <v>0</v>
      </c>
      <c r="K89">
        <v>100</v>
      </c>
      <c r="L89">
        <v>4011</v>
      </c>
      <c r="M89">
        <v>4013</v>
      </c>
      <c r="N89">
        <v>310</v>
      </c>
      <c r="O89">
        <v>4012</v>
      </c>
      <c r="P89">
        <v>4009</v>
      </c>
      <c r="Q89">
        <v>566</v>
      </c>
      <c r="R89">
        <v>405</v>
      </c>
      <c r="S89">
        <v>398</v>
      </c>
      <c r="T89">
        <v>184</v>
      </c>
    </row>
    <row r="90" spans="1:20" x14ac:dyDescent="0.35">
      <c r="A90" s="1">
        <v>45888</v>
      </c>
      <c r="B90" s="2">
        <v>0.84905381944444447</v>
      </c>
      <c r="C90">
        <v>79</v>
      </c>
      <c r="D90">
        <v>188</v>
      </c>
      <c r="E90">
        <v>0</v>
      </c>
      <c r="F90">
        <v>0</v>
      </c>
      <c r="G90">
        <v>0</v>
      </c>
      <c r="H90">
        <v>2368</v>
      </c>
      <c r="I90">
        <v>1784</v>
      </c>
      <c r="J90">
        <v>0</v>
      </c>
      <c r="K90">
        <v>100</v>
      </c>
      <c r="L90">
        <v>4010</v>
      </c>
      <c r="M90">
        <v>4013</v>
      </c>
      <c r="N90">
        <v>315</v>
      </c>
      <c r="O90">
        <v>4012</v>
      </c>
      <c r="P90">
        <v>4008</v>
      </c>
      <c r="Q90">
        <v>568</v>
      </c>
      <c r="R90">
        <v>404</v>
      </c>
      <c r="S90">
        <v>398</v>
      </c>
      <c r="T90">
        <v>197</v>
      </c>
    </row>
    <row r="91" spans="1:20" x14ac:dyDescent="0.35">
      <c r="A91" s="1">
        <v>45888</v>
      </c>
      <c r="B91" s="2">
        <v>0.8490695601851852</v>
      </c>
      <c r="C91">
        <v>79</v>
      </c>
      <c r="D91">
        <v>193</v>
      </c>
      <c r="E91">
        <v>0</v>
      </c>
      <c r="F91">
        <v>0</v>
      </c>
      <c r="G91">
        <v>0</v>
      </c>
      <c r="H91">
        <v>2368</v>
      </c>
      <c r="I91">
        <v>1784</v>
      </c>
      <c r="J91">
        <v>0</v>
      </c>
      <c r="K91">
        <v>100</v>
      </c>
      <c r="L91">
        <v>4010</v>
      </c>
      <c r="M91">
        <v>4014</v>
      </c>
      <c r="N91">
        <v>320</v>
      </c>
      <c r="O91">
        <v>4012</v>
      </c>
      <c r="P91">
        <v>4008</v>
      </c>
      <c r="Q91">
        <v>569</v>
      </c>
      <c r="R91">
        <v>405</v>
      </c>
      <c r="S91">
        <v>398</v>
      </c>
      <c r="T91">
        <v>197</v>
      </c>
    </row>
    <row r="92" spans="1:20" x14ac:dyDescent="0.35">
      <c r="A92" s="1">
        <v>45888</v>
      </c>
      <c r="B92" s="2">
        <v>0.84908535879629632</v>
      </c>
      <c r="C92">
        <v>79</v>
      </c>
      <c r="D92">
        <v>198</v>
      </c>
      <c r="E92">
        <v>0</v>
      </c>
      <c r="F92">
        <v>0</v>
      </c>
      <c r="G92">
        <v>0</v>
      </c>
      <c r="H92">
        <v>2368</v>
      </c>
      <c r="I92">
        <v>1784</v>
      </c>
      <c r="J92">
        <v>0</v>
      </c>
      <c r="K92">
        <v>100</v>
      </c>
      <c r="L92">
        <v>4010</v>
      </c>
      <c r="M92">
        <v>4012</v>
      </c>
      <c r="N92">
        <v>323</v>
      </c>
      <c r="O92">
        <v>4011</v>
      </c>
      <c r="P92">
        <v>4008</v>
      </c>
      <c r="Q92">
        <v>568</v>
      </c>
      <c r="R92">
        <v>404</v>
      </c>
      <c r="S92">
        <v>398</v>
      </c>
      <c r="T92">
        <v>16</v>
      </c>
    </row>
    <row r="93" spans="1:20" x14ac:dyDescent="0.35">
      <c r="A93" s="1">
        <v>45888</v>
      </c>
      <c r="B93" s="2">
        <v>0.84910134259259262</v>
      </c>
      <c r="C93">
        <v>79</v>
      </c>
      <c r="D93">
        <v>203</v>
      </c>
      <c r="E93">
        <v>0</v>
      </c>
      <c r="F93">
        <v>0</v>
      </c>
      <c r="G93">
        <v>0</v>
      </c>
      <c r="H93">
        <v>2368</v>
      </c>
      <c r="I93">
        <v>1784</v>
      </c>
      <c r="J93">
        <v>0</v>
      </c>
      <c r="K93">
        <v>100</v>
      </c>
      <c r="L93">
        <v>4010</v>
      </c>
      <c r="M93">
        <v>4012</v>
      </c>
      <c r="N93">
        <v>327</v>
      </c>
      <c r="O93">
        <v>4012</v>
      </c>
      <c r="P93">
        <v>4009</v>
      </c>
      <c r="Q93">
        <v>570</v>
      </c>
      <c r="R93">
        <v>405</v>
      </c>
      <c r="S93">
        <v>398</v>
      </c>
      <c r="T93">
        <v>69</v>
      </c>
    </row>
    <row r="94" spans="1:20" x14ac:dyDescent="0.35">
      <c r="A94" s="1">
        <v>45888</v>
      </c>
      <c r="B94" s="2">
        <v>0.84911711805555556</v>
      </c>
      <c r="C94">
        <v>79</v>
      </c>
      <c r="D94">
        <v>208</v>
      </c>
      <c r="E94">
        <v>0</v>
      </c>
      <c r="F94">
        <v>0</v>
      </c>
      <c r="G94">
        <v>0</v>
      </c>
      <c r="H94">
        <v>2368</v>
      </c>
      <c r="I94">
        <v>1784</v>
      </c>
      <c r="J94">
        <v>0</v>
      </c>
      <c r="K94">
        <v>100</v>
      </c>
      <c r="L94">
        <v>4011</v>
      </c>
      <c r="M94">
        <v>4013</v>
      </c>
      <c r="N94">
        <v>330</v>
      </c>
      <c r="O94">
        <v>4012</v>
      </c>
      <c r="P94">
        <v>4008</v>
      </c>
      <c r="Q94">
        <v>570</v>
      </c>
      <c r="R94">
        <v>405</v>
      </c>
      <c r="S94">
        <v>398</v>
      </c>
      <c r="T94">
        <v>124</v>
      </c>
    </row>
    <row r="95" spans="1:20" x14ac:dyDescent="0.35">
      <c r="A95" s="1">
        <v>45888</v>
      </c>
      <c r="B95" s="2">
        <v>0.84913302083333331</v>
      </c>
      <c r="C95">
        <v>79</v>
      </c>
      <c r="D95">
        <v>213</v>
      </c>
      <c r="E95">
        <v>0</v>
      </c>
      <c r="F95">
        <v>0</v>
      </c>
      <c r="G95">
        <v>0</v>
      </c>
      <c r="H95">
        <v>2368</v>
      </c>
      <c r="I95">
        <v>1784</v>
      </c>
      <c r="J95">
        <v>0</v>
      </c>
      <c r="K95">
        <v>100</v>
      </c>
      <c r="L95">
        <v>4010</v>
      </c>
      <c r="M95">
        <v>4012</v>
      </c>
      <c r="N95">
        <v>333</v>
      </c>
      <c r="O95">
        <v>4012</v>
      </c>
      <c r="P95">
        <v>4008</v>
      </c>
      <c r="Q95">
        <v>570</v>
      </c>
      <c r="R95">
        <v>404</v>
      </c>
      <c r="S95">
        <v>399</v>
      </c>
      <c r="T95">
        <v>170</v>
      </c>
    </row>
    <row r="96" spans="1:20" x14ac:dyDescent="0.35">
      <c r="A96" s="1">
        <v>45888</v>
      </c>
      <c r="B96" s="2">
        <v>0.84914873842592598</v>
      </c>
      <c r="C96">
        <v>79</v>
      </c>
      <c r="D96">
        <v>218</v>
      </c>
      <c r="E96">
        <v>0</v>
      </c>
      <c r="F96">
        <v>0</v>
      </c>
      <c r="G96">
        <v>0</v>
      </c>
      <c r="H96">
        <v>2368</v>
      </c>
      <c r="I96">
        <v>1784</v>
      </c>
      <c r="J96">
        <v>0</v>
      </c>
      <c r="K96">
        <v>100</v>
      </c>
      <c r="L96">
        <v>4010</v>
      </c>
      <c r="M96">
        <v>4012</v>
      </c>
      <c r="N96">
        <v>336</v>
      </c>
      <c r="O96">
        <v>4011</v>
      </c>
      <c r="P96">
        <v>4008</v>
      </c>
      <c r="Q96">
        <v>571</v>
      </c>
      <c r="R96">
        <v>404</v>
      </c>
      <c r="S96">
        <v>399</v>
      </c>
      <c r="T96">
        <v>129</v>
      </c>
    </row>
    <row r="97" spans="1:20" x14ac:dyDescent="0.35">
      <c r="A97" s="1">
        <v>45888</v>
      </c>
      <c r="B97" s="2">
        <v>0.84916451388888892</v>
      </c>
      <c r="C97">
        <v>79</v>
      </c>
      <c r="D97">
        <v>223</v>
      </c>
      <c r="E97">
        <v>0</v>
      </c>
      <c r="F97">
        <v>0</v>
      </c>
      <c r="G97">
        <v>0</v>
      </c>
      <c r="H97">
        <v>2368</v>
      </c>
      <c r="I97">
        <v>1784</v>
      </c>
      <c r="J97">
        <v>0</v>
      </c>
      <c r="K97">
        <v>100</v>
      </c>
      <c r="L97">
        <v>4011</v>
      </c>
      <c r="M97">
        <v>4012</v>
      </c>
      <c r="N97">
        <v>339</v>
      </c>
      <c r="O97">
        <v>4012</v>
      </c>
      <c r="P97">
        <v>4008</v>
      </c>
      <c r="Q97">
        <v>574</v>
      </c>
      <c r="R97">
        <v>405</v>
      </c>
      <c r="S97">
        <v>398</v>
      </c>
      <c r="T97">
        <v>58</v>
      </c>
    </row>
    <row r="98" spans="1:20" x14ac:dyDescent="0.35">
      <c r="A98" s="1">
        <v>45888</v>
      </c>
      <c r="B98" s="2">
        <v>0.84918024305555551</v>
      </c>
      <c r="C98">
        <v>79</v>
      </c>
      <c r="D98">
        <v>228</v>
      </c>
      <c r="E98">
        <v>0</v>
      </c>
      <c r="F98">
        <v>0</v>
      </c>
      <c r="G98">
        <v>0</v>
      </c>
      <c r="H98">
        <v>2368</v>
      </c>
      <c r="I98">
        <v>1784</v>
      </c>
      <c r="J98">
        <v>0</v>
      </c>
      <c r="K98">
        <v>100</v>
      </c>
      <c r="L98">
        <v>4011</v>
      </c>
      <c r="M98">
        <v>4013</v>
      </c>
      <c r="N98">
        <v>343</v>
      </c>
      <c r="O98">
        <v>4011</v>
      </c>
      <c r="P98">
        <v>4008</v>
      </c>
      <c r="Q98">
        <v>576</v>
      </c>
      <c r="R98">
        <v>404</v>
      </c>
      <c r="S98">
        <v>398</v>
      </c>
      <c r="T98">
        <v>148</v>
      </c>
    </row>
    <row r="99" spans="1:20" x14ac:dyDescent="0.35">
      <c r="A99" s="1">
        <v>45888</v>
      </c>
      <c r="B99" s="2">
        <v>0.84919598379629624</v>
      </c>
      <c r="C99">
        <v>79</v>
      </c>
      <c r="D99">
        <v>233</v>
      </c>
      <c r="E99">
        <v>0</v>
      </c>
      <c r="F99">
        <v>0</v>
      </c>
      <c r="G99">
        <v>0</v>
      </c>
      <c r="H99">
        <v>2368</v>
      </c>
      <c r="I99">
        <v>1784</v>
      </c>
      <c r="J99">
        <v>0</v>
      </c>
      <c r="K99">
        <v>100</v>
      </c>
      <c r="L99">
        <v>4011</v>
      </c>
      <c r="M99">
        <v>4012</v>
      </c>
      <c r="N99">
        <v>346</v>
      </c>
      <c r="O99">
        <v>4012</v>
      </c>
      <c r="P99">
        <v>4008</v>
      </c>
      <c r="Q99">
        <v>576</v>
      </c>
      <c r="R99">
        <v>405</v>
      </c>
      <c r="S99">
        <v>398</v>
      </c>
      <c r="T99">
        <v>169</v>
      </c>
    </row>
    <row r="100" spans="1:20" x14ac:dyDescent="0.35">
      <c r="A100" s="1">
        <v>45888</v>
      </c>
      <c r="B100" s="2">
        <v>0.84921171296296305</v>
      </c>
      <c r="C100">
        <v>79</v>
      </c>
      <c r="D100">
        <v>238</v>
      </c>
      <c r="E100">
        <v>0</v>
      </c>
      <c r="F100">
        <v>0</v>
      </c>
      <c r="G100">
        <v>0</v>
      </c>
      <c r="H100">
        <v>2368</v>
      </c>
      <c r="I100">
        <v>1784</v>
      </c>
      <c r="J100">
        <v>0</v>
      </c>
      <c r="K100">
        <v>100</v>
      </c>
      <c r="L100">
        <v>4011</v>
      </c>
      <c r="M100">
        <v>4013</v>
      </c>
      <c r="N100">
        <v>350</v>
      </c>
      <c r="O100">
        <v>4012</v>
      </c>
      <c r="P100">
        <v>4008</v>
      </c>
      <c r="Q100">
        <v>579</v>
      </c>
      <c r="R100">
        <v>404</v>
      </c>
      <c r="S100">
        <v>398</v>
      </c>
      <c r="T100">
        <v>54</v>
      </c>
    </row>
    <row r="101" spans="1:20" x14ac:dyDescent="0.35">
      <c r="A101" s="1">
        <v>45888</v>
      </c>
      <c r="B101" s="2">
        <v>0.84922760416666665</v>
      </c>
      <c r="C101">
        <v>79</v>
      </c>
      <c r="D101">
        <v>243</v>
      </c>
      <c r="E101">
        <v>0</v>
      </c>
      <c r="F101">
        <v>0</v>
      </c>
      <c r="G101">
        <v>0</v>
      </c>
      <c r="H101">
        <v>2368</v>
      </c>
      <c r="I101">
        <v>1784</v>
      </c>
      <c r="J101">
        <v>0</v>
      </c>
      <c r="K101">
        <v>100</v>
      </c>
      <c r="L101">
        <v>4010</v>
      </c>
      <c r="M101">
        <v>4012</v>
      </c>
      <c r="N101">
        <v>353</v>
      </c>
      <c r="O101">
        <v>4012</v>
      </c>
      <c r="P101">
        <v>4008</v>
      </c>
      <c r="Q101">
        <v>579</v>
      </c>
      <c r="R101">
        <v>405</v>
      </c>
      <c r="S101">
        <v>398</v>
      </c>
      <c r="T101">
        <v>31</v>
      </c>
    </row>
    <row r="102" spans="1:20" x14ac:dyDescent="0.35">
      <c r="A102" s="1">
        <v>45888</v>
      </c>
      <c r="B102" s="2">
        <v>0.84924351851851854</v>
      </c>
      <c r="C102">
        <v>79</v>
      </c>
      <c r="D102">
        <v>248</v>
      </c>
      <c r="E102">
        <v>0</v>
      </c>
      <c r="F102">
        <v>0</v>
      </c>
      <c r="G102">
        <v>0</v>
      </c>
      <c r="H102">
        <v>2368</v>
      </c>
      <c r="I102">
        <v>1784</v>
      </c>
      <c r="J102">
        <v>0</v>
      </c>
      <c r="K102">
        <v>100</v>
      </c>
      <c r="L102">
        <v>4010</v>
      </c>
      <c r="M102">
        <v>4012</v>
      </c>
      <c r="N102">
        <v>356</v>
      </c>
      <c r="O102">
        <v>4011</v>
      </c>
      <c r="P102">
        <v>4008</v>
      </c>
      <c r="Q102">
        <v>582</v>
      </c>
      <c r="R102">
        <v>404</v>
      </c>
      <c r="S102">
        <v>398</v>
      </c>
      <c r="T102">
        <v>39</v>
      </c>
    </row>
    <row r="103" spans="1:20" x14ac:dyDescent="0.35">
      <c r="A103" s="1">
        <v>45888</v>
      </c>
      <c r="B103" s="2">
        <v>0.84925924768518513</v>
      </c>
      <c r="C103">
        <v>79</v>
      </c>
      <c r="D103">
        <v>253</v>
      </c>
      <c r="E103">
        <v>0</v>
      </c>
      <c r="F103">
        <v>0</v>
      </c>
      <c r="G103">
        <v>0</v>
      </c>
      <c r="H103">
        <v>2368</v>
      </c>
      <c r="I103">
        <v>1784</v>
      </c>
      <c r="J103">
        <v>0</v>
      </c>
      <c r="K103">
        <v>100</v>
      </c>
      <c r="L103">
        <v>4010</v>
      </c>
      <c r="M103">
        <v>4013</v>
      </c>
      <c r="N103">
        <v>360</v>
      </c>
      <c r="O103">
        <v>4012</v>
      </c>
      <c r="P103">
        <v>4008</v>
      </c>
      <c r="Q103">
        <v>582</v>
      </c>
      <c r="R103">
        <v>405</v>
      </c>
      <c r="S103">
        <v>398</v>
      </c>
      <c r="T103">
        <v>242</v>
      </c>
    </row>
    <row r="104" spans="1:20" x14ac:dyDescent="0.35">
      <c r="A104" s="1">
        <v>45888</v>
      </c>
      <c r="B104" s="2">
        <v>0.84927503472222221</v>
      </c>
      <c r="C104">
        <v>79</v>
      </c>
      <c r="D104">
        <v>2</v>
      </c>
      <c r="E104">
        <v>0</v>
      </c>
      <c r="F104">
        <v>0</v>
      </c>
      <c r="G104">
        <v>0</v>
      </c>
      <c r="H104">
        <v>2368</v>
      </c>
      <c r="I104">
        <v>1784</v>
      </c>
      <c r="J104">
        <v>0</v>
      </c>
      <c r="K104">
        <v>100</v>
      </c>
      <c r="L104">
        <v>4010</v>
      </c>
      <c r="M104">
        <v>4013</v>
      </c>
      <c r="N104">
        <v>363</v>
      </c>
      <c r="O104">
        <v>4012</v>
      </c>
      <c r="P104">
        <v>4009</v>
      </c>
      <c r="Q104">
        <v>582</v>
      </c>
      <c r="R104">
        <v>404</v>
      </c>
      <c r="S104">
        <v>398</v>
      </c>
      <c r="T104">
        <v>230</v>
      </c>
    </row>
    <row r="105" spans="1:20" x14ac:dyDescent="0.35">
      <c r="A105" s="1">
        <v>45888</v>
      </c>
      <c r="B105" s="2">
        <v>0.84929072916666659</v>
      </c>
      <c r="C105">
        <v>79</v>
      </c>
      <c r="D105">
        <v>7</v>
      </c>
      <c r="E105">
        <v>0</v>
      </c>
      <c r="F105">
        <v>0</v>
      </c>
      <c r="G105">
        <v>0</v>
      </c>
      <c r="H105">
        <v>2368</v>
      </c>
      <c r="I105">
        <v>1784</v>
      </c>
      <c r="J105">
        <v>0</v>
      </c>
      <c r="K105">
        <v>100</v>
      </c>
      <c r="L105">
        <v>4010</v>
      </c>
      <c r="M105">
        <v>4013</v>
      </c>
      <c r="N105">
        <v>367</v>
      </c>
      <c r="O105">
        <v>4012</v>
      </c>
      <c r="P105">
        <v>4008</v>
      </c>
      <c r="Q105">
        <v>582</v>
      </c>
      <c r="R105">
        <v>404</v>
      </c>
      <c r="S105">
        <v>398</v>
      </c>
      <c r="T105">
        <v>131</v>
      </c>
    </row>
    <row r="106" spans="1:20" x14ac:dyDescent="0.35">
      <c r="A106" s="1">
        <v>45888</v>
      </c>
      <c r="B106" s="2">
        <v>0.84930645833333329</v>
      </c>
      <c r="C106">
        <v>79</v>
      </c>
      <c r="D106">
        <v>12</v>
      </c>
      <c r="E106">
        <v>0</v>
      </c>
      <c r="F106">
        <v>0</v>
      </c>
      <c r="G106">
        <v>0</v>
      </c>
      <c r="H106">
        <v>2368</v>
      </c>
      <c r="I106">
        <v>1784</v>
      </c>
      <c r="J106">
        <v>0</v>
      </c>
      <c r="K106">
        <v>100</v>
      </c>
      <c r="L106">
        <v>4010</v>
      </c>
      <c r="M106">
        <v>4013</v>
      </c>
      <c r="N106">
        <v>370</v>
      </c>
      <c r="O106">
        <v>4012</v>
      </c>
      <c r="P106">
        <v>4009</v>
      </c>
      <c r="Q106">
        <v>579</v>
      </c>
      <c r="R106">
        <v>405</v>
      </c>
      <c r="S106">
        <v>398</v>
      </c>
      <c r="T106">
        <v>3</v>
      </c>
    </row>
    <row r="107" spans="1:20" x14ac:dyDescent="0.35">
      <c r="A107" s="1">
        <v>45888</v>
      </c>
      <c r="B107" s="2">
        <v>0.84932224537037027</v>
      </c>
      <c r="C107">
        <v>79</v>
      </c>
      <c r="D107">
        <v>17</v>
      </c>
      <c r="E107">
        <v>0</v>
      </c>
      <c r="F107">
        <v>0</v>
      </c>
      <c r="G107">
        <v>0</v>
      </c>
      <c r="H107">
        <v>2368</v>
      </c>
      <c r="I107">
        <v>1784</v>
      </c>
      <c r="J107">
        <v>0</v>
      </c>
      <c r="K107">
        <v>100</v>
      </c>
      <c r="L107">
        <v>4010</v>
      </c>
      <c r="M107">
        <v>4012</v>
      </c>
      <c r="N107">
        <v>374</v>
      </c>
      <c r="O107">
        <v>4012</v>
      </c>
      <c r="P107">
        <v>4008</v>
      </c>
      <c r="Q107">
        <v>578</v>
      </c>
      <c r="R107">
        <v>404</v>
      </c>
      <c r="S107">
        <v>398</v>
      </c>
      <c r="T107">
        <v>229</v>
      </c>
    </row>
    <row r="108" spans="1:20" x14ac:dyDescent="0.35">
      <c r="A108" s="1">
        <v>45888</v>
      </c>
      <c r="B108" s="2">
        <v>0.84933797453703708</v>
      </c>
      <c r="C108">
        <v>79</v>
      </c>
      <c r="D108">
        <v>22</v>
      </c>
      <c r="E108">
        <v>0</v>
      </c>
      <c r="F108">
        <v>0</v>
      </c>
      <c r="G108">
        <v>0</v>
      </c>
      <c r="H108">
        <v>2368</v>
      </c>
      <c r="I108">
        <v>1784</v>
      </c>
      <c r="J108">
        <v>0</v>
      </c>
      <c r="K108">
        <v>100</v>
      </c>
      <c r="L108">
        <v>4010</v>
      </c>
      <c r="M108">
        <v>4012</v>
      </c>
      <c r="N108">
        <v>378</v>
      </c>
      <c r="O108">
        <v>4012</v>
      </c>
      <c r="P108">
        <v>4009</v>
      </c>
      <c r="Q108">
        <v>576</v>
      </c>
      <c r="R108">
        <v>405</v>
      </c>
      <c r="S108">
        <v>398</v>
      </c>
      <c r="T108">
        <v>171</v>
      </c>
    </row>
    <row r="109" spans="1:20" x14ac:dyDescent="0.35">
      <c r="A109" s="1">
        <v>45888</v>
      </c>
      <c r="B109" s="2">
        <v>0.8493537152777777</v>
      </c>
      <c r="C109">
        <v>79</v>
      </c>
      <c r="D109">
        <v>27</v>
      </c>
      <c r="E109">
        <v>0</v>
      </c>
      <c r="F109">
        <v>0</v>
      </c>
      <c r="G109">
        <v>0</v>
      </c>
      <c r="H109">
        <v>2368</v>
      </c>
      <c r="I109">
        <v>1784</v>
      </c>
      <c r="J109">
        <v>0</v>
      </c>
      <c r="K109">
        <v>100</v>
      </c>
      <c r="L109">
        <v>4010</v>
      </c>
      <c r="M109">
        <v>4012</v>
      </c>
      <c r="N109">
        <v>382</v>
      </c>
      <c r="O109">
        <v>4011</v>
      </c>
      <c r="P109">
        <v>4008</v>
      </c>
      <c r="Q109">
        <v>574</v>
      </c>
      <c r="R109">
        <v>404</v>
      </c>
      <c r="S109">
        <v>398</v>
      </c>
      <c r="T109">
        <v>246</v>
      </c>
    </row>
    <row r="110" spans="1:20" x14ac:dyDescent="0.35">
      <c r="A110" s="1">
        <v>45888</v>
      </c>
      <c r="B110" s="2">
        <v>0.84936945601851843</v>
      </c>
      <c r="C110">
        <v>79</v>
      </c>
      <c r="D110">
        <v>32</v>
      </c>
      <c r="E110">
        <v>0</v>
      </c>
      <c r="F110">
        <v>0</v>
      </c>
      <c r="G110">
        <v>0</v>
      </c>
      <c r="H110">
        <v>2368</v>
      </c>
      <c r="I110">
        <v>1784</v>
      </c>
      <c r="J110">
        <v>0</v>
      </c>
      <c r="K110">
        <v>100</v>
      </c>
      <c r="L110">
        <v>4011</v>
      </c>
      <c r="M110">
        <v>4013</v>
      </c>
      <c r="N110">
        <v>384</v>
      </c>
      <c r="O110">
        <v>4012</v>
      </c>
      <c r="P110">
        <v>4008</v>
      </c>
      <c r="Q110">
        <v>571</v>
      </c>
      <c r="R110">
        <v>404</v>
      </c>
      <c r="S110">
        <v>399</v>
      </c>
      <c r="T110">
        <v>0</v>
      </c>
    </row>
    <row r="111" spans="1:20" x14ac:dyDescent="0.35">
      <c r="A111" s="1">
        <v>45888</v>
      </c>
      <c r="B111" s="2">
        <v>0.84938516203703696</v>
      </c>
      <c r="C111">
        <v>79</v>
      </c>
      <c r="D111">
        <v>37</v>
      </c>
      <c r="E111">
        <v>0</v>
      </c>
      <c r="F111">
        <v>0</v>
      </c>
      <c r="G111">
        <v>0</v>
      </c>
      <c r="H111">
        <v>2368</v>
      </c>
      <c r="I111">
        <v>1784</v>
      </c>
      <c r="J111">
        <v>0</v>
      </c>
      <c r="K111">
        <v>100</v>
      </c>
      <c r="L111">
        <v>4010</v>
      </c>
      <c r="M111">
        <v>4013</v>
      </c>
      <c r="N111">
        <v>388</v>
      </c>
      <c r="O111">
        <v>4011</v>
      </c>
      <c r="P111">
        <v>4008</v>
      </c>
      <c r="Q111">
        <v>569</v>
      </c>
      <c r="R111">
        <v>405</v>
      </c>
      <c r="S111">
        <v>398</v>
      </c>
      <c r="T111">
        <v>207</v>
      </c>
    </row>
    <row r="112" spans="1:20" x14ac:dyDescent="0.35">
      <c r="A112" s="1">
        <v>45888</v>
      </c>
      <c r="B112" s="2">
        <v>0.84940115740740729</v>
      </c>
      <c r="C112">
        <v>79</v>
      </c>
      <c r="D112">
        <v>42</v>
      </c>
      <c r="E112">
        <v>0</v>
      </c>
      <c r="F112">
        <v>0</v>
      </c>
      <c r="G112">
        <v>0</v>
      </c>
      <c r="H112">
        <v>2368</v>
      </c>
      <c r="I112">
        <v>1784</v>
      </c>
      <c r="J112">
        <v>0</v>
      </c>
      <c r="K112">
        <v>100</v>
      </c>
      <c r="L112">
        <v>4009</v>
      </c>
      <c r="M112">
        <v>4012</v>
      </c>
      <c r="N112">
        <v>392</v>
      </c>
      <c r="O112">
        <v>4011</v>
      </c>
      <c r="P112">
        <v>4009</v>
      </c>
      <c r="Q112">
        <v>567</v>
      </c>
      <c r="R112">
        <v>404</v>
      </c>
      <c r="S112">
        <v>398</v>
      </c>
      <c r="T112">
        <v>172</v>
      </c>
    </row>
    <row r="113" spans="1:20" x14ac:dyDescent="0.35">
      <c r="A113" s="1">
        <v>45888</v>
      </c>
      <c r="B113" s="2">
        <v>0.84941712962962967</v>
      </c>
      <c r="C113">
        <v>79</v>
      </c>
      <c r="D113">
        <v>47</v>
      </c>
      <c r="E113">
        <v>0</v>
      </c>
      <c r="F113">
        <v>0</v>
      </c>
      <c r="G113">
        <v>0</v>
      </c>
      <c r="H113">
        <v>2368</v>
      </c>
      <c r="I113">
        <v>1784</v>
      </c>
      <c r="J113">
        <v>0</v>
      </c>
      <c r="K113">
        <v>100</v>
      </c>
      <c r="L113">
        <v>4011</v>
      </c>
      <c r="M113">
        <v>4013</v>
      </c>
      <c r="N113">
        <v>396</v>
      </c>
      <c r="O113">
        <v>4011</v>
      </c>
      <c r="P113">
        <v>4009</v>
      </c>
      <c r="Q113">
        <v>565</v>
      </c>
      <c r="R113">
        <v>405</v>
      </c>
      <c r="S113">
        <v>398</v>
      </c>
      <c r="T113">
        <v>64</v>
      </c>
    </row>
    <row r="114" spans="1:20" x14ac:dyDescent="0.35">
      <c r="A114" s="1">
        <v>45888</v>
      </c>
      <c r="B114" s="2">
        <v>0.84943290509259251</v>
      </c>
      <c r="C114">
        <v>79</v>
      </c>
      <c r="D114">
        <v>52</v>
      </c>
      <c r="E114">
        <v>0</v>
      </c>
      <c r="F114">
        <v>0</v>
      </c>
      <c r="G114">
        <v>0</v>
      </c>
      <c r="H114">
        <v>2368</v>
      </c>
      <c r="I114">
        <v>1784</v>
      </c>
      <c r="J114">
        <v>0</v>
      </c>
      <c r="K114">
        <v>100</v>
      </c>
      <c r="L114">
        <v>4010</v>
      </c>
      <c r="M114">
        <v>4012</v>
      </c>
      <c r="N114">
        <v>398</v>
      </c>
      <c r="O114">
        <v>4011</v>
      </c>
      <c r="P114">
        <v>4008</v>
      </c>
      <c r="Q114">
        <v>563</v>
      </c>
      <c r="R114">
        <v>404</v>
      </c>
      <c r="S114">
        <v>398</v>
      </c>
      <c r="T114">
        <v>252</v>
      </c>
    </row>
    <row r="115" spans="1:20" x14ac:dyDescent="0.35">
      <c r="A115" s="1">
        <v>45888</v>
      </c>
      <c r="B115" s="2">
        <v>0.84944888888888892</v>
      </c>
      <c r="C115">
        <v>79</v>
      </c>
      <c r="D115">
        <v>57</v>
      </c>
      <c r="E115">
        <v>0</v>
      </c>
      <c r="F115">
        <v>0</v>
      </c>
      <c r="G115">
        <v>0</v>
      </c>
      <c r="H115">
        <v>2368</v>
      </c>
      <c r="I115">
        <v>1784</v>
      </c>
      <c r="J115">
        <v>0</v>
      </c>
      <c r="K115">
        <v>100</v>
      </c>
      <c r="L115">
        <v>4010</v>
      </c>
      <c r="M115">
        <v>4013</v>
      </c>
      <c r="N115">
        <v>400</v>
      </c>
      <c r="O115">
        <v>4012</v>
      </c>
      <c r="P115">
        <v>4008</v>
      </c>
      <c r="Q115">
        <v>562</v>
      </c>
      <c r="R115">
        <v>404</v>
      </c>
      <c r="S115">
        <v>399</v>
      </c>
      <c r="T115">
        <v>25</v>
      </c>
    </row>
    <row r="116" spans="1:20" x14ac:dyDescent="0.35">
      <c r="A116" s="1">
        <v>45888</v>
      </c>
      <c r="B116" s="2">
        <v>0.84946459490740733</v>
      </c>
      <c r="C116">
        <v>79</v>
      </c>
      <c r="D116">
        <v>62</v>
      </c>
      <c r="E116">
        <v>0</v>
      </c>
      <c r="F116">
        <v>0</v>
      </c>
      <c r="G116">
        <v>0</v>
      </c>
      <c r="H116">
        <v>2368</v>
      </c>
      <c r="I116">
        <v>1784</v>
      </c>
      <c r="J116">
        <v>0</v>
      </c>
      <c r="K116">
        <v>100</v>
      </c>
      <c r="L116">
        <v>4009</v>
      </c>
      <c r="M116">
        <v>4013</v>
      </c>
      <c r="N116">
        <v>404</v>
      </c>
      <c r="O116">
        <v>4012</v>
      </c>
      <c r="P116">
        <v>4008</v>
      </c>
      <c r="Q116">
        <v>562</v>
      </c>
      <c r="R116">
        <v>404</v>
      </c>
      <c r="S116">
        <v>398</v>
      </c>
      <c r="T116">
        <v>0</v>
      </c>
    </row>
    <row r="117" spans="1:20" x14ac:dyDescent="0.35">
      <c r="A117" s="1">
        <v>45888</v>
      </c>
      <c r="B117" s="2">
        <v>0.84948032407407414</v>
      </c>
      <c r="C117">
        <v>79</v>
      </c>
      <c r="D117">
        <v>67</v>
      </c>
      <c r="E117">
        <v>0</v>
      </c>
      <c r="F117">
        <v>0</v>
      </c>
      <c r="G117">
        <v>0</v>
      </c>
      <c r="H117">
        <v>2368</v>
      </c>
      <c r="I117">
        <v>1784</v>
      </c>
      <c r="J117">
        <v>0</v>
      </c>
      <c r="K117">
        <v>100</v>
      </c>
      <c r="L117">
        <v>4010</v>
      </c>
      <c r="M117">
        <v>4013</v>
      </c>
      <c r="N117">
        <v>408</v>
      </c>
      <c r="O117">
        <v>4012</v>
      </c>
      <c r="P117">
        <v>4008</v>
      </c>
      <c r="Q117">
        <v>562</v>
      </c>
      <c r="R117">
        <v>405</v>
      </c>
      <c r="S117">
        <v>398</v>
      </c>
      <c r="T117">
        <v>151</v>
      </c>
    </row>
    <row r="118" spans="1:20" x14ac:dyDescent="0.35">
      <c r="A118" s="1">
        <v>45888</v>
      </c>
      <c r="B118" s="2">
        <v>0.84949603009259256</v>
      </c>
      <c r="C118">
        <v>79</v>
      </c>
      <c r="D118">
        <v>72</v>
      </c>
      <c r="E118">
        <v>0</v>
      </c>
      <c r="F118">
        <v>0</v>
      </c>
      <c r="G118">
        <v>0</v>
      </c>
      <c r="H118">
        <v>2368</v>
      </c>
      <c r="I118">
        <v>1784</v>
      </c>
      <c r="J118">
        <v>0</v>
      </c>
      <c r="K118">
        <v>100</v>
      </c>
      <c r="L118">
        <v>4010</v>
      </c>
      <c r="M118">
        <v>4013</v>
      </c>
      <c r="N118">
        <v>410</v>
      </c>
      <c r="O118">
        <v>4012</v>
      </c>
      <c r="P118">
        <v>4008</v>
      </c>
      <c r="Q118">
        <v>560</v>
      </c>
      <c r="R118">
        <v>404</v>
      </c>
      <c r="S118">
        <v>399</v>
      </c>
      <c r="T118">
        <v>180</v>
      </c>
    </row>
    <row r="119" spans="1:20" x14ac:dyDescent="0.35">
      <c r="A119" s="1">
        <v>45888</v>
      </c>
      <c r="B119" s="2">
        <v>0.84951184027777782</v>
      </c>
      <c r="C119">
        <v>79</v>
      </c>
      <c r="D119">
        <v>77</v>
      </c>
      <c r="E119">
        <v>0</v>
      </c>
      <c r="F119">
        <v>0</v>
      </c>
      <c r="G119">
        <v>0</v>
      </c>
      <c r="H119">
        <v>2368</v>
      </c>
      <c r="I119">
        <v>1784</v>
      </c>
      <c r="J119">
        <v>0</v>
      </c>
      <c r="K119">
        <v>100</v>
      </c>
      <c r="L119">
        <v>4009</v>
      </c>
      <c r="M119">
        <v>4012</v>
      </c>
      <c r="N119">
        <v>415</v>
      </c>
      <c r="O119">
        <v>4011</v>
      </c>
      <c r="P119">
        <v>4009</v>
      </c>
      <c r="Q119">
        <v>560</v>
      </c>
      <c r="R119">
        <v>405</v>
      </c>
      <c r="S119">
        <v>398</v>
      </c>
      <c r="T119">
        <v>134</v>
      </c>
    </row>
    <row r="120" spans="1:20" x14ac:dyDescent="0.35">
      <c r="A120" s="1">
        <v>45888</v>
      </c>
      <c r="B120" s="2">
        <v>0.84952759259259247</v>
      </c>
      <c r="C120">
        <v>79</v>
      </c>
      <c r="D120">
        <v>82</v>
      </c>
      <c r="E120">
        <v>0</v>
      </c>
      <c r="F120">
        <v>0</v>
      </c>
      <c r="G120">
        <v>0</v>
      </c>
      <c r="H120">
        <v>2368</v>
      </c>
      <c r="I120">
        <v>1784</v>
      </c>
      <c r="J120">
        <v>0</v>
      </c>
      <c r="K120">
        <v>100</v>
      </c>
      <c r="L120">
        <v>4010</v>
      </c>
      <c r="M120">
        <v>4013</v>
      </c>
      <c r="N120">
        <v>420</v>
      </c>
      <c r="O120">
        <v>4012</v>
      </c>
      <c r="P120">
        <v>4008</v>
      </c>
      <c r="Q120">
        <v>560</v>
      </c>
      <c r="R120">
        <v>404</v>
      </c>
      <c r="S120">
        <v>399</v>
      </c>
      <c r="T120">
        <v>114</v>
      </c>
    </row>
    <row r="121" spans="1:20" x14ac:dyDescent="0.35">
      <c r="A121" s="1">
        <v>45888</v>
      </c>
      <c r="B121" s="2">
        <v>0.84954332175925928</v>
      </c>
      <c r="C121">
        <v>79</v>
      </c>
      <c r="D121">
        <v>87</v>
      </c>
      <c r="E121">
        <v>0</v>
      </c>
      <c r="F121">
        <v>0</v>
      </c>
      <c r="G121">
        <v>0</v>
      </c>
      <c r="H121">
        <v>2368</v>
      </c>
      <c r="I121">
        <v>1784</v>
      </c>
      <c r="J121">
        <v>0</v>
      </c>
      <c r="K121">
        <v>100</v>
      </c>
      <c r="L121">
        <v>4010</v>
      </c>
      <c r="M121">
        <v>4013</v>
      </c>
      <c r="N121">
        <v>424</v>
      </c>
      <c r="O121">
        <v>4012</v>
      </c>
      <c r="P121">
        <v>4008</v>
      </c>
      <c r="Q121">
        <v>558</v>
      </c>
      <c r="R121">
        <v>404</v>
      </c>
      <c r="S121">
        <v>398</v>
      </c>
      <c r="T121">
        <v>87</v>
      </c>
    </row>
    <row r="122" spans="1:20" x14ac:dyDescent="0.35">
      <c r="A122" s="1">
        <v>45888</v>
      </c>
      <c r="B122" s="2">
        <v>0.84955912037037029</v>
      </c>
      <c r="C122">
        <v>79</v>
      </c>
      <c r="D122">
        <v>92</v>
      </c>
      <c r="E122">
        <v>0</v>
      </c>
      <c r="F122">
        <v>0</v>
      </c>
      <c r="G122">
        <v>0</v>
      </c>
      <c r="H122">
        <v>2368</v>
      </c>
      <c r="I122">
        <v>1784</v>
      </c>
      <c r="J122">
        <v>0</v>
      </c>
      <c r="K122">
        <v>100</v>
      </c>
      <c r="L122">
        <v>4010</v>
      </c>
      <c r="M122">
        <v>4013</v>
      </c>
      <c r="N122">
        <v>428</v>
      </c>
      <c r="O122">
        <v>4012</v>
      </c>
      <c r="P122">
        <v>4009</v>
      </c>
      <c r="Q122">
        <v>557</v>
      </c>
      <c r="R122">
        <v>405</v>
      </c>
      <c r="S122">
        <v>398</v>
      </c>
      <c r="T122">
        <v>140</v>
      </c>
    </row>
    <row r="123" spans="1:20" x14ac:dyDescent="0.35">
      <c r="A123" s="1">
        <v>45888</v>
      </c>
      <c r="B123" s="2">
        <v>0.84957509259259256</v>
      </c>
      <c r="C123">
        <v>79</v>
      </c>
      <c r="D123">
        <v>97</v>
      </c>
      <c r="E123">
        <v>0</v>
      </c>
      <c r="F123">
        <v>0</v>
      </c>
      <c r="G123">
        <v>0</v>
      </c>
      <c r="H123">
        <v>2368</v>
      </c>
      <c r="I123">
        <v>1784</v>
      </c>
      <c r="J123">
        <v>0</v>
      </c>
      <c r="K123">
        <v>100</v>
      </c>
      <c r="L123">
        <v>4010</v>
      </c>
      <c r="M123">
        <v>4012</v>
      </c>
      <c r="N123">
        <v>432</v>
      </c>
      <c r="O123">
        <v>4011</v>
      </c>
      <c r="P123">
        <v>4008</v>
      </c>
      <c r="Q123">
        <v>555</v>
      </c>
      <c r="R123">
        <v>404</v>
      </c>
      <c r="S123">
        <v>398</v>
      </c>
      <c r="T123">
        <v>241</v>
      </c>
    </row>
    <row r="124" spans="1:20" x14ac:dyDescent="0.35">
      <c r="A124" s="1">
        <v>45888</v>
      </c>
      <c r="B124" s="2">
        <v>0.84959084490740744</v>
      </c>
      <c r="C124">
        <v>79</v>
      </c>
      <c r="D124">
        <v>102</v>
      </c>
      <c r="E124">
        <v>0</v>
      </c>
      <c r="F124">
        <v>0</v>
      </c>
      <c r="G124">
        <v>0</v>
      </c>
      <c r="H124">
        <v>2368</v>
      </c>
      <c r="I124">
        <v>1784</v>
      </c>
      <c r="J124">
        <v>0</v>
      </c>
      <c r="K124">
        <v>100</v>
      </c>
      <c r="L124">
        <v>4010</v>
      </c>
      <c r="M124">
        <v>4012</v>
      </c>
      <c r="N124">
        <v>438</v>
      </c>
      <c r="O124">
        <v>4011</v>
      </c>
      <c r="P124">
        <v>4008</v>
      </c>
      <c r="Q124">
        <v>553</v>
      </c>
      <c r="R124">
        <v>404</v>
      </c>
      <c r="S124">
        <v>398</v>
      </c>
      <c r="T124">
        <v>205</v>
      </c>
    </row>
    <row r="125" spans="1:20" x14ac:dyDescent="0.35">
      <c r="A125" s="1">
        <v>45888</v>
      </c>
      <c r="B125" s="2">
        <v>0.84960660879629624</v>
      </c>
      <c r="C125">
        <v>79</v>
      </c>
      <c r="D125">
        <v>107</v>
      </c>
      <c r="E125">
        <v>0</v>
      </c>
      <c r="F125">
        <v>0</v>
      </c>
      <c r="G125">
        <v>0</v>
      </c>
      <c r="H125">
        <v>2368</v>
      </c>
      <c r="I125">
        <v>1784</v>
      </c>
      <c r="J125">
        <v>0</v>
      </c>
      <c r="K125">
        <v>100</v>
      </c>
      <c r="L125">
        <v>4010</v>
      </c>
      <c r="M125">
        <v>4012</v>
      </c>
      <c r="N125">
        <v>443</v>
      </c>
      <c r="O125">
        <v>4012</v>
      </c>
      <c r="P125">
        <v>4008</v>
      </c>
      <c r="Q125">
        <v>550</v>
      </c>
      <c r="R125">
        <v>405</v>
      </c>
      <c r="S125">
        <v>398</v>
      </c>
      <c r="T125">
        <v>84</v>
      </c>
    </row>
    <row r="126" spans="1:20" x14ac:dyDescent="0.35">
      <c r="A126" s="1">
        <v>45888</v>
      </c>
      <c r="B126" s="2">
        <v>0.84962239583333332</v>
      </c>
      <c r="C126">
        <v>79</v>
      </c>
      <c r="D126">
        <v>112</v>
      </c>
      <c r="E126">
        <v>0</v>
      </c>
      <c r="F126">
        <v>0</v>
      </c>
      <c r="G126">
        <v>0</v>
      </c>
      <c r="H126">
        <v>2368</v>
      </c>
      <c r="I126">
        <v>1784</v>
      </c>
      <c r="J126">
        <v>0</v>
      </c>
      <c r="K126">
        <v>100</v>
      </c>
      <c r="L126">
        <v>4011</v>
      </c>
      <c r="M126">
        <v>4012</v>
      </c>
      <c r="N126">
        <v>450</v>
      </c>
      <c r="O126">
        <v>4011</v>
      </c>
      <c r="P126">
        <v>4008</v>
      </c>
      <c r="Q126">
        <v>547</v>
      </c>
      <c r="R126">
        <v>405</v>
      </c>
      <c r="S126">
        <v>398</v>
      </c>
      <c r="T126">
        <v>20</v>
      </c>
    </row>
    <row r="127" spans="1:20" x14ac:dyDescent="0.35">
      <c r="A127" s="1">
        <v>45888</v>
      </c>
      <c r="B127" s="2">
        <v>0.84963835648148145</v>
      </c>
      <c r="C127">
        <v>79</v>
      </c>
      <c r="D127">
        <v>117</v>
      </c>
      <c r="E127">
        <v>0</v>
      </c>
      <c r="F127">
        <v>0</v>
      </c>
      <c r="G127">
        <v>0</v>
      </c>
      <c r="H127">
        <v>2368</v>
      </c>
      <c r="I127">
        <v>1784</v>
      </c>
      <c r="J127">
        <v>0</v>
      </c>
      <c r="K127">
        <v>100</v>
      </c>
      <c r="L127">
        <v>4010</v>
      </c>
      <c r="M127">
        <v>4013</v>
      </c>
      <c r="N127">
        <v>464</v>
      </c>
      <c r="O127">
        <v>4012</v>
      </c>
      <c r="P127">
        <v>4008</v>
      </c>
      <c r="Q127">
        <v>543</v>
      </c>
      <c r="R127">
        <v>405</v>
      </c>
      <c r="S127">
        <v>398</v>
      </c>
      <c r="T127">
        <v>146</v>
      </c>
    </row>
    <row r="128" spans="1:20" x14ac:dyDescent="0.35">
      <c r="A128" s="1">
        <v>45888</v>
      </c>
      <c r="B128" s="2">
        <v>0.84965409722222229</v>
      </c>
      <c r="C128">
        <v>79</v>
      </c>
      <c r="D128">
        <v>122</v>
      </c>
      <c r="E128">
        <v>0</v>
      </c>
      <c r="F128">
        <v>0</v>
      </c>
      <c r="G128">
        <v>0</v>
      </c>
      <c r="H128">
        <v>2368</v>
      </c>
      <c r="I128">
        <v>1784</v>
      </c>
      <c r="J128">
        <v>0</v>
      </c>
      <c r="K128">
        <v>100</v>
      </c>
      <c r="L128">
        <v>4010</v>
      </c>
      <c r="M128">
        <v>4012</v>
      </c>
      <c r="N128">
        <v>498</v>
      </c>
      <c r="O128">
        <v>4012</v>
      </c>
      <c r="P128">
        <v>4008</v>
      </c>
      <c r="Q128">
        <v>541</v>
      </c>
      <c r="R128">
        <v>405</v>
      </c>
      <c r="S128">
        <v>398</v>
      </c>
      <c r="T128">
        <v>88</v>
      </c>
    </row>
    <row r="129" spans="1:20" x14ac:dyDescent="0.35">
      <c r="A129" s="1">
        <v>45888</v>
      </c>
      <c r="B129" s="2">
        <v>0.84966987268518512</v>
      </c>
      <c r="C129">
        <v>79</v>
      </c>
      <c r="D129">
        <v>127</v>
      </c>
      <c r="E129">
        <v>0</v>
      </c>
      <c r="F129">
        <v>0</v>
      </c>
      <c r="G129">
        <v>0</v>
      </c>
      <c r="H129">
        <v>2368</v>
      </c>
      <c r="I129">
        <v>1784</v>
      </c>
      <c r="J129">
        <v>0</v>
      </c>
      <c r="K129">
        <v>100</v>
      </c>
      <c r="L129">
        <v>4010</v>
      </c>
      <c r="M129">
        <v>4012</v>
      </c>
      <c r="N129">
        <v>562</v>
      </c>
      <c r="O129">
        <v>4011</v>
      </c>
      <c r="P129">
        <v>4008</v>
      </c>
      <c r="Q129">
        <v>538</v>
      </c>
      <c r="R129">
        <v>404</v>
      </c>
      <c r="S129">
        <v>399</v>
      </c>
      <c r="T129">
        <v>44</v>
      </c>
    </row>
    <row r="130" spans="1:20" x14ac:dyDescent="0.35">
      <c r="A130" s="1">
        <v>45888</v>
      </c>
      <c r="B130" s="2">
        <v>0.84968565972222221</v>
      </c>
      <c r="C130">
        <v>79</v>
      </c>
      <c r="D130">
        <v>132</v>
      </c>
      <c r="E130">
        <v>0</v>
      </c>
      <c r="F130">
        <v>0</v>
      </c>
      <c r="G130">
        <v>0</v>
      </c>
      <c r="H130">
        <v>2368</v>
      </c>
      <c r="I130">
        <v>1784</v>
      </c>
      <c r="J130">
        <v>0</v>
      </c>
      <c r="K130">
        <v>100</v>
      </c>
      <c r="L130">
        <v>4010</v>
      </c>
      <c r="M130">
        <v>4012</v>
      </c>
      <c r="N130">
        <v>579</v>
      </c>
      <c r="O130">
        <v>4011</v>
      </c>
      <c r="P130">
        <v>4008</v>
      </c>
      <c r="Q130">
        <v>536</v>
      </c>
      <c r="R130">
        <v>404</v>
      </c>
      <c r="S130">
        <v>398</v>
      </c>
      <c r="T130">
        <v>66</v>
      </c>
    </row>
    <row r="131" spans="1:20" x14ac:dyDescent="0.35">
      <c r="A131" s="1">
        <v>45888</v>
      </c>
      <c r="B131" s="2">
        <v>0.84970146990740736</v>
      </c>
      <c r="C131">
        <v>79</v>
      </c>
      <c r="D131">
        <v>137</v>
      </c>
      <c r="E131">
        <v>0</v>
      </c>
      <c r="F131">
        <v>0</v>
      </c>
      <c r="G131">
        <v>0</v>
      </c>
      <c r="H131">
        <v>2368</v>
      </c>
      <c r="I131">
        <v>1784</v>
      </c>
      <c r="J131">
        <v>0</v>
      </c>
      <c r="K131">
        <v>100</v>
      </c>
      <c r="L131">
        <v>4011</v>
      </c>
      <c r="M131">
        <v>4012</v>
      </c>
      <c r="N131">
        <v>546</v>
      </c>
      <c r="O131">
        <v>4012</v>
      </c>
      <c r="P131">
        <v>4008</v>
      </c>
      <c r="Q131">
        <v>531</v>
      </c>
      <c r="R131">
        <v>405</v>
      </c>
      <c r="S131">
        <v>398</v>
      </c>
      <c r="T131">
        <v>89</v>
      </c>
    </row>
    <row r="132" spans="1:20" x14ac:dyDescent="0.35">
      <c r="A132" s="1">
        <v>45888</v>
      </c>
      <c r="B132" s="2">
        <v>0.84971744212962963</v>
      </c>
      <c r="C132">
        <v>79</v>
      </c>
      <c r="D132">
        <v>142</v>
      </c>
      <c r="E132">
        <v>0</v>
      </c>
      <c r="F132">
        <v>0</v>
      </c>
      <c r="G132">
        <v>0</v>
      </c>
      <c r="H132">
        <v>2368</v>
      </c>
      <c r="I132">
        <v>1784</v>
      </c>
      <c r="J132">
        <v>0</v>
      </c>
      <c r="K132">
        <v>100</v>
      </c>
      <c r="L132">
        <v>4010</v>
      </c>
      <c r="M132">
        <v>4012</v>
      </c>
      <c r="N132">
        <v>486</v>
      </c>
      <c r="O132">
        <v>4012</v>
      </c>
      <c r="P132">
        <v>4008</v>
      </c>
      <c r="Q132">
        <v>530</v>
      </c>
      <c r="R132">
        <v>404</v>
      </c>
      <c r="S132">
        <v>398</v>
      </c>
      <c r="T132">
        <v>188</v>
      </c>
    </row>
    <row r="133" spans="1:20" x14ac:dyDescent="0.35">
      <c r="A133" s="1">
        <v>45888</v>
      </c>
      <c r="B133" s="2">
        <v>0.84973319444444451</v>
      </c>
      <c r="C133">
        <v>79</v>
      </c>
      <c r="D133">
        <v>147</v>
      </c>
      <c r="E133">
        <v>0</v>
      </c>
      <c r="F133">
        <v>0</v>
      </c>
      <c r="G133">
        <v>0</v>
      </c>
      <c r="H133">
        <v>2368</v>
      </c>
      <c r="I133">
        <v>1784</v>
      </c>
      <c r="J133">
        <v>0</v>
      </c>
      <c r="K133">
        <v>100</v>
      </c>
      <c r="L133">
        <v>4010</v>
      </c>
      <c r="M133">
        <v>4013</v>
      </c>
      <c r="N133">
        <v>486</v>
      </c>
      <c r="O133">
        <v>4012</v>
      </c>
      <c r="P133">
        <v>4008</v>
      </c>
      <c r="Q133">
        <v>528</v>
      </c>
      <c r="R133">
        <v>404</v>
      </c>
      <c r="S133">
        <v>399</v>
      </c>
      <c r="T133">
        <v>51</v>
      </c>
    </row>
    <row r="134" spans="1:20" x14ac:dyDescent="0.35">
      <c r="A134" s="1">
        <v>45888</v>
      </c>
      <c r="B134" s="2">
        <v>0.8497491782407407</v>
      </c>
      <c r="C134">
        <v>79</v>
      </c>
      <c r="D134">
        <v>152</v>
      </c>
      <c r="E134">
        <v>0</v>
      </c>
      <c r="F134">
        <v>0</v>
      </c>
      <c r="G134">
        <v>0</v>
      </c>
      <c r="H134">
        <v>2368</v>
      </c>
      <c r="I134">
        <v>1784</v>
      </c>
      <c r="J134">
        <v>0</v>
      </c>
      <c r="K134">
        <v>100</v>
      </c>
      <c r="L134">
        <v>4010</v>
      </c>
      <c r="M134">
        <v>4013</v>
      </c>
      <c r="N134">
        <v>490</v>
      </c>
      <c r="O134">
        <v>4012</v>
      </c>
      <c r="P134">
        <v>4008</v>
      </c>
      <c r="Q134">
        <v>526</v>
      </c>
      <c r="R134">
        <v>405</v>
      </c>
      <c r="S134">
        <v>398</v>
      </c>
      <c r="T134">
        <v>14</v>
      </c>
    </row>
    <row r="135" spans="1:20" x14ac:dyDescent="0.35">
      <c r="A135" s="1">
        <v>45888</v>
      </c>
      <c r="B135" s="2">
        <v>0.84976518518518518</v>
      </c>
      <c r="C135">
        <v>79</v>
      </c>
      <c r="D135">
        <v>157</v>
      </c>
      <c r="E135">
        <v>0</v>
      </c>
      <c r="F135">
        <v>0</v>
      </c>
      <c r="G135">
        <v>0</v>
      </c>
      <c r="H135">
        <v>2368</v>
      </c>
      <c r="I135">
        <v>1784</v>
      </c>
      <c r="J135">
        <v>0</v>
      </c>
      <c r="K135">
        <v>100</v>
      </c>
      <c r="L135">
        <v>4011</v>
      </c>
      <c r="M135">
        <v>4012</v>
      </c>
      <c r="N135">
        <v>494</v>
      </c>
      <c r="O135">
        <v>4011</v>
      </c>
      <c r="P135">
        <v>4008</v>
      </c>
      <c r="Q135">
        <v>523</v>
      </c>
      <c r="R135">
        <v>404</v>
      </c>
      <c r="S135">
        <v>398</v>
      </c>
      <c r="T135">
        <v>123</v>
      </c>
    </row>
    <row r="136" spans="1:20" x14ac:dyDescent="0.35">
      <c r="A136" s="1">
        <v>45888</v>
      </c>
      <c r="B136" s="2">
        <v>0.8497808912037037</v>
      </c>
      <c r="C136">
        <v>79</v>
      </c>
      <c r="D136">
        <v>162</v>
      </c>
      <c r="E136">
        <v>0</v>
      </c>
      <c r="F136">
        <v>0</v>
      </c>
      <c r="G136">
        <v>0</v>
      </c>
      <c r="H136">
        <v>2368</v>
      </c>
      <c r="I136">
        <v>1784</v>
      </c>
      <c r="J136">
        <v>0</v>
      </c>
      <c r="K136">
        <v>100</v>
      </c>
      <c r="L136">
        <v>4010</v>
      </c>
      <c r="M136">
        <v>4012</v>
      </c>
      <c r="N136">
        <v>497</v>
      </c>
      <c r="O136">
        <v>4012</v>
      </c>
      <c r="P136">
        <v>4008</v>
      </c>
      <c r="Q136">
        <v>522</v>
      </c>
      <c r="R136">
        <v>405</v>
      </c>
      <c r="S136">
        <v>398</v>
      </c>
      <c r="T136">
        <v>140</v>
      </c>
    </row>
    <row r="137" spans="1:20" x14ac:dyDescent="0.35">
      <c r="A137" s="1">
        <v>45888</v>
      </c>
      <c r="B137" s="2">
        <v>0.84979663194444444</v>
      </c>
      <c r="C137">
        <v>79</v>
      </c>
      <c r="D137">
        <v>167</v>
      </c>
      <c r="E137">
        <v>0</v>
      </c>
      <c r="F137">
        <v>0</v>
      </c>
      <c r="G137">
        <v>0</v>
      </c>
      <c r="H137">
        <v>2368</v>
      </c>
      <c r="I137">
        <v>1784</v>
      </c>
      <c r="J137">
        <v>0</v>
      </c>
      <c r="K137">
        <v>100</v>
      </c>
      <c r="L137">
        <v>4011</v>
      </c>
      <c r="M137">
        <v>4012</v>
      </c>
      <c r="N137">
        <v>502</v>
      </c>
      <c r="O137">
        <v>4012</v>
      </c>
      <c r="P137">
        <v>4008</v>
      </c>
      <c r="Q137">
        <v>520</v>
      </c>
      <c r="R137">
        <v>404</v>
      </c>
      <c r="S137">
        <v>399</v>
      </c>
      <c r="T137">
        <v>10</v>
      </c>
    </row>
    <row r="138" spans="1:20" x14ac:dyDescent="0.35">
      <c r="A138" s="1">
        <v>45888</v>
      </c>
      <c r="B138" s="2">
        <v>0.84981259259259267</v>
      </c>
      <c r="C138">
        <v>79</v>
      </c>
      <c r="D138">
        <v>172</v>
      </c>
      <c r="E138">
        <v>0</v>
      </c>
      <c r="F138">
        <v>0</v>
      </c>
      <c r="G138">
        <v>0</v>
      </c>
      <c r="H138">
        <v>2368</v>
      </c>
      <c r="I138">
        <v>1784</v>
      </c>
      <c r="J138">
        <v>0</v>
      </c>
      <c r="K138">
        <v>100</v>
      </c>
      <c r="L138">
        <v>4010</v>
      </c>
      <c r="M138">
        <v>4013</v>
      </c>
      <c r="N138">
        <v>504</v>
      </c>
      <c r="O138">
        <v>4011</v>
      </c>
      <c r="P138">
        <v>4008</v>
      </c>
      <c r="Q138">
        <v>519</v>
      </c>
      <c r="R138">
        <v>404</v>
      </c>
      <c r="S138">
        <v>399</v>
      </c>
      <c r="T138">
        <v>124</v>
      </c>
    </row>
    <row r="139" spans="1:20" x14ac:dyDescent="0.35">
      <c r="A139" s="1">
        <v>45888</v>
      </c>
      <c r="B139" s="2">
        <v>0.84982832175925926</v>
      </c>
      <c r="C139">
        <v>79</v>
      </c>
      <c r="D139">
        <v>177</v>
      </c>
      <c r="E139">
        <v>0</v>
      </c>
      <c r="F139">
        <v>0</v>
      </c>
      <c r="G139">
        <v>0</v>
      </c>
      <c r="H139">
        <v>2368</v>
      </c>
      <c r="I139">
        <v>1784</v>
      </c>
      <c r="J139">
        <v>0</v>
      </c>
      <c r="K139">
        <v>100</v>
      </c>
      <c r="L139">
        <v>4010</v>
      </c>
      <c r="M139">
        <v>4013</v>
      </c>
      <c r="N139">
        <v>507</v>
      </c>
      <c r="O139">
        <v>4012</v>
      </c>
      <c r="P139">
        <v>4008</v>
      </c>
      <c r="Q139">
        <v>515</v>
      </c>
      <c r="R139">
        <v>405</v>
      </c>
      <c r="S139">
        <v>398</v>
      </c>
      <c r="T139">
        <v>14</v>
      </c>
    </row>
    <row r="140" spans="1:20" x14ac:dyDescent="0.35">
      <c r="A140" s="1">
        <v>45888</v>
      </c>
      <c r="B140" s="2">
        <v>0.84984424768518529</v>
      </c>
      <c r="C140">
        <v>79</v>
      </c>
      <c r="D140">
        <v>182</v>
      </c>
      <c r="E140">
        <v>0</v>
      </c>
      <c r="F140">
        <v>0</v>
      </c>
      <c r="G140">
        <v>0</v>
      </c>
      <c r="H140">
        <v>2368</v>
      </c>
      <c r="I140">
        <v>1784</v>
      </c>
      <c r="J140">
        <v>0</v>
      </c>
      <c r="K140">
        <v>100</v>
      </c>
      <c r="L140">
        <v>4010</v>
      </c>
      <c r="M140">
        <v>4013</v>
      </c>
      <c r="N140">
        <v>512</v>
      </c>
      <c r="O140">
        <v>4012</v>
      </c>
      <c r="P140">
        <v>4008</v>
      </c>
      <c r="Q140">
        <v>514</v>
      </c>
      <c r="R140">
        <v>405</v>
      </c>
      <c r="S140">
        <v>398</v>
      </c>
      <c r="T140">
        <v>142</v>
      </c>
    </row>
    <row r="141" spans="1:20" x14ac:dyDescent="0.35">
      <c r="A141" s="1">
        <v>45888</v>
      </c>
      <c r="B141" s="2">
        <v>0.8498600810185184</v>
      </c>
      <c r="C141">
        <v>79</v>
      </c>
      <c r="D141">
        <v>187</v>
      </c>
      <c r="E141">
        <v>0</v>
      </c>
      <c r="F141">
        <v>0</v>
      </c>
      <c r="G141">
        <v>0</v>
      </c>
      <c r="H141">
        <v>2368</v>
      </c>
      <c r="I141">
        <v>1784</v>
      </c>
      <c r="J141">
        <v>0</v>
      </c>
      <c r="K141">
        <v>100</v>
      </c>
      <c r="L141">
        <v>4010</v>
      </c>
      <c r="M141">
        <v>4013</v>
      </c>
      <c r="N141">
        <v>512</v>
      </c>
      <c r="O141">
        <v>4011</v>
      </c>
      <c r="P141">
        <v>4008</v>
      </c>
      <c r="Q141">
        <v>512</v>
      </c>
      <c r="R141">
        <v>404</v>
      </c>
      <c r="S141">
        <v>398</v>
      </c>
      <c r="T141">
        <v>120</v>
      </c>
    </row>
    <row r="142" spans="1:20" x14ac:dyDescent="0.35">
      <c r="A142" s="1">
        <v>45888</v>
      </c>
      <c r="B142" s="2">
        <v>0.84987585648148156</v>
      </c>
      <c r="C142">
        <v>79</v>
      </c>
      <c r="D142">
        <v>192</v>
      </c>
      <c r="E142">
        <v>0</v>
      </c>
      <c r="F142">
        <v>0</v>
      </c>
      <c r="G142">
        <v>0</v>
      </c>
      <c r="H142">
        <v>2368</v>
      </c>
      <c r="I142">
        <v>1784</v>
      </c>
      <c r="J142">
        <v>0</v>
      </c>
      <c r="K142">
        <v>100</v>
      </c>
      <c r="L142">
        <v>4011</v>
      </c>
      <c r="M142">
        <v>4013</v>
      </c>
      <c r="N142">
        <v>514</v>
      </c>
      <c r="O142">
        <v>4012</v>
      </c>
      <c r="P142">
        <v>4008</v>
      </c>
      <c r="Q142">
        <v>510</v>
      </c>
      <c r="R142">
        <v>404</v>
      </c>
      <c r="S142">
        <v>398</v>
      </c>
      <c r="T142">
        <v>159</v>
      </c>
    </row>
    <row r="143" spans="1:20" x14ac:dyDescent="0.35">
      <c r="A143" s="1">
        <v>45888</v>
      </c>
      <c r="B143" s="2">
        <v>0.84989159722222229</v>
      </c>
      <c r="C143">
        <v>79</v>
      </c>
      <c r="D143">
        <v>197</v>
      </c>
      <c r="E143">
        <v>0</v>
      </c>
      <c r="F143">
        <v>0</v>
      </c>
      <c r="G143">
        <v>0</v>
      </c>
      <c r="H143">
        <v>2368</v>
      </c>
      <c r="I143">
        <v>1784</v>
      </c>
      <c r="J143">
        <v>0</v>
      </c>
      <c r="K143">
        <v>100</v>
      </c>
      <c r="L143">
        <v>4010</v>
      </c>
      <c r="M143">
        <v>4012</v>
      </c>
      <c r="N143">
        <v>515</v>
      </c>
      <c r="O143">
        <v>4011</v>
      </c>
      <c r="P143">
        <v>4009</v>
      </c>
      <c r="Q143">
        <v>506</v>
      </c>
      <c r="R143">
        <v>404</v>
      </c>
      <c r="S143">
        <v>399</v>
      </c>
      <c r="T143">
        <v>88</v>
      </c>
    </row>
    <row r="144" spans="1:20" x14ac:dyDescent="0.35">
      <c r="A144" s="1">
        <v>45888</v>
      </c>
      <c r="B144" s="2">
        <v>0.84990729166666668</v>
      </c>
      <c r="C144">
        <v>79</v>
      </c>
      <c r="D144">
        <v>202</v>
      </c>
      <c r="E144">
        <v>0</v>
      </c>
      <c r="F144">
        <v>0</v>
      </c>
      <c r="G144">
        <v>0</v>
      </c>
      <c r="H144">
        <v>2368</v>
      </c>
      <c r="I144">
        <v>1784</v>
      </c>
      <c r="J144">
        <v>0</v>
      </c>
      <c r="K144">
        <v>100</v>
      </c>
      <c r="L144">
        <v>4011</v>
      </c>
      <c r="M144">
        <v>4013</v>
      </c>
      <c r="N144">
        <v>517</v>
      </c>
      <c r="O144">
        <v>4012</v>
      </c>
      <c r="P144">
        <v>4008</v>
      </c>
      <c r="Q144">
        <v>503</v>
      </c>
      <c r="R144">
        <v>404</v>
      </c>
      <c r="S144">
        <v>398</v>
      </c>
      <c r="T144">
        <v>50</v>
      </c>
    </row>
    <row r="145" spans="1:20" x14ac:dyDescent="0.35">
      <c r="A145" s="1">
        <v>45888</v>
      </c>
      <c r="B145" s="2">
        <v>0.84992303240740752</v>
      </c>
      <c r="C145">
        <v>79</v>
      </c>
      <c r="D145">
        <v>207</v>
      </c>
      <c r="E145">
        <v>0</v>
      </c>
      <c r="F145">
        <v>0</v>
      </c>
      <c r="G145">
        <v>0</v>
      </c>
      <c r="H145">
        <v>2368</v>
      </c>
      <c r="I145">
        <v>1784</v>
      </c>
      <c r="J145">
        <v>0</v>
      </c>
      <c r="K145">
        <v>100</v>
      </c>
      <c r="L145">
        <v>4010</v>
      </c>
      <c r="M145">
        <v>4013</v>
      </c>
      <c r="N145">
        <v>520</v>
      </c>
      <c r="O145">
        <v>4012</v>
      </c>
      <c r="P145">
        <v>4008</v>
      </c>
      <c r="Q145">
        <v>498</v>
      </c>
      <c r="R145">
        <v>404</v>
      </c>
      <c r="S145">
        <v>398</v>
      </c>
      <c r="T145">
        <v>55</v>
      </c>
    </row>
    <row r="146" spans="1:20" x14ac:dyDescent="0.35">
      <c r="A146" s="1">
        <v>45888</v>
      </c>
      <c r="B146" s="2">
        <v>0.84993876157407411</v>
      </c>
      <c r="C146">
        <v>79</v>
      </c>
      <c r="D146">
        <v>212</v>
      </c>
      <c r="E146">
        <v>0</v>
      </c>
      <c r="F146">
        <v>0</v>
      </c>
      <c r="G146">
        <v>0</v>
      </c>
      <c r="H146">
        <v>2368</v>
      </c>
      <c r="I146">
        <v>1784</v>
      </c>
      <c r="J146">
        <v>0</v>
      </c>
      <c r="K146">
        <v>100</v>
      </c>
      <c r="L146">
        <v>4010</v>
      </c>
      <c r="M146">
        <v>4012</v>
      </c>
      <c r="N146">
        <v>523</v>
      </c>
      <c r="O146">
        <v>4011</v>
      </c>
      <c r="P146">
        <v>4009</v>
      </c>
      <c r="Q146">
        <v>494</v>
      </c>
      <c r="R146">
        <v>405</v>
      </c>
      <c r="S146">
        <v>398</v>
      </c>
      <c r="T146">
        <v>166</v>
      </c>
    </row>
    <row r="147" spans="1:20" x14ac:dyDescent="0.35">
      <c r="A147" s="1">
        <v>45888</v>
      </c>
      <c r="B147" s="2">
        <v>0.84995450231481484</v>
      </c>
      <c r="C147">
        <v>79</v>
      </c>
      <c r="D147">
        <v>217</v>
      </c>
      <c r="E147">
        <v>0</v>
      </c>
      <c r="F147">
        <v>0</v>
      </c>
      <c r="G147">
        <v>0</v>
      </c>
      <c r="H147">
        <v>2368</v>
      </c>
      <c r="I147">
        <v>1784</v>
      </c>
      <c r="J147">
        <v>0</v>
      </c>
      <c r="K147">
        <v>100</v>
      </c>
      <c r="L147">
        <v>4010</v>
      </c>
      <c r="M147">
        <v>4012</v>
      </c>
      <c r="N147">
        <v>525</v>
      </c>
      <c r="O147">
        <v>4011</v>
      </c>
      <c r="P147">
        <v>4008</v>
      </c>
      <c r="Q147">
        <v>490</v>
      </c>
      <c r="R147">
        <v>404</v>
      </c>
      <c r="S147">
        <v>399</v>
      </c>
      <c r="T147">
        <v>233</v>
      </c>
    </row>
    <row r="148" spans="1:20" x14ac:dyDescent="0.35">
      <c r="A148" s="1">
        <v>45888</v>
      </c>
      <c r="B148" s="2">
        <v>0.8499702546296295</v>
      </c>
      <c r="C148">
        <v>79</v>
      </c>
      <c r="D148">
        <v>222</v>
      </c>
      <c r="E148">
        <v>0</v>
      </c>
      <c r="F148">
        <v>0</v>
      </c>
      <c r="G148">
        <v>0</v>
      </c>
      <c r="H148">
        <v>2368</v>
      </c>
      <c r="I148">
        <v>1784</v>
      </c>
      <c r="J148">
        <v>0</v>
      </c>
      <c r="K148">
        <v>100</v>
      </c>
      <c r="L148">
        <v>4011</v>
      </c>
      <c r="M148">
        <v>4012</v>
      </c>
      <c r="N148">
        <v>528</v>
      </c>
      <c r="O148">
        <v>4012</v>
      </c>
      <c r="P148">
        <v>4008</v>
      </c>
      <c r="Q148">
        <v>485</v>
      </c>
      <c r="R148">
        <v>405</v>
      </c>
      <c r="S148">
        <v>399</v>
      </c>
      <c r="T148">
        <v>185</v>
      </c>
    </row>
    <row r="149" spans="1:20" x14ac:dyDescent="0.35">
      <c r="A149" s="1">
        <v>45888</v>
      </c>
      <c r="B149" s="2">
        <v>0.84998623842592591</v>
      </c>
      <c r="C149">
        <v>79</v>
      </c>
      <c r="D149">
        <v>227</v>
      </c>
      <c r="E149">
        <v>0</v>
      </c>
      <c r="F149">
        <v>0</v>
      </c>
      <c r="G149">
        <v>0</v>
      </c>
      <c r="H149">
        <v>2368</v>
      </c>
      <c r="I149">
        <v>1784</v>
      </c>
      <c r="J149">
        <v>0</v>
      </c>
      <c r="K149">
        <v>100</v>
      </c>
      <c r="L149">
        <v>4010</v>
      </c>
      <c r="M149">
        <v>4012</v>
      </c>
      <c r="N149">
        <v>530</v>
      </c>
      <c r="O149">
        <v>4012</v>
      </c>
      <c r="P149">
        <v>4008</v>
      </c>
      <c r="Q149">
        <v>477</v>
      </c>
      <c r="R149">
        <v>404</v>
      </c>
      <c r="S149">
        <v>399</v>
      </c>
      <c r="T149">
        <v>27</v>
      </c>
    </row>
    <row r="150" spans="1:20" x14ac:dyDescent="0.35">
      <c r="A150" s="1">
        <v>45888</v>
      </c>
      <c r="B150" s="2">
        <v>0.85000203703703714</v>
      </c>
      <c r="C150">
        <v>79</v>
      </c>
      <c r="D150">
        <v>232</v>
      </c>
      <c r="E150">
        <v>0</v>
      </c>
      <c r="F150">
        <v>0</v>
      </c>
      <c r="G150">
        <v>0</v>
      </c>
      <c r="H150">
        <v>2368</v>
      </c>
      <c r="I150">
        <v>1784</v>
      </c>
      <c r="J150">
        <v>0</v>
      </c>
      <c r="K150">
        <v>100</v>
      </c>
      <c r="L150">
        <v>4010</v>
      </c>
      <c r="M150">
        <v>4012</v>
      </c>
      <c r="N150">
        <v>532</v>
      </c>
      <c r="O150">
        <v>4012</v>
      </c>
      <c r="P150">
        <v>4008</v>
      </c>
      <c r="Q150">
        <v>470</v>
      </c>
      <c r="R150">
        <v>405</v>
      </c>
      <c r="S150">
        <v>398</v>
      </c>
      <c r="T150">
        <v>63</v>
      </c>
    </row>
    <row r="151" spans="1:20" x14ac:dyDescent="0.35">
      <c r="A151" s="1">
        <v>45888</v>
      </c>
      <c r="B151" s="2">
        <v>0.85001775462962958</v>
      </c>
      <c r="C151">
        <v>79</v>
      </c>
      <c r="D151">
        <v>237</v>
      </c>
      <c r="E151">
        <v>0</v>
      </c>
      <c r="F151">
        <v>0</v>
      </c>
      <c r="G151">
        <v>0</v>
      </c>
      <c r="H151">
        <v>2368</v>
      </c>
      <c r="I151">
        <v>1784</v>
      </c>
      <c r="J151">
        <v>0</v>
      </c>
      <c r="K151">
        <v>100</v>
      </c>
      <c r="L151">
        <v>4010</v>
      </c>
      <c r="M151">
        <v>4013</v>
      </c>
      <c r="N151">
        <v>534</v>
      </c>
      <c r="O151">
        <v>4012</v>
      </c>
      <c r="P151">
        <v>4008</v>
      </c>
      <c r="Q151">
        <v>459</v>
      </c>
      <c r="R151">
        <v>404</v>
      </c>
      <c r="S151">
        <v>398</v>
      </c>
      <c r="T151">
        <v>254</v>
      </c>
    </row>
    <row r="152" spans="1:20" x14ac:dyDescent="0.35">
      <c r="A152" s="1">
        <v>45888</v>
      </c>
      <c r="B152" s="2">
        <v>0.85003347222222225</v>
      </c>
      <c r="C152">
        <v>79</v>
      </c>
      <c r="D152">
        <v>242</v>
      </c>
      <c r="E152">
        <v>0</v>
      </c>
      <c r="F152">
        <v>0</v>
      </c>
      <c r="G152">
        <v>0</v>
      </c>
      <c r="H152">
        <v>2368</v>
      </c>
      <c r="I152">
        <v>1784</v>
      </c>
      <c r="J152">
        <v>0</v>
      </c>
      <c r="K152">
        <v>100</v>
      </c>
      <c r="L152">
        <v>4010</v>
      </c>
      <c r="M152">
        <v>4012</v>
      </c>
      <c r="N152">
        <v>537</v>
      </c>
      <c r="O152">
        <v>4012</v>
      </c>
      <c r="P152">
        <v>4008</v>
      </c>
      <c r="Q152">
        <v>450</v>
      </c>
      <c r="R152">
        <v>404</v>
      </c>
      <c r="S152">
        <v>398</v>
      </c>
      <c r="T152">
        <v>16</v>
      </c>
    </row>
    <row r="153" spans="1:20" x14ac:dyDescent="0.35">
      <c r="A153" s="1">
        <v>45888</v>
      </c>
      <c r="B153" s="2">
        <v>0.85004921296296287</v>
      </c>
      <c r="C153">
        <v>79</v>
      </c>
      <c r="D153">
        <v>247</v>
      </c>
      <c r="E153">
        <v>0</v>
      </c>
      <c r="F153">
        <v>0</v>
      </c>
      <c r="G153">
        <v>0</v>
      </c>
      <c r="H153">
        <v>2368</v>
      </c>
      <c r="I153">
        <v>1784</v>
      </c>
      <c r="J153">
        <v>0</v>
      </c>
      <c r="K153">
        <v>100</v>
      </c>
      <c r="L153">
        <v>4011</v>
      </c>
      <c r="M153">
        <v>4012</v>
      </c>
      <c r="N153">
        <v>538</v>
      </c>
      <c r="O153">
        <v>4011</v>
      </c>
      <c r="P153">
        <v>4008</v>
      </c>
      <c r="Q153">
        <v>437</v>
      </c>
      <c r="R153">
        <v>404</v>
      </c>
      <c r="S153">
        <v>398</v>
      </c>
      <c r="T153">
        <v>157</v>
      </c>
    </row>
    <row r="154" spans="1:20" x14ac:dyDescent="0.35">
      <c r="A154" s="1">
        <v>45888</v>
      </c>
      <c r="B154" s="2">
        <v>0.85006511574074084</v>
      </c>
      <c r="C154">
        <v>79</v>
      </c>
      <c r="D154">
        <v>252</v>
      </c>
      <c r="E154">
        <v>0</v>
      </c>
      <c r="F154">
        <v>0</v>
      </c>
      <c r="G154">
        <v>0</v>
      </c>
      <c r="H154">
        <v>2368</v>
      </c>
      <c r="I154">
        <v>1784</v>
      </c>
      <c r="J154">
        <v>0</v>
      </c>
      <c r="K154">
        <v>100</v>
      </c>
      <c r="L154">
        <v>4009</v>
      </c>
      <c r="M154">
        <v>4012</v>
      </c>
      <c r="N154">
        <v>540</v>
      </c>
      <c r="O154">
        <v>4012</v>
      </c>
      <c r="P154">
        <v>4007</v>
      </c>
      <c r="Q154">
        <v>423</v>
      </c>
      <c r="R154">
        <v>405</v>
      </c>
      <c r="S154">
        <v>398</v>
      </c>
      <c r="T154">
        <v>11</v>
      </c>
    </row>
    <row r="155" spans="1:20" x14ac:dyDescent="0.35">
      <c r="A155" s="1">
        <v>45888</v>
      </c>
      <c r="B155" s="2">
        <v>0.85008085648148157</v>
      </c>
      <c r="C155">
        <v>79</v>
      </c>
      <c r="D155">
        <v>1</v>
      </c>
      <c r="E155">
        <v>0</v>
      </c>
      <c r="F155">
        <v>0</v>
      </c>
      <c r="G155">
        <v>0</v>
      </c>
      <c r="H155">
        <v>2368</v>
      </c>
      <c r="I155">
        <v>1784</v>
      </c>
      <c r="J155">
        <v>0</v>
      </c>
      <c r="K155">
        <v>100</v>
      </c>
      <c r="L155">
        <v>4011</v>
      </c>
      <c r="M155">
        <v>4012</v>
      </c>
      <c r="N155">
        <v>542</v>
      </c>
      <c r="O155">
        <v>4012</v>
      </c>
      <c r="P155">
        <v>4008</v>
      </c>
      <c r="Q155">
        <v>406</v>
      </c>
      <c r="R155">
        <v>404</v>
      </c>
      <c r="S155">
        <v>398</v>
      </c>
      <c r="T155">
        <v>3</v>
      </c>
    </row>
    <row r="156" spans="1:20" x14ac:dyDescent="0.35">
      <c r="A156" s="1">
        <v>45888</v>
      </c>
      <c r="B156" s="2">
        <v>0.85009675925925932</v>
      </c>
      <c r="C156">
        <v>79</v>
      </c>
      <c r="D156">
        <v>6</v>
      </c>
      <c r="E156">
        <v>0</v>
      </c>
      <c r="F156">
        <v>0</v>
      </c>
      <c r="G156">
        <v>0</v>
      </c>
      <c r="H156">
        <v>2368</v>
      </c>
      <c r="I156">
        <v>1784</v>
      </c>
      <c r="J156">
        <v>0</v>
      </c>
      <c r="K156">
        <v>100</v>
      </c>
      <c r="L156">
        <v>4010</v>
      </c>
      <c r="M156">
        <v>4012</v>
      </c>
      <c r="N156">
        <v>542</v>
      </c>
      <c r="O156">
        <v>4012</v>
      </c>
      <c r="P156">
        <v>4008</v>
      </c>
      <c r="Q156">
        <v>388</v>
      </c>
      <c r="R156">
        <v>405</v>
      </c>
      <c r="S156">
        <v>398</v>
      </c>
      <c r="T156">
        <v>145</v>
      </c>
    </row>
    <row r="157" spans="1:20" x14ac:dyDescent="0.35">
      <c r="A157" s="1">
        <v>45888</v>
      </c>
      <c r="B157" s="2">
        <v>0.85011275462962965</v>
      </c>
      <c r="C157">
        <v>79</v>
      </c>
      <c r="D157">
        <v>11</v>
      </c>
      <c r="E157">
        <v>0</v>
      </c>
      <c r="F157">
        <v>0</v>
      </c>
      <c r="G157">
        <v>0</v>
      </c>
      <c r="H157">
        <v>2368</v>
      </c>
      <c r="I157">
        <v>1784</v>
      </c>
      <c r="J157">
        <v>0</v>
      </c>
      <c r="K157">
        <v>100</v>
      </c>
      <c r="L157">
        <v>4010</v>
      </c>
      <c r="M157">
        <v>4012</v>
      </c>
      <c r="N157">
        <v>543</v>
      </c>
      <c r="O157">
        <v>4012</v>
      </c>
      <c r="P157">
        <v>4008</v>
      </c>
      <c r="Q157">
        <v>372</v>
      </c>
      <c r="R157">
        <v>404</v>
      </c>
      <c r="S157">
        <v>398</v>
      </c>
      <c r="T157">
        <v>221</v>
      </c>
    </row>
    <row r="158" spans="1:20" x14ac:dyDescent="0.35">
      <c r="A158" s="1">
        <v>45888</v>
      </c>
      <c r="B158" s="2">
        <v>0.85012854166666663</v>
      </c>
      <c r="C158">
        <v>79</v>
      </c>
      <c r="D158">
        <v>16</v>
      </c>
      <c r="E158">
        <v>0</v>
      </c>
      <c r="F158">
        <v>0</v>
      </c>
      <c r="G158">
        <v>0</v>
      </c>
      <c r="H158">
        <v>2368</v>
      </c>
      <c r="I158">
        <v>1784</v>
      </c>
      <c r="J158">
        <v>0</v>
      </c>
      <c r="K158">
        <v>100</v>
      </c>
      <c r="L158">
        <v>4009</v>
      </c>
      <c r="M158">
        <v>4012</v>
      </c>
      <c r="N158">
        <v>543</v>
      </c>
      <c r="O158">
        <v>4011</v>
      </c>
      <c r="P158">
        <v>4008</v>
      </c>
      <c r="Q158">
        <v>350</v>
      </c>
      <c r="R158">
        <v>405</v>
      </c>
      <c r="S158">
        <v>398</v>
      </c>
      <c r="T158">
        <v>227</v>
      </c>
    </row>
    <row r="159" spans="1:20" x14ac:dyDescent="0.35">
      <c r="A159" s="1">
        <v>45888</v>
      </c>
      <c r="B159" s="2">
        <v>0.8501442939814815</v>
      </c>
      <c r="C159">
        <v>79</v>
      </c>
      <c r="D159">
        <v>21</v>
      </c>
      <c r="E159">
        <v>0</v>
      </c>
      <c r="F159">
        <v>0</v>
      </c>
      <c r="G159">
        <v>0</v>
      </c>
      <c r="H159">
        <v>2368</v>
      </c>
      <c r="I159">
        <v>1784</v>
      </c>
      <c r="J159">
        <v>0</v>
      </c>
      <c r="K159">
        <v>100</v>
      </c>
      <c r="L159">
        <v>4010</v>
      </c>
      <c r="M159">
        <v>4012</v>
      </c>
      <c r="N159">
        <v>545</v>
      </c>
      <c r="O159">
        <v>4012</v>
      </c>
      <c r="P159">
        <v>4008</v>
      </c>
      <c r="Q159">
        <v>326</v>
      </c>
      <c r="R159">
        <v>405</v>
      </c>
      <c r="S159">
        <v>398</v>
      </c>
      <c r="T159">
        <v>26</v>
      </c>
    </row>
    <row r="160" spans="1:20" x14ac:dyDescent="0.35">
      <c r="A160" s="1">
        <v>45888</v>
      </c>
      <c r="B160" s="2">
        <v>0.85016001157407406</v>
      </c>
      <c r="C160">
        <v>79</v>
      </c>
      <c r="D160">
        <v>26</v>
      </c>
      <c r="E160">
        <v>0</v>
      </c>
      <c r="F160">
        <v>0</v>
      </c>
      <c r="G160">
        <v>0</v>
      </c>
      <c r="H160">
        <v>2368</v>
      </c>
      <c r="I160">
        <v>1784</v>
      </c>
      <c r="J160">
        <v>0</v>
      </c>
      <c r="K160">
        <v>100</v>
      </c>
      <c r="L160">
        <v>4010</v>
      </c>
      <c r="M160">
        <v>4013</v>
      </c>
      <c r="N160">
        <v>547</v>
      </c>
      <c r="O160">
        <v>4011</v>
      </c>
      <c r="P160">
        <v>4008</v>
      </c>
      <c r="Q160">
        <v>294</v>
      </c>
      <c r="R160">
        <v>405</v>
      </c>
      <c r="S160">
        <v>398</v>
      </c>
      <c r="T160">
        <v>57</v>
      </c>
    </row>
    <row r="161" spans="1:20" x14ac:dyDescent="0.35">
      <c r="A161" s="1">
        <v>45888</v>
      </c>
      <c r="B161" s="2">
        <v>0.85017572916666673</v>
      </c>
      <c r="C161">
        <v>79</v>
      </c>
      <c r="D161">
        <v>31</v>
      </c>
      <c r="E161">
        <v>0</v>
      </c>
      <c r="F161">
        <v>0</v>
      </c>
      <c r="G161">
        <v>0</v>
      </c>
      <c r="H161">
        <v>2368</v>
      </c>
      <c r="I161">
        <v>1784</v>
      </c>
      <c r="J161">
        <v>0</v>
      </c>
      <c r="K161">
        <v>100</v>
      </c>
      <c r="L161">
        <v>4010</v>
      </c>
      <c r="M161">
        <v>4012</v>
      </c>
      <c r="N161">
        <v>547</v>
      </c>
      <c r="O161">
        <v>4011</v>
      </c>
      <c r="P161">
        <v>4000</v>
      </c>
      <c r="Q161">
        <v>262</v>
      </c>
      <c r="R161">
        <v>405</v>
      </c>
      <c r="S161">
        <v>398</v>
      </c>
      <c r="T161">
        <v>229</v>
      </c>
    </row>
    <row r="162" spans="1:20" x14ac:dyDescent="0.35">
      <c r="A162" s="1">
        <v>45888</v>
      </c>
      <c r="B162" s="2">
        <v>0.85019144675925928</v>
      </c>
      <c r="C162">
        <v>79</v>
      </c>
      <c r="D162">
        <v>36</v>
      </c>
      <c r="E162">
        <v>0</v>
      </c>
      <c r="F162">
        <v>0</v>
      </c>
      <c r="G162">
        <v>0</v>
      </c>
      <c r="H162">
        <v>2368</v>
      </c>
      <c r="I162">
        <v>1784</v>
      </c>
      <c r="J162">
        <v>0</v>
      </c>
      <c r="K162">
        <v>100</v>
      </c>
      <c r="L162">
        <v>4011</v>
      </c>
      <c r="M162">
        <v>4012</v>
      </c>
      <c r="N162">
        <v>546</v>
      </c>
      <c r="O162">
        <v>4012</v>
      </c>
      <c r="P162">
        <v>3990</v>
      </c>
      <c r="Q162">
        <v>230</v>
      </c>
      <c r="R162">
        <v>404</v>
      </c>
      <c r="S162">
        <v>399</v>
      </c>
      <c r="T162">
        <v>110</v>
      </c>
    </row>
    <row r="163" spans="1:20" x14ac:dyDescent="0.35">
      <c r="A163" s="1">
        <v>45888</v>
      </c>
      <c r="B163" s="2">
        <v>0.85020716435185195</v>
      </c>
      <c r="C163">
        <v>79</v>
      </c>
      <c r="D163">
        <v>41</v>
      </c>
      <c r="E163">
        <v>0</v>
      </c>
      <c r="F163">
        <v>0</v>
      </c>
      <c r="G163">
        <v>0</v>
      </c>
      <c r="H163">
        <v>2368</v>
      </c>
      <c r="I163">
        <v>1784</v>
      </c>
      <c r="J163">
        <v>0</v>
      </c>
      <c r="K163">
        <v>100</v>
      </c>
      <c r="L163">
        <v>4010</v>
      </c>
      <c r="M163">
        <v>4013</v>
      </c>
      <c r="N163">
        <v>543</v>
      </c>
      <c r="O163">
        <v>4011</v>
      </c>
      <c r="P163">
        <v>3975</v>
      </c>
      <c r="Q163">
        <v>195</v>
      </c>
      <c r="R163">
        <v>404</v>
      </c>
      <c r="S163">
        <v>398</v>
      </c>
      <c r="T163">
        <v>17</v>
      </c>
    </row>
    <row r="164" spans="1:20" x14ac:dyDescent="0.35">
      <c r="A164" s="1">
        <v>45888</v>
      </c>
      <c r="B164" s="2">
        <v>0.85022291666666661</v>
      </c>
      <c r="C164">
        <v>79</v>
      </c>
      <c r="D164">
        <v>46</v>
      </c>
      <c r="E164">
        <v>0</v>
      </c>
      <c r="F164">
        <v>0</v>
      </c>
      <c r="G164">
        <v>0</v>
      </c>
      <c r="H164">
        <v>2368</v>
      </c>
      <c r="I164">
        <v>1784</v>
      </c>
      <c r="J164">
        <v>0</v>
      </c>
      <c r="K164">
        <v>100</v>
      </c>
      <c r="L164">
        <v>4010</v>
      </c>
      <c r="M164">
        <v>4012</v>
      </c>
      <c r="N164">
        <v>539</v>
      </c>
      <c r="O164">
        <v>4012</v>
      </c>
      <c r="P164">
        <v>3955</v>
      </c>
      <c r="Q164">
        <v>166</v>
      </c>
      <c r="R164">
        <v>405</v>
      </c>
      <c r="S164">
        <v>399</v>
      </c>
      <c r="T164">
        <v>206</v>
      </c>
    </row>
    <row r="165" spans="1:20" x14ac:dyDescent="0.35">
      <c r="A165" s="1">
        <v>45888</v>
      </c>
      <c r="B165" s="2">
        <v>0.85023883101851849</v>
      </c>
      <c r="C165">
        <v>79</v>
      </c>
      <c r="D165">
        <v>51</v>
      </c>
      <c r="E165">
        <v>0</v>
      </c>
      <c r="F165">
        <v>0</v>
      </c>
      <c r="G165">
        <v>0</v>
      </c>
      <c r="H165">
        <v>2368</v>
      </c>
      <c r="I165">
        <v>1784</v>
      </c>
      <c r="J165">
        <v>0</v>
      </c>
      <c r="K165">
        <v>100</v>
      </c>
      <c r="L165">
        <v>4010</v>
      </c>
      <c r="M165">
        <v>4012</v>
      </c>
      <c r="N165">
        <v>538</v>
      </c>
      <c r="O165">
        <v>4011</v>
      </c>
      <c r="P165">
        <v>3911</v>
      </c>
      <c r="Q165">
        <v>141</v>
      </c>
      <c r="R165">
        <v>404</v>
      </c>
      <c r="S165">
        <v>398</v>
      </c>
      <c r="T165">
        <v>209</v>
      </c>
    </row>
    <row r="166" spans="1:20" x14ac:dyDescent="0.35">
      <c r="A166" s="1">
        <v>45888</v>
      </c>
      <c r="B166" s="2">
        <v>0.85025460648148155</v>
      </c>
      <c r="C166">
        <v>79</v>
      </c>
      <c r="D166">
        <v>56</v>
      </c>
      <c r="E166">
        <v>0</v>
      </c>
      <c r="F166">
        <v>0</v>
      </c>
      <c r="G166">
        <v>0</v>
      </c>
      <c r="H166">
        <v>2368</v>
      </c>
      <c r="I166">
        <v>1784</v>
      </c>
      <c r="J166">
        <v>0</v>
      </c>
      <c r="K166">
        <v>100</v>
      </c>
      <c r="L166">
        <v>4009</v>
      </c>
      <c r="M166">
        <v>4012</v>
      </c>
      <c r="N166">
        <v>538</v>
      </c>
      <c r="O166">
        <v>4011</v>
      </c>
      <c r="P166">
        <v>3564</v>
      </c>
      <c r="Q166">
        <v>122</v>
      </c>
      <c r="R166">
        <v>404</v>
      </c>
      <c r="S166">
        <v>398</v>
      </c>
      <c r="T166">
        <v>29</v>
      </c>
    </row>
    <row r="167" spans="1:20" x14ac:dyDescent="0.35">
      <c r="A167" s="1">
        <v>45888</v>
      </c>
      <c r="B167" s="2">
        <v>0.85027034722222217</v>
      </c>
      <c r="C167">
        <v>79</v>
      </c>
      <c r="D167">
        <v>61</v>
      </c>
      <c r="E167">
        <v>0</v>
      </c>
      <c r="F167">
        <v>0</v>
      </c>
      <c r="G167">
        <v>0</v>
      </c>
      <c r="H167">
        <v>2368</v>
      </c>
      <c r="I167">
        <v>1784</v>
      </c>
      <c r="J167">
        <v>0</v>
      </c>
      <c r="K167">
        <v>100</v>
      </c>
      <c r="L167">
        <v>4010</v>
      </c>
      <c r="M167">
        <v>4012</v>
      </c>
      <c r="N167">
        <v>540</v>
      </c>
      <c r="O167">
        <v>4012</v>
      </c>
      <c r="P167">
        <v>3101</v>
      </c>
      <c r="Q167">
        <v>105</v>
      </c>
      <c r="R167">
        <v>404</v>
      </c>
      <c r="S167">
        <v>398</v>
      </c>
      <c r="T167">
        <v>204</v>
      </c>
    </row>
    <row r="168" spans="1:20" x14ac:dyDescent="0.35">
      <c r="A168" s="1">
        <v>45888</v>
      </c>
      <c r="B168" s="2">
        <v>0.85028650462962962</v>
      </c>
      <c r="C168">
        <v>79</v>
      </c>
      <c r="D168">
        <v>66</v>
      </c>
      <c r="E168">
        <v>0</v>
      </c>
      <c r="F168">
        <v>0</v>
      </c>
      <c r="G168">
        <v>0</v>
      </c>
      <c r="H168">
        <v>2368</v>
      </c>
      <c r="I168">
        <v>1784</v>
      </c>
      <c r="J168">
        <v>0</v>
      </c>
      <c r="K168">
        <v>100</v>
      </c>
      <c r="L168">
        <v>4009</v>
      </c>
      <c r="M168">
        <v>4012</v>
      </c>
      <c r="N168">
        <v>545</v>
      </c>
      <c r="O168">
        <v>4011</v>
      </c>
      <c r="P168">
        <v>2708</v>
      </c>
      <c r="Q168">
        <v>93</v>
      </c>
      <c r="R168">
        <v>404</v>
      </c>
      <c r="S168">
        <v>398</v>
      </c>
      <c r="T168">
        <v>41</v>
      </c>
    </row>
    <row r="169" spans="1:20" x14ac:dyDescent="0.35">
      <c r="A169" s="1">
        <v>45888</v>
      </c>
      <c r="B169" s="2">
        <v>0.85030221064814815</v>
      </c>
      <c r="C169">
        <v>79</v>
      </c>
      <c r="D169">
        <v>71</v>
      </c>
      <c r="E169">
        <v>0</v>
      </c>
      <c r="F169">
        <v>0</v>
      </c>
      <c r="G169">
        <v>0</v>
      </c>
      <c r="H169">
        <v>2368</v>
      </c>
      <c r="I169">
        <v>1784</v>
      </c>
      <c r="J169">
        <v>0</v>
      </c>
      <c r="K169">
        <v>100</v>
      </c>
      <c r="L169">
        <v>4011</v>
      </c>
      <c r="M169">
        <v>4013</v>
      </c>
      <c r="N169">
        <v>554</v>
      </c>
      <c r="O169">
        <v>4011</v>
      </c>
      <c r="P169">
        <v>2374</v>
      </c>
      <c r="Q169">
        <v>80</v>
      </c>
      <c r="R169">
        <v>404</v>
      </c>
      <c r="S169">
        <v>398</v>
      </c>
      <c r="T169">
        <v>171</v>
      </c>
    </row>
    <row r="170" spans="1:20" x14ac:dyDescent="0.35">
      <c r="A170" s="1">
        <v>45888</v>
      </c>
      <c r="B170" s="2">
        <v>0.85031795138888899</v>
      </c>
      <c r="C170">
        <v>79</v>
      </c>
      <c r="D170">
        <v>76</v>
      </c>
      <c r="E170">
        <v>0</v>
      </c>
      <c r="F170">
        <v>0</v>
      </c>
      <c r="G170">
        <v>0</v>
      </c>
      <c r="H170">
        <v>2368</v>
      </c>
      <c r="I170">
        <v>1784</v>
      </c>
      <c r="J170">
        <v>0</v>
      </c>
      <c r="K170">
        <v>100</v>
      </c>
      <c r="L170">
        <v>4010</v>
      </c>
      <c r="M170">
        <v>4012</v>
      </c>
      <c r="N170">
        <v>567</v>
      </c>
      <c r="O170">
        <v>4012</v>
      </c>
      <c r="P170">
        <v>2068</v>
      </c>
      <c r="Q170">
        <v>71</v>
      </c>
      <c r="R170">
        <v>405</v>
      </c>
      <c r="S170">
        <v>399</v>
      </c>
      <c r="T170">
        <v>112</v>
      </c>
    </row>
    <row r="171" spans="1:20" x14ac:dyDescent="0.35">
      <c r="A171" s="1">
        <v>45888</v>
      </c>
      <c r="B171" s="2">
        <v>0.85033373842592597</v>
      </c>
      <c r="C171">
        <v>79</v>
      </c>
      <c r="D171">
        <v>81</v>
      </c>
      <c r="E171">
        <v>0</v>
      </c>
      <c r="F171">
        <v>0</v>
      </c>
      <c r="G171">
        <v>0</v>
      </c>
      <c r="H171">
        <v>2368</v>
      </c>
      <c r="I171">
        <v>1784</v>
      </c>
      <c r="J171">
        <v>0</v>
      </c>
      <c r="K171">
        <v>100</v>
      </c>
      <c r="L171">
        <v>4010</v>
      </c>
      <c r="M171">
        <v>4012</v>
      </c>
      <c r="N171">
        <v>576</v>
      </c>
      <c r="O171">
        <v>4011</v>
      </c>
      <c r="P171">
        <v>1800</v>
      </c>
      <c r="Q171">
        <v>62</v>
      </c>
      <c r="R171">
        <v>404</v>
      </c>
      <c r="S171">
        <v>399</v>
      </c>
      <c r="T171">
        <v>117</v>
      </c>
    </row>
    <row r="172" spans="1:20" x14ac:dyDescent="0.35">
      <c r="A172" s="1">
        <v>45888</v>
      </c>
      <c r="B172" s="2">
        <v>0.85034972222222227</v>
      </c>
      <c r="C172">
        <v>79</v>
      </c>
      <c r="D172">
        <v>86</v>
      </c>
      <c r="E172">
        <v>0</v>
      </c>
      <c r="F172">
        <v>0</v>
      </c>
      <c r="G172">
        <v>0</v>
      </c>
      <c r="H172">
        <v>2368</v>
      </c>
      <c r="I172">
        <v>1784</v>
      </c>
      <c r="J172">
        <v>0</v>
      </c>
      <c r="K172">
        <v>100</v>
      </c>
      <c r="L172">
        <v>4010</v>
      </c>
      <c r="M172">
        <v>4012</v>
      </c>
      <c r="N172">
        <v>579</v>
      </c>
      <c r="O172">
        <v>4012</v>
      </c>
      <c r="P172">
        <v>1564</v>
      </c>
      <c r="Q172">
        <v>54</v>
      </c>
      <c r="R172">
        <v>404</v>
      </c>
      <c r="S172">
        <v>399</v>
      </c>
      <c r="T172">
        <v>42</v>
      </c>
    </row>
    <row r="173" spans="1:20" x14ac:dyDescent="0.35">
      <c r="A173" s="1">
        <v>45888</v>
      </c>
      <c r="B173" s="2">
        <v>0.85036552083333339</v>
      </c>
      <c r="C173">
        <v>79</v>
      </c>
      <c r="D173">
        <v>91</v>
      </c>
      <c r="E173">
        <v>0</v>
      </c>
      <c r="F173">
        <v>0</v>
      </c>
      <c r="G173">
        <v>0</v>
      </c>
      <c r="H173">
        <v>2368</v>
      </c>
      <c r="I173">
        <v>1784</v>
      </c>
      <c r="J173">
        <v>0</v>
      </c>
      <c r="K173">
        <v>100</v>
      </c>
      <c r="L173">
        <v>4010</v>
      </c>
      <c r="M173">
        <v>4012</v>
      </c>
      <c r="N173">
        <v>579</v>
      </c>
      <c r="O173">
        <v>4011</v>
      </c>
      <c r="P173">
        <v>1365</v>
      </c>
      <c r="Q173">
        <v>48</v>
      </c>
      <c r="R173">
        <v>405</v>
      </c>
      <c r="S173">
        <v>398</v>
      </c>
      <c r="T173">
        <v>17</v>
      </c>
    </row>
    <row r="174" spans="1:20" x14ac:dyDescent="0.35">
      <c r="A174" s="1">
        <v>45888</v>
      </c>
      <c r="B174" s="2">
        <v>0.85038148148148152</v>
      </c>
      <c r="C174">
        <v>79</v>
      </c>
      <c r="D174">
        <v>96</v>
      </c>
      <c r="E174">
        <v>0</v>
      </c>
      <c r="F174">
        <v>0</v>
      </c>
      <c r="G174">
        <v>0</v>
      </c>
      <c r="H174">
        <v>2368</v>
      </c>
      <c r="I174">
        <v>1784</v>
      </c>
      <c r="J174">
        <v>0</v>
      </c>
      <c r="K174">
        <v>100</v>
      </c>
      <c r="L174">
        <v>4011</v>
      </c>
      <c r="M174">
        <v>4012</v>
      </c>
      <c r="N174">
        <v>574</v>
      </c>
      <c r="O174">
        <v>4012</v>
      </c>
      <c r="P174">
        <v>1192</v>
      </c>
      <c r="Q174">
        <v>43</v>
      </c>
      <c r="R174">
        <v>405</v>
      </c>
      <c r="S174">
        <v>398</v>
      </c>
      <c r="T174">
        <v>118</v>
      </c>
    </row>
    <row r="175" spans="1:20" x14ac:dyDescent="0.35">
      <c r="A175" s="1">
        <v>45888</v>
      </c>
      <c r="B175" s="2">
        <v>0.85039721064814822</v>
      </c>
      <c r="C175">
        <v>79</v>
      </c>
      <c r="D175">
        <v>101</v>
      </c>
      <c r="E175">
        <v>0</v>
      </c>
      <c r="F175">
        <v>0</v>
      </c>
      <c r="G175">
        <v>0</v>
      </c>
      <c r="H175">
        <v>2368</v>
      </c>
      <c r="I175">
        <v>1784</v>
      </c>
      <c r="J175">
        <v>0</v>
      </c>
      <c r="K175">
        <v>100</v>
      </c>
      <c r="L175">
        <v>4010</v>
      </c>
      <c r="M175">
        <v>4012</v>
      </c>
      <c r="N175">
        <v>568</v>
      </c>
      <c r="O175">
        <v>4011</v>
      </c>
      <c r="P175">
        <v>1051</v>
      </c>
      <c r="Q175">
        <v>36</v>
      </c>
      <c r="R175">
        <v>404</v>
      </c>
      <c r="S175">
        <v>399</v>
      </c>
      <c r="T175">
        <v>237</v>
      </c>
    </row>
    <row r="176" spans="1:20" x14ac:dyDescent="0.35">
      <c r="A176" s="1">
        <v>45888</v>
      </c>
      <c r="B176" s="2">
        <v>0.85041313657407414</v>
      </c>
      <c r="C176">
        <v>79</v>
      </c>
      <c r="D176">
        <v>106</v>
      </c>
      <c r="E176">
        <v>0</v>
      </c>
      <c r="F176">
        <v>0</v>
      </c>
      <c r="G176">
        <v>0</v>
      </c>
      <c r="H176">
        <v>2368</v>
      </c>
      <c r="I176">
        <v>1784</v>
      </c>
      <c r="J176">
        <v>0</v>
      </c>
      <c r="K176">
        <v>100</v>
      </c>
      <c r="L176">
        <v>4009</v>
      </c>
      <c r="M176">
        <v>4013</v>
      </c>
      <c r="N176">
        <v>562</v>
      </c>
      <c r="O176">
        <v>4011</v>
      </c>
      <c r="P176">
        <v>938</v>
      </c>
      <c r="Q176">
        <v>32</v>
      </c>
      <c r="R176">
        <v>405</v>
      </c>
      <c r="S176">
        <v>398</v>
      </c>
      <c r="T176">
        <v>151</v>
      </c>
    </row>
    <row r="177" spans="1:20" x14ac:dyDescent="0.35">
      <c r="A177" s="1">
        <v>45888</v>
      </c>
      <c r="B177" s="2">
        <v>0.85042903935185188</v>
      </c>
      <c r="C177">
        <v>79</v>
      </c>
      <c r="D177">
        <v>111</v>
      </c>
      <c r="E177">
        <v>0</v>
      </c>
      <c r="F177">
        <v>0</v>
      </c>
      <c r="G177">
        <v>0</v>
      </c>
      <c r="H177">
        <v>2368</v>
      </c>
      <c r="I177">
        <v>1784</v>
      </c>
      <c r="J177">
        <v>0</v>
      </c>
      <c r="K177">
        <v>100</v>
      </c>
      <c r="L177">
        <v>4010</v>
      </c>
      <c r="M177">
        <v>4012</v>
      </c>
      <c r="N177">
        <v>562</v>
      </c>
      <c r="O177">
        <v>4012</v>
      </c>
      <c r="P177">
        <v>848</v>
      </c>
      <c r="Q177">
        <v>29</v>
      </c>
      <c r="R177">
        <v>405</v>
      </c>
      <c r="S177">
        <v>398</v>
      </c>
      <c r="T177">
        <v>57</v>
      </c>
    </row>
    <row r="178" spans="1:20" x14ac:dyDescent="0.35">
      <c r="A178" s="1">
        <v>45888</v>
      </c>
      <c r="B178" s="2">
        <v>0.85044475694444444</v>
      </c>
      <c r="C178">
        <v>79</v>
      </c>
      <c r="D178">
        <v>116</v>
      </c>
      <c r="E178">
        <v>0</v>
      </c>
      <c r="F178">
        <v>0</v>
      </c>
      <c r="G178">
        <v>0</v>
      </c>
      <c r="H178">
        <v>2368</v>
      </c>
      <c r="I178">
        <v>1784</v>
      </c>
      <c r="J178">
        <v>0</v>
      </c>
      <c r="K178">
        <v>100</v>
      </c>
      <c r="L178">
        <v>4010</v>
      </c>
      <c r="M178">
        <v>4012</v>
      </c>
      <c r="N178">
        <v>565</v>
      </c>
      <c r="O178">
        <v>4011</v>
      </c>
      <c r="P178">
        <v>771</v>
      </c>
      <c r="Q178">
        <v>27</v>
      </c>
      <c r="R178">
        <v>405</v>
      </c>
      <c r="S178">
        <v>398</v>
      </c>
      <c r="T178">
        <v>235</v>
      </c>
    </row>
    <row r="179" spans="1:20" x14ac:dyDescent="0.35">
      <c r="A179" s="1">
        <v>45888</v>
      </c>
      <c r="B179" s="2">
        <v>0.85046067129629621</v>
      </c>
      <c r="C179">
        <v>79</v>
      </c>
      <c r="D179">
        <v>121</v>
      </c>
      <c r="E179">
        <v>0</v>
      </c>
      <c r="F179">
        <v>0</v>
      </c>
      <c r="G179">
        <v>0</v>
      </c>
      <c r="H179">
        <v>2368</v>
      </c>
      <c r="I179">
        <v>1784</v>
      </c>
      <c r="J179">
        <v>0</v>
      </c>
      <c r="K179">
        <v>100</v>
      </c>
      <c r="L179">
        <v>4010</v>
      </c>
      <c r="M179">
        <v>4012</v>
      </c>
      <c r="N179">
        <v>568</v>
      </c>
      <c r="O179">
        <v>4012</v>
      </c>
      <c r="P179">
        <v>706</v>
      </c>
      <c r="Q179">
        <v>24</v>
      </c>
      <c r="R179">
        <v>405</v>
      </c>
      <c r="S179">
        <v>398</v>
      </c>
      <c r="T179">
        <v>140</v>
      </c>
    </row>
    <row r="180" spans="1:20" x14ac:dyDescent="0.35">
      <c r="A180" s="1">
        <v>45888</v>
      </c>
      <c r="B180" s="2">
        <v>0.85047644675925915</v>
      </c>
      <c r="C180">
        <v>79</v>
      </c>
      <c r="D180">
        <v>126</v>
      </c>
      <c r="E180">
        <v>0</v>
      </c>
      <c r="F180">
        <v>0</v>
      </c>
      <c r="G180">
        <v>0</v>
      </c>
      <c r="H180">
        <v>2368</v>
      </c>
      <c r="I180">
        <v>1784</v>
      </c>
      <c r="J180">
        <v>0</v>
      </c>
      <c r="K180">
        <v>100</v>
      </c>
      <c r="L180">
        <v>4011</v>
      </c>
      <c r="M180">
        <v>4012</v>
      </c>
      <c r="N180">
        <v>570</v>
      </c>
      <c r="O180">
        <v>4011</v>
      </c>
      <c r="P180">
        <v>646</v>
      </c>
      <c r="Q180">
        <v>22</v>
      </c>
      <c r="R180">
        <v>404</v>
      </c>
      <c r="S180">
        <v>398</v>
      </c>
      <c r="T180">
        <v>220</v>
      </c>
    </row>
    <row r="181" spans="1:20" x14ac:dyDescent="0.35">
      <c r="A181" s="1">
        <v>45888</v>
      </c>
      <c r="B181" s="2">
        <v>0.85049217592592596</v>
      </c>
      <c r="C181">
        <v>79</v>
      </c>
      <c r="D181">
        <v>131</v>
      </c>
      <c r="E181">
        <v>0</v>
      </c>
      <c r="F181">
        <v>0</v>
      </c>
      <c r="G181">
        <v>0</v>
      </c>
      <c r="H181">
        <v>2368</v>
      </c>
      <c r="I181">
        <v>1784</v>
      </c>
      <c r="J181">
        <v>0</v>
      </c>
      <c r="K181">
        <v>100</v>
      </c>
      <c r="L181">
        <v>4010</v>
      </c>
      <c r="M181">
        <v>4012</v>
      </c>
      <c r="N181">
        <v>573</v>
      </c>
      <c r="O181">
        <v>4012</v>
      </c>
      <c r="P181">
        <v>595</v>
      </c>
      <c r="Q181">
        <v>20</v>
      </c>
      <c r="R181">
        <v>405</v>
      </c>
      <c r="S181">
        <v>398</v>
      </c>
      <c r="T181">
        <v>184</v>
      </c>
    </row>
    <row r="182" spans="1:20" x14ac:dyDescent="0.35">
      <c r="A182" s="1">
        <v>45888</v>
      </c>
      <c r="B182" s="2">
        <v>0.85050809027777785</v>
      </c>
      <c r="C182">
        <v>79</v>
      </c>
      <c r="D182">
        <v>136</v>
      </c>
      <c r="E182">
        <v>0</v>
      </c>
      <c r="F182">
        <v>0</v>
      </c>
      <c r="G182">
        <v>0</v>
      </c>
      <c r="H182">
        <v>2368</v>
      </c>
      <c r="I182">
        <v>1784</v>
      </c>
      <c r="J182">
        <v>0</v>
      </c>
      <c r="K182">
        <v>100</v>
      </c>
      <c r="L182">
        <v>4011</v>
      </c>
      <c r="M182">
        <v>4012</v>
      </c>
      <c r="N182">
        <v>576</v>
      </c>
      <c r="O182">
        <v>4011</v>
      </c>
      <c r="P182">
        <v>551</v>
      </c>
      <c r="Q182">
        <v>19</v>
      </c>
      <c r="R182">
        <v>405</v>
      </c>
      <c r="S182">
        <v>398</v>
      </c>
      <c r="T182">
        <v>235</v>
      </c>
    </row>
    <row r="183" spans="1:20" x14ac:dyDescent="0.35">
      <c r="A183" s="1">
        <v>45888</v>
      </c>
      <c r="B183" s="2">
        <v>0.85052379629629626</v>
      </c>
      <c r="C183">
        <v>79</v>
      </c>
      <c r="D183">
        <v>141</v>
      </c>
      <c r="E183">
        <v>0</v>
      </c>
      <c r="F183">
        <v>0</v>
      </c>
      <c r="G183">
        <v>0</v>
      </c>
      <c r="H183">
        <v>2368</v>
      </c>
      <c r="I183">
        <v>1784</v>
      </c>
      <c r="J183">
        <v>0</v>
      </c>
      <c r="K183">
        <v>100</v>
      </c>
      <c r="L183">
        <v>4010</v>
      </c>
      <c r="M183">
        <v>4013</v>
      </c>
      <c r="N183">
        <v>577</v>
      </c>
      <c r="O183">
        <v>4012</v>
      </c>
      <c r="P183">
        <v>512</v>
      </c>
      <c r="Q183">
        <v>18</v>
      </c>
      <c r="R183">
        <v>405</v>
      </c>
      <c r="S183">
        <v>398</v>
      </c>
      <c r="T183">
        <v>171</v>
      </c>
    </row>
    <row r="184" spans="1:20" x14ac:dyDescent="0.35">
      <c r="A184" s="1">
        <v>45888</v>
      </c>
      <c r="B184" s="2">
        <v>0.850539537037037</v>
      </c>
      <c r="C184">
        <v>79</v>
      </c>
      <c r="D184">
        <v>146</v>
      </c>
      <c r="E184">
        <v>0</v>
      </c>
      <c r="F184">
        <v>0</v>
      </c>
      <c r="G184">
        <v>0</v>
      </c>
      <c r="H184">
        <v>2368</v>
      </c>
      <c r="I184">
        <v>1784</v>
      </c>
      <c r="J184">
        <v>0</v>
      </c>
      <c r="K184">
        <v>100</v>
      </c>
      <c r="L184">
        <v>4010</v>
      </c>
      <c r="M184">
        <v>4012</v>
      </c>
      <c r="N184">
        <v>579</v>
      </c>
      <c r="O184">
        <v>4011</v>
      </c>
      <c r="P184">
        <v>479</v>
      </c>
      <c r="Q184">
        <v>16</v>
      </c>
      <c r="R184">
        <v>404</v>
      </c>
      <c r="S184">
        <v>398</v>
      </c>
      <c r="T184">
        <v>178</v>
      </c>
    </row>
    <row r="185" spans="1:20" x14ac:dyDescent="0.35">
      <c r="A185" s="1">
        <v>45888</v>
      </c>
      <c r="B185" s="2">
        <v>0.85055545138888877</v>
      </c>
      <c r="C185">
        <v>79</v>
      </c>
      <c r="D185">
        <v>151</v>
      </c>
      <c r="E185">
        <v>0</v>
      </c>
      <c r="F185">
        <v>0</v>
      </c>
      <c r="G185">
        <v>0</v>
      </c>
      <c r="H185">
        <v>2368</v>
      </c>
      <c r="I185">
        <v>1784</v>
      </c>
      <c r="J185">
        <v>0</v>
      </c>
      <c r="K185">
        <v>100</v>
      </c>
      <c r="L185">
        <v>4010</v>
      </c>
      <c r="M185">
        <v>4012</v>
      </c>
      <c r="N185">
        <v>583</v>
      </c>
      <c r="O185">
        <v>4012</v>
      </c>
      <c r="P185">
        <v>455</v>
      </c>
      <c r="Q185">
        <v>16</v>
      </c>
      <c r="R185">
        <v>404</v>
      </c>
      <c r="S185">
        <v>398</v>
      </c>
      <c r="T185">
        <v>89</v>
      </c>
    </row>
    <row r="186" spans="1:20" x14ac:dyDescent="0.35">
      <c r="A186" s="1">
        <v>45888</v>
      </c>
      <c r="B186" s="2">
        <v>0.85057125</v>
      </c>
      <c r="C186">
        <v>79</v>
      </c>
      <c r="D186">
        <v>156</v>
      </c>
      <c r="E186">
        <v>0</v>
      </c>
      <c r="F186">
        <v>0</v>
      </c>
      <c r="G186">
        <v>0</v>
      </c>
      <c r="H186">
        <v>2368</v>
      </c>
      <c r="I186">
        <v>1784</v>
      </c>
      <c r="J186">
        <v>0</v>
      </c>
      <c r="K186">
        <v>100</v>
      </c>
      <c r="L186">
        <v>4011</v>
      </c>
      <c r="M186">
        <v>4012</v>
      </c>
      <c r="N186">
        <v>586</v>
      </c>
      <c r="O186">
        <v>4012</v>
      </c>
      <c r="P186">
        <v>438</v>
      </c>
      <c r="Q186">
        <v>16</v>
      </c>
      <c r="R186">
        <v>405</v>
      </c>
      <c r="S186">
        <v>398</v>
      </c>
      <c r="T186">
        <v>65</v>
      </c>
    </row>
    <row r="187" spans="1:20" x14ac:dyDescent="0.35">
      <c r="A187" s="1">
        <v>45888</v>
      </c>
      <c r="B187" s="2">
        <v>0.85058695601851853</v>
      </c>
      <c r="C187">
        <v>79</v>
      </c>
      <c r="D187">
        <v>161</v>
      </c>
      <c r="E187">
        <v>0</v>
      </c>
      <c r="F187">
        <v>0</v>
      </c>
      <c r="G187">
        <v>0</v>
      </c>
      <c r="H187">
        <v>2368</v>
      </c>
      <c r="I187">
        <v>1784</v>
      </c>
      <c r="J187">
        <v>0</v>
      </c>
      <c r="K187">
        <v>100</v>
      </c>
      <c r="L187">
        <v>4010</v>
      </c>
      <c r="M187">
        <v>4012</v>
      </c>
      <c r="N187">
        <v>589</v>
      </c>
      <c r="O187">
        <v>4012</v>
      </c>
      <c r="P187">
        <v>422</v>
      </c>
      <c r="Q187">
        <v>15</v>
      </c>
      <c r="R187">
        <v>404</v>
      </c>
      <c r="S187">
        <v>398</v>
      </c>
      <c r="T187">
        <v>30</v>
      </c>
    </row>
    <row r="188" spans="1:20" x14ac:dyDescent="0.35">
      <c r="A188" s="1">
        <v>45888</v>
      </c>
      <c r="B188" s="2">
        <v>0.85060269675925926</v>
      </c>
      <c r="C188">
        <v>79</v>
      </c>
      <c r="D188">
        <v>166</v>
      </c>
      <c r="E188">
        <v>0</v>
      </c>
      <c r="F188">
        <v>0</v>
      </c>
      <c r="G188">
        <v>0</v>
      </c>
      <c r="H188">
        <v>2368</v>
      </c>
      <c r="I188">
        <v>1784</v>
      </c>
      <c r="J188">
        <v>0</v>
      </c>
      <c r="K188">
        <v>100</v>
      </c>
      <c r="L188">
        <v>4010</v>
      </c>
      <c r="M188">
        <v>4013</v>
      </c>
      <c r="N188">
        <v>592</v>
      </c>
      <c r="O188">
        <v>4012</v>
      </c>
      <c r="P188">
        <v>408</v>
      </c>
      <c r="Q188">
        <v>14</v>
      </c>
      <c r="R188">
        <v>404</v>
      </c>
      <c r="S188">
        <v>398</v>
      </c>
      <c r="T188">
        <v>106</v>
      </c>
    </row>
    <row r="189" spans="1:20" x14ac:dyDescent="0.35">
      <c r="A189" s="1">
        <v>45888</v>
      </c>
      <c r="B189" s="2">
        <v>0.8506184722222222</v>
      </c>
      <c r="C189">
        <v>79</v>
      </c>
      <c r="D189">
        <v>171</v>
      </c>
      <c r="E189">
        <v>0</v>
      </c>
      <c r="F189">
        <v>0</v>
      </c>
      <c r="G189">
        <v>0</v>
      </c>
      <c r="H189">
        <v>2368</v>
      </c>
      <c r="I189">
        <v>1784</v>
      </c>
      <c r="J189">
        <v>0</v>
      </c>
      <c r="K189">
        <v>100</v>
      </c>
      <c r="L189">
        <v>4010</v>
      </c>
      <c r="M189">
        <v>4012</v>
      </c>
      <c r="N189">
        <v>592</v>
      </c>
      <c r="O189">
        <v>4011</v>
      </c>
      <c r="P189">
        <v>398</v>
      </c>
      <c r="Q189">
        <v>14</v>
      </c>
      <c r="R189">
        <v>405</v>
      </c>
      <c r="S189">
        <v>398</v>
      </c>
      <c r="T189">
        <v>211</v>
      </c>
    </row>
    <row r="190" spans="1:20" x14ac:dyDescent="0.35">
      <c r="A190" s="1">
        <v>45888</v>
      </c>
      <c r="B190" s="2">
        <v>0.8506344560185185</v>
      </c>
      <c r="C190">
        <v>79</v>
      </c>
      <c r="D190">
        <v>176</v>
      </c>
      <c r="E190">
        <v>0</v>
      </c>
      <c r="F190">
        <v>0</v>
      </c>
      <c r="G190">
        <v>0</v>
      </c>
      <c r="H190">
        <v>2368</v>
      </c>
      <c r="I190">
        <v>1784</v>
      </c>
      <c r="J190">
        <v>0</v>
      </c>
      <c r="K190">
        <v>100</v>
      </c>
      <c r="L190">
        <v>4011</v>
      </c>
      <c r="M190">
        <v>4012</v>
      </c>
      <c r="N190">
        <v>595</v>
      </c>
      <c r="O190">
        <v>4012</v>
      </c>
      <c r="P190">
        <v>389</v>
      </c>
      <c r="Q190">
        <v>15</v>
      </c>
      <c r="R190">
        <v>404</v>
      </c>
      <c r="S190">
        <v>398</v>
      </c>
      <c r="T190">
        <v>246</v>
      </c>
    </row>
    <row r="191" spans="1:20" x14ac:dyDescent="0.35">
      <c r="A191" s="1">
        <v>45888</v>
      </c>
      <c r="B191" s="2">
        <v>0.85065016203703703</v>
      </c>
      <c r="C191">
        <v>79</v>
      </c>
      <c r="D191">
        <v>181</v>
      </c>
      <c r="E191">
        <v>0</v>
      </c>
      <c r="F191">
        <v>0</v>
      </c>
      <c r="G191">
        <v>0</v>
      </c>
      <c r="H191">
        <v>2368</v>
      </c>
      <c r="I191">
        <v>1784</v>
      </c>
      <c r="J191">
        <v>0</v>
      </c>
      <c r="K191">
        <v>100</v>
      </c>
      <c r="L191">
        <v>4010</v>
      </c>
      <c r="M191">
        <v>4012</v>
      </c>
      <c r="N191">
        <v>598</v>
      </c>
      <c r="O191">
        <v>4011</v>
      </c>
      <c r="P191">
        <v>382</v>
      </c>
      <c r="Q191">
        <v>15</v>
      </c>
      <c r="R191">
        <v>404</v>
      </c>
      <c r="S191">
        <v>399</v>
      </c>
      <c r="T191">
        <v>184</v>
      </c>
    </row>
    <row r="192" spans="1:20" x14ac:dyDescent="0.35">
      <c r="A192" s="1">
        <v>45888</v>
      </c>
      <c r="B192" s="2">
        <v>0.85066597222222218</v>
      </c>
      <c r="C192">
        <v>79</v>
      </c>
      <c r="D192">
        <v>186</v>
      </c>
      <c r="E192">
        <v>0</v>
      </c>
      <c r="F192">
        <v>0</v>
      </c>
      <c r="G192">
        <v>0</v>
      </c>
      <c r="H192">
        <v>2368</v>
      </c>
      <c r="I192">
        <v>1784</v>
      </c>
      <c r="J192">
        <v>0</v>
      </c>
      <c r="K192">
        <v>100</v>
      </c>
      <c r="L192">
        <v>4011</v>
      </c>
      <c r="M192">
        <v>4013</v>
      </c>
      <c r="N192">
        <v>600</v>
      </c>
      <c r="O192">
        <v>4012</v>
      </c>
      <c r="P192">
        <v>373</v>
      </c>
      <c r="Q192">
        <v>14</v>
      </c>
      <c r="R192">
        <v>404</v>
      </c>
      <c r="S192">
        <v>398</v>
      </c>
      <c r="T192">
        <v>239</v>
      </c>
    </row>
    <row r="193" spans="1:20" x14ac:dyDescent="0.35">
      <c r="A193" s="1">
        <v>45888</v>
      </c>
      <c r="B193" s="2">
        <v>0.85068170138888899</v>
      </c>
      <c r="C193">
        <v>79</v>
      </c>
      <c r="D193">
        <v>191</v>
      </c>
      <c r="E193">
        <v>0</v>
      </c>
      <c r="F193">
        <v>0</v>
      </c>
      <c r="G193">
        <v>0</v>
      </c>
      <c r="H193">
        <v>2368</v>
      </c>
      <c r="I193">
        <v>1784</v>
      </c>
      <c r="J193">
        <v>0</v>
      </c>
      <c r="K193">
        <v>100</v>
      </c>
      <c r="L193">
        <v>4011</v>
      </c>
      <c r="M193">
        <v>4012</v>
      </c>
      <c r="N193">
        <v>605</v>
      </c>
      <c r="O193">
        <v>4012</v>
      </c>
      <c r="P193">
        <v>364</v>
      </c>
      <c r="Q193">
        <v>13</v>
      </c>
      <c r="R193">
        <v>405</v>
      </c>
      <c r="S193">
        <v>398</v>
      </c>
      <c r="T193">
        <v>245</v>
      </c>
    </row>
    <row r="194" spans="1:20" x14ac:dyDescent="0.35">
      <c r="A194" s="1">
        <v>45888</v>
      </c>
      <c r="B194" s="2">
        <v>0.85069743055555558</v>
      </c>
      <c r="C194">
        <v>79</v>
      </c>
      <c r="D194">
        <v>196</v>
      </c>
      <c r="E194">
        <v>0</v>
      </c>
      <c r="F194">
        <v>0</v>
      </c>
      <c r="G194">
        <v>0</v>
      </c>
      <c r="H194">
        <v>2368</v>
      </c>
      <c r="I194">
        <v>1784</v>
      </c>
      <c r="J194">
        <v>0</v>
      </c>
      <c r="K194">
        <v>100</v>
      </c>
      <c r="L194">
        <v>4010</v>
      </c>
      <c r="M194">
        <v>4013</v>
      </c>
      <c r="N194">
        <v>609</v>
      </c>
      <c r="O194">
        <v>4012</v>
      </c>
      <c r="P194">
        <v>358</v>
      </c>
      <c r="Q194">
        <v>13</v>
      </c>
      <c r="R194">
        <v>404</v>
      </c>
      <c r="S194">
        <v>398</v>
      </c>
      <c r="T194">
        <v>82</v>
      </c>
    </row>
    <row r="195" spans="1:20" x14ac:dyDescent="0.35">
      <c r="A195" s="1">
        <v>45888</v>
      </c>
      <c r="B195" s="2">
        <v>0.85071321759259266</v>
      </c>
      <c r="C195">
        <v>79</v>
      </c>
      <c r="D195">
        <v>201</v>
      </c>
      <c r="E195">
        <v>0</v>
      </c>
      <c r="F195">
        <v>0</v>
      </c>
      <c r="G195">
        <v>0</v>
      </c>
      <c r="H195">
        <v>2368</v>
      </c>
      <c r="I195">
        <v>1784</v>
      </c>
      <c r="J195">
        <v>0</v>
      </c>
      <c r="K195">
        <v>100</v>
      </c>
      <c r="L195">
        <v>4009</v>
      </c>
      <c r="M195">
        <v>4013</v>
      </c>
      <c r="N195">
        <v>613</v>
      </c>
      <c r="O195">
        <v>4011</v>
      </c>
      <c r="P195">
        <v>352</v>
      </c>
      <c r="Q195">
        <v>13</v>
      </c>
      <c r="R195">
        <v>405</v>
      </c>
      <c r="S195">
        <v>398</v>
      </c>
      <c r="T195">
        <v>8</v>
      </c>
    </row>
    <row r="196" spans="1:20" x14ac:dyDescent="0.35">
      <c r="A196" s="1">
        <v>45888</v>
      </c>
      <c r="B196" s="2">
        <v>0.85072894675925925</v>
      </c>
      <c r="C196">
        <v>79</v>
      </c>
      <c r="D196">
        <v>206</v>
      </c>
      <c r="E196">
        <v>0</v>
      </c>
      <c r="F196">
        <v>0</v>
      </c>
      <c r="G196">
        <v>0</v>
      </c>
      <c r="H196">
        <v>2368</v>
      </c>
      <c r="I196">
        <v>1784</v>
      </c>
      <c r="J196">
        <v>0</v>
      </c>
      <c r="K196">
        <v>100</v>
      </c>
      <c r="L196">
        <v>4010</v>
      </c>
      <c r="M196">
        <v>4012</v>
      </c>
      <c r="N196">
        <v>616</v>
      </c>
      <c r="O196">
        <v>4012</v>
      </c>
      <c r="P196">
        <v>350</v>
      </c>
      <c r="Q196">
        <v>12</v>
      </c>
      <c r="R196">
        <v>404</v>
      </c>
      <c r="S196">
        <v>398</v>
      </c>
      <c r="T196">
        <v>80</v>
      </c>
    </row>
    <row r="197" spans="1:20" x14ac:dyDescent="0.35">
      <c r="A197" s="1">
        <v>45888</v>
      </c>
      <c r="B197" s="2">
        <v>0.85074494212962959</v>
      </c>
      <c r="C197">
        <v>79</v>
      </c>
      <c r="D197">
        <v>211</v>
      </c>
      <c r="E197">
        <v>0</v>
      </c>
      <c r="F197">
        <v>0</v>
      </c>
      <c r="G197">
        <v>0</v>
      </c>
      <c r="H197">
        <v>2368</v>
      </c>
      <c r="I197">
        <v>1784</v>
      </c>
      <c r="J197">
        <v>0</v>
      </c>
      <c r="K197">
        <v>100</v>
      </c>
      <c r="L197">
        <v>4010</v>
      </c>
      <c r="M197">
        <v>4013</v>
      </c>
      <c r="N197">
        <v>618</v>
      </c>
      <c r="O197">
        <v>4011</v>
      </c>
      <c r="P197">
        <v>348</v>
      </c>
      <c r="Q197">
        <v>12</v>
      </c>
      <c r="R197">
        <v>405</v>
      </c>
      <c r="S197">
        <v>399</v>
      </c>
      <c r="T197">
        <v>159</v>
      </c>
    </row>
    <row r="198" spans="1:20" x14ac:dyDescent="0.35">
      <c r="A198" s="1">
        <v>45888</v>
      </c>
      <c r="B198" s="2">
        <v>0.85076085648148148</v>
      </c>
      <c r="C198">
        <v>79</v>
      </c>
      <c r="D198">
        <v>216</v>
      </c>
      <c r="E198">
        <v>0</v>
      </c>
      <c r="F198">
        <v>0</v>
      </c>
      <c r="G198">
        <v>0</v>
      </c>
      <c r="H198">
        <v>2368</v>
      </c>
      <c r="I198">
        <v>1784</v>
      </c>
      <c r="J198">
        <v>0</v>
      </c>
      <c r="K198">
        <v>100</v>
      </c>
      <c r="L198">
        <v>4010</v>
      </c>
      <c r="M198">
        <v>4012</v>
      </c>
      <c r="N198">
        <v>620</v>
      </c>
      <c r="O198">
        <v>4012</v>
      </c>
      <c r="P198">
        <v>350</v>
      </c>
      <c r="Q198">
        <v>13</v>
      </c>
      <c r="R198">
        <v>404</v>
      </c>
      <c r="S198">
        <v>398</v>
      </c>
      <c r="T198">
        <v>35</v>
      </c>
    </row>
    <row r="199" spans="1:20" x14ac:dyDescent="0.35">
      <c r="A199" s="1">
        <v>45888</v>
      </c>
      <c r="B199" s="2">
        <v>0.85077657407407414</v>
      </c>
      <c r="C199">
        <v>79</v>
      </c>
      <c r="D199">
        <v>221</v>
      </c>
      <c r="E199">
        <v>0</v>
      </c>
      <c r="F199">
        <v>0</v>
      </c>
      <c r="G199">
        <v>0</v>
      </c>
      <c r="H199">
        <v>2368</v>
      </c>
      <c r="I199">
        <v>1784</v>
      </c>
      <c r="J199">
        <v>0</v>
      </c>
      <c r="K199">
        <v>100</v>
      </c>
      <c r="L199">
        <v>4009</v>
      </c>
      <c r="M199">
        <v>4012</v>
      </c>
      <c r="N199">
        <v>623</v>
      </c>
      <c r="O199">
        <v>4011</v>
      </c>
      <c r="P199">
        <v>350</v>
      </c>
      <c r="Q199">
        <v>13</v>
      </c>
      <c r="R199">
        <v>405</v>
      </c>
      <c r="S199">
        <v>398</v>
      </c>
      <c r="T199">
        <v>31</v>
      </c>
    </row>
    <row r="200" spans="1:20" x14ac:dyDescent="0.35">
      <c r="A200" s="1">
        <v>45888</v>
      </c>
      <c r="B200" s="2">
        <v>0.85079228009259256</v>
      </c>
      <c r="C200">
        <v>79</v>
      </c>
      <c r="D200">
        <v>226</v>
      </c>
      <c r="E200">
        <v>0</v>
      </c>
      <c r="F200">
        <v>0</v>
      </c>
      <c r="G200">
        <v>0</v>
      </c>
      <c r="H200">
        <v>2368</v>
      </c>
      <c r="I200">
        <v>1784</v>
      </c>
      <c r="J200">
        <v>0</v>
      </c>
      <c r="K200">
        <v>100</v>
      </c>
      <c r="L200">
        <v>4010</v>
      </c>
      <c r="M200">
        <v>4012</v>
      </c>
      <c r="N200">
        <v>624</v>
      </c>
      <c r="O200">
        <v>4011</v>
      </c>
      <c r="P200">
        <v>349</v>
      </c>
      <c r="Q200">
        <v>13</v>
      </c>
      <c r="R200">
        <v>405</v>
      </c>
      <c r="S200">
        <v>399</v>
      </c>
      <c r="T200">
        <v>133</v>
      </c>
    </row>
    <row r="201" spans="1:20" x14ac:dyDescent="0.35">
      <c r="A201" s="1">
        <v>45888</v>
      </c>
      <c r="B201" s="2">
        <v>0.85080800925925937</v>
      </c>
      <c r="C201">
        <v>79</v>
      </c>
      <c r="D201">
        <v>231</v>
      </c>
      <c r="E201">
        <v>0</v>
      </c>
      <c r="F201">
        <v>0</v>
      </c>
      <c r="G201">
        <v>0</v>
      </c>
      <c r="H201">
        <v>2368</v>
      </c>
      <c r="I201">
        <v>1784</v>
      </c>
      <c r="J201">
        <v>0</v>
      </c>
      <c r="K201">
        <v>100</v>
      </c>
      <c r="L201">
        <v>4010</v>
      </c>
      <c r="M201">
        <v>4012</v>
      </c>
      <c r="N201">
        <v>624</v>
      </c>
      <c r="O201">
        <v>4011</v>
      </c>
      <c r="P201">
        <v>350</v>
      </c>
      <c r="Q201">
        <v>13</v>
      </c>
      <c r="R201">
        <v>404</v>
      </c>
      <c r="S201">
        <v>399</v>
      </c>
      <c r="T201">
        <v>78</v>
      </c>
    </row>
    <row r="202" spans="1:20" x14ac:dyDescent="0.35">
      <c r="A202" s="1">
        <v>45888</v>
      </c>
      <c r="B202" s="2">
        <v>0.8508237500000001</v>
      </c>
      <c r="C202">
        <v>79</v>
      </c>
      <c r="D202">
        <v>236</v>
      </c>
      <c r="E202">
        <v>0</v>
      </c>
      <c r="F202">
        <v>0</v>
      </c>
      <c r="G202">
        <v>0</v>
      </c>
      <c r="H202">
        <v>2368</v>
      </c>
      <c r="I202">
        <v>1784</v>
      </c>
      <c r="J202">
        <v>0</v>
      </c>
      <c r="K202">
        <v>100</v>
      </c>
      <c r="L202">
        <v>4009</v>
      </c>
      <c r="M202">
        <v>4012</v>
      </c>
      <c r="N202">
        <v>626</v>
      </c>
      <c r="O202">
        <v>4011</v>
      </c>
      <c r="P202">
        <v>351</v>
      </c>
      <c r="Q202">
        <v>13</v>
      </c>
      <c r="R202">
        <v>405</v>
      </c>
      <c r="S202">
        <v>398</v>
      </c>
      <c r="T202">
        <v>174</v>
      </c>
    </row>
    <row r="203" spans="1:20" x14ac:dyDescent="0.35">
      <c r="A203" s="1">
        <v>45888</v>
      </c>
      <c r="B203" s="2">
        <v>0.85083967592592591</v>
      </c>
      <c r="C203">
        <v>79</v>
      </c>
      <c r="D203">
        <v>241</v>
      </c>
      <c r="E203">
        <v>0</v>
      </c>
      <c r="F203">
        <v>0</v>
      </c>
      <c r="G203">
        <v>0</v>
      </c>
      <c r="H203">
        <v>2368</v>
      </c>
      <c r="I203">
        <v>1784</v>
      </c>
      <c r="J203">
        <v>0</v>
      </c>
      <c r="K203">
        <v>100</v>
      </c>
      <c r="L203">
        <v>4010</v>
      </c>
      <c r="M203">
        <v>4012</v>
      </c>
      <c r="N203">
        <v>626</v>
      </c>
      <c r="O203">
        <v>4011</v>
      </c>
      <c r="P203">
        <v>356</v>
      </c>
      <c r="Q203">
        <v>13</v>
      </c>
      <c r="R203">
        <v>405</v>
      </c>
      <c r="S203">
        <v>398</v>
      </c>
      <c r="T203">
        <v>80</v>
      </c>
    </row>
    <row r="204" spans="1:20" x14ac:dyDescent="0.35">
      <c r="A204" s="1">
        <v>45888</v>
      </c>
      <c r="B204" s="2">
        <v>0.85085569444444442</v>
      </c>
      <c r="C204">
        <v>79</v>
      </c>
      <c r="D204">
        <v>246</v>
      </c>
      <c r="E204">
        <v>0</v>
      </c>
      <c r="F204">
        <v>0</v>
      </c>
      <c r="G204">
        <v>0</v>
      </c>
      <c r="H204">
        <v>2368</v>
      </c>
      <c r="I204">
        <v>1784</v>
      </c>
      <c r="J204">
        <v>0</v>
      </c>
      <c r="K204">
        <v>100</v>
      </c>
      <c r="L204">
        <v>4010</v>
      </c>
      <c r="M204">
        <v>4012</v>
      </c>
      <c r="N204">
        <v>627</v>
      </c>
      <c r="O204">
        <v>4011</v>
      </c>
      <c r="P204">
        <v>360</v>
      </c>
      <c r="Q204">
        <v>13</v>
      </c>
      <c r="R204">
        <v>405</v>
      </c>
      <c r="S204">
        <v>398</v>
      </c>
      <c r="T204">
        <v>106</v>
      </c>
    </row>
    <row r="205" spans="1:20" x14ac:dyDescent="0.35">
      <c r="A205" s="1">
        <v>45888</v>
      </c>
      <c r="B205" s="2">
        <v>0.85087140046296306</v>
      </c>
      <c r="C205">
        <v>79</v>
      </c>
      <c r="D205">
        <v>251</v>
      </c>
      <c r="E205">
        <v>0</v>
      </c>
      <c r="F205">
        <v>0</v>
      </c>
      <c r="G205">
        <v>0</v>
      </c>
      <c r="H205">
        <v>2368</v>
      </c>
      <c r="I205">
        <v>1784</v>
      </c>
      <c r="J205">
        <v>0</v>
      </c>
      <c r="K205">
        <v>100</v>
      </c>
      <c r="L205">
        <v>4010</v>
      </c>
      <c r="M205">
        <v>4012</v>
      </c>
      <c r="N205">
        <v>628</v>
      </c>
      <c r="O205">
        <v>4012</v>
      </c>
      <c r="P205">
        <v>365</v>
      </c>
      <c r="Q205">
        <v>13</v>
      </c>
      <c r="R205">
        <v>405</v>
      </c>
      <c r="S205">
        <v>399</v>
      </c>
      <c r="T205">
        <v>195</v>
      </c>
    </row>
    <row r="206" spans="1:20" x14ac:dyDescent="0.35">
      <c r="A206" s="1">
        <v>45888</v>
      </c>
      <c r="B206" s="2">
        <v>0.85088737268518511</v>
      </c>
      <c r="C206">
        <v>79</v>
      </c>
      <c r="D206">
        <v>0</v>
      </c>
      <c r="E206">
        <v>0</v>
      </c>
      <c r="F206">
        <v>0</v>
      </c>
      <c r="G206">
        <v>0</v>
      </c>
      <c r="H206">
        <v>2368</v>
      </c>
      <c r="I206">
        <v>1784</v>
      </c>
      <c r="J206">
        <v>0</v>
      </c>
      <c r="K206">
        <v>100</v>
      </c>
      <c r="L206">
        <v>4010</v>
      </c>
      <c r="M206">
        <v>4013</v>
      </c>
      <c r="N206">
        <v>627</v>
      </c>
      <c r="O206">
        <v>4011</v>
      </c>
      <c r="P206">
        <v>371</v>
      </c>
      <c r="Q206">
        <v>14</v>
      </c>
      <c r="R206">
        <v>404</v>
      </c>
      <c r="S206">
        <v>399</v>
      </c>
      <c r="T206">
        <v>35</v>
      </c>
    </row>
    <row r="207" spans="1:20" x14ac:dyDescent="0.35">
      <c r="A207" s="1">
        <v>45888</v>
      </c>
      <c r="B207" s="2">
        <v>0.85090309027777777</v>
      </c>
      <c r="C207">
        <v>79</v>
      </c>
      <c r="D207">
        <v>5</v>
      </c>
      <c r="E207">
        <v>0</v>
      </c>
      <c r="F207">
        <v>0</v>
      </c>
      <c r="G207">
        <v>0</v>
      </c>
      <c r="H207">
        <v>2368</v>
      </c>
      <c r="I207">
        <v>1784</v>
      </c>
      <c r="J207">
        <v>0</v>
      </c>
      <c r="K207">
        <v>100</v>
      </c>
      <c r="L207">
        <v>4009</v>
      </c>
      <c r="M207">
        <v>4013</v>
      </c>
      <c r="N207">
        <v>627</v>
      </c>
      <c r="O207">
        <v>4011</v>
      </c>
      <c r="P207">
        <v>378</v>
      </c>
      <c r="Q207">
        <v>13</v>
      </c>
      <c r="R207">
        <v>405</v>
      </c>
      <c r="S207">
        <v>399</v>
      </c>
      <c r="T207">
        <v>197</v>
      </c>
    </row>
    <row r="208" spans="1:20" x14ac:dyDescent="0.35">
      <c r="A208" s="1">
        <v>45888</v>
      </c>
      <c r="B208" s="2">
        <v>0.85091896990740745</v>
      </c>
      <c r="C208">
        <v>79</v>
      </c>
      <c r="D208">
        <v>10</v>
      </c>
      <c r="E208">
        <v>0</v>
      </c>
      <c r="F208">
        <v>0</v>
      </c>
      <c r="G208">
        <v>0</v>
      </c>
      <c r="H208">
        <v>2368</v>
      </c>
      <c r="I208">
        <v>1784</v>
      </c>
      <c r="J208">
        <v>0</v>
      </c>
      <c r="K208">
        <v>100</v>
      </c>
      <c r="L208">
        <v>4010</v>
      </c>
      <c r="M208">
        <v>4012</v>
      </c>
      <c r="N208">
        <v>626</v>
      </c>
      <c r="O208">
        <v>4012</v>
      </c>
      <c r="P208">
        <v>386</v>
      </c>
      <c r="Q208">
        <v>14</v>
      </c>
      <c r="R208">
        <v>404</v>
      </c>
      <c r="S208">
        <v>398</v>
      </c>
      <c r="T208">
        <v>46</v>
      </c>
    </row>
    <row r="209" spans="1:20" x14ac:dyDescent="0.35">
      <c r="A209" s="1">
        <v>45888</v>
      </c>
      <c r="B209" s="2">
        <v>0.85093469907407404</v>
      </c>
      <c r="C209">
        <v>79</v>
      </c>
      <c r="D209">
        <v>15</v>
      </c>
      <c r="E209">
        <v>0</v>
      </c>
      <c r="F209">
        <v>0</v>
      </c>
      <c r="G209">
        <v>0</v>
      </c>
      <c r="H209">
        <v>2368</v>
      </c>
      <c r="I209">
        <v>1784</v>
      </c>
      <c r="J209">
        <v>0</v>
      </c>
      <c r="K209">
        <v>100</v>
      </c>
      <c r="L209">
        <v>4011</v>
      </c>
      <c r="M209">
        <v>4012</v>
      </c>
      <c r="N209">
        <v>628</v>
      </c>
      <c r="O209">
        <v>4012</v>
      </c>
      <c r="P209">
        <v>394</v>
      </c>
      <c r="Q209">
        <v>15</v>
      </c>
      <c r="R209">
        <v>404</v>
      </c>
      <c r="S209">
        <v>398</v>
      </c>
      <c r="T209">
        <v>151</v>
      </c>
    </row>
    <row r="210" spans="1:20" x14ac:dyDescent="0.35">
      <c r="A210" s="1">
        <v>45888</v>
      </c>
      <c r="B210" s="2">
        <v>0.85095042824074074</v>
      </c>
      <c r="C210">
        <v>79</v>
      </c>
      <c r="D210">
        <v>20</v>
      </c>
      <c r="E210">
        <v>0</v>
      </c>
      <c r="F210">
        <v>0</v>
      </c>
      <c r="G210">
        <v>0</v>
      </c>
      <c r="H210">
        <v>2368</v>
      </c>
      <c r="I210">
        <v>1784</v>
      </c>
      <c r="J210">
        <v>0</v>
      </c>
      <c r="K210">
        <v>100</v>
      </c>
      <c r="L210">
        <v>4010</v>
      </c>
      <c r="M210">
        <v>4012</v>
      </c>
      <c r="N210">
        <v>628</v>
      </c>
      <c r="O210">
        <v>4011</v>
      </c>
      <c r="P210">
        <v>403</v>
      </c>
      <c r="Q210">
        <v>14</v>
      </c>
      <c r="R210">
        <v>405</v>
      </c>
      <c r="S210">
        <v>398</v>
      </c>
      <c r="T210">
        <v>249</v>
      </c>
    </row>
    <row r="211" spans="1:20" x14ac:dyDescent="0.35">
      <c r="A211" s="1">
        <v>45888</v>
      </c>
      <c r="B211" s="2">
        <v>0.85096620370370368</v>
      </c>
      <c r="C211">
        <v>79</v>
      </c>
      <c r="D211">
        <v>25</v>
      </c>
      <c r="E211">
        <v>0</v>
      </c>
      <c r="F211">
        <v>0</v>
      </c>
      <c r="G211">
        <v>0</v>
      </c>
      <c r="H211">
        <v>2368</v>
      </c>
      <c r="I211">
        <v>1784</v>
      </c>
      <c r="J211">
        <v>0</v>
      </c>
      <c r="K211">
        <v>100</v>
      </c>
      <c r="L211">
        <v>4011</v>
      </c>
      <c r="M211">
        <v>4012</v>
      </c>
      <c r="N211">
        <v>628</v>
      </c>
      <c r="O211">
        <v>4012</v>
      </c>
      <c r="P211">
        <v>413</v>
      </c>
      <c r="Q211">
        <v>15</v>
      </c>
      <c r="R211">
        <v>404</v>
      </c>
      <c r="S211">
        <v>399</v>
      </c>
      <c r="T211">
        <v>61</v>
      </c>
    </row>
    <row r="212" spans="1:20" x14ac:dyDescent="0.35">
      <c r="A212" s="1">
        <v>45888</v>
      </c>
      <c r="B212" s="2">
        <v>0.85098192129629635</v>
      </c>
      <c r="C212">
        <v>79</v>
      </c>
      <c r="D212">
        <v>30</v>
      </c>
      <c r="E212">
        <v>0</v>
      </c>
      <c r="F212">
        <v>0</v>
      </c>
      <c r="G212">
        <v>0</v>
      </c>
      <c r="H212">
        <v>2368</v>
      </c>
      <c r="I212">
        <v>1784</v>
      </c>
      <c r="J212">
        <v>0</v>
      </c>
      <c r="K212">
        <v>100</v>
      </c>
      <c r="L212">
        <v>4010</v>
      </c>
      <c r="M212">
        <v>4012</v>
      </c>
      <c r="N212">
        <v>628</v>
      </c>
      <c r="O212">
        <v>4012</v>
      </c>
      <c r="P212">
        <v>427</v>
      </c>
      <c r="Q212">
        <v>14</v>
      </c>
      <c r="R212">
        <v>405</v>
      </c>
      <c r="S212">
        <v>398</v>
      </c>
      <c r="T212">
        <v>130</v>
      </c>
    </row>
    <row r="213" spans="1:20" x14ac:dyDescent="0.35">
      <c r="A213" s="1">
        <v>45888</v>
      </c>
      <c r="B213" s="2">
        <v>0.85099765046296294</v>
      </c>
      <c r="C213">
        <v>79</v>
      </c>
      <c r="D213">
        <v>35</v>
      </c>
      <c r="E213">
        <v>0</v>
      </c>
      <c r="F213">
        <v>0</v>
      </c>
      <c r="G213">
        <v>0</v>
      </c>
      <c r="H213">
        <v>2368</v>
      </c>
      <c r="I213">
        <v>1784</v>
      </c>
      <c r="J213">
        <v>0</v>
      </c>
      <c r="K213">
        <v>100</v>
      </c>
      <c r="L213">
        <v>4011</v>
      </c>
      <c r="M213">
        <v>4013</v>
      </c>
      <c r="N213">
        <v>628</v>
      </c>
      <c r="O213">
        <v>4012</v>
      </c>
      <c r="P213">
        <v>441</v>
      </c>
      <c r="Q213">
        <v>16</v>
      </c>
      <c r="R213">
        <v>405</v>
      </c>
      <c r="S213">
        <v>398</v>
      </c>
      <c r="T213">
        <v>164</v>
      </c>
    </row>
    <row r="214" spans="1:20" x14ac:dyDescent="0.35">
      <c r="A214" s="1">
        <v>45888</v>
      </c>
      <c r="B214" s="2">
        <v>0.85101337962962964</v>
      </c>
      <c r="C214">
        <v>79</v>
      </c>
      <c r="D214">
        <v>40</v>
      </c>
      <c r="E214">
        <v>0</v>
      </c>
      <c r="F214">
        <v>0</v>
      </c>
      <c r="G214">
        <v>0</v>
      </c>
      <c r="H214">
        <v>2368</v>
      </c>
      <c r="I214">
        <v>1784</v>
      </c>
      <c r="J214">
        <v>0</v>
      </c>
      <c r="K214">
        <v>100</v>
      </c>
      <c r="L214">
        <v>4010</v>
      </c>
      <c r="M214">
        <v>4013</v>
      </c>
      <c r="N214">
        <v>630</v>
      </c>
      <c r="O214">
        <v>4012</v>
      </c>
      <c r="P214">
        <v>458</v>
      </c>
      <c r="Q214">
        <v>16</v>
      </c>
      <c r="R214">
        <v>404</v>
      </c>
      <c r="S214">
        <v>399</v>
      </c>
      <c r="T214">
        <v>167</v>
      </c>
    </row>
    <row r="215" spans="1:20" x14ac:dyDescent="0.35">
      <c r="A215" s="1">
        <v>45888</v>
      </c>
      <c r="B215" s="2">
        <v>0.85102909722222231</v>
      </c>
      <c r="C215">
        <v>79</v>
      </c>
      <c r="D215">
        <v>45</v>
      </c>
      <c r="E215">
        <v>0</v>
      </c>
      <c r="F215">
        <v>0</v>
      </c>
      <c r="G215">
        <v>0</v>
      </c>
      <c r="H215">
        <v>2368</v>
      </c>
      <c r="I215">
        <v>1784</v>
      </c>
      <c r="J215">
        <v>0</v>
      </c>
      <c r="K215">
        <v>100</v>
      </c>
      <c r="L215">
        <v>4011</v>
      </c>
      <c r="M215">
        <v>4012</v>
      </c>
      <c r="N215">
        <v>630</v>
      </c>
      <c r="O215">
        <v>4012</v>
      </c>
      <c r="P215">
        <v>478</v>
      </c>
      <c r="Q215">
        <v>17</v>
      </c>
      <c r="R215">
        <v>404</v>
      </c>
      <c r="S215">
        <v>398</v>
      </c>
      <c r="T215">
        <v>131</v>
      </c>
    </row>
    <row r="216" spans="1:20" x14ac:dyDescent="0.35">
      <c r="A216" s="1">
        <v>45888</v>
      </c>
      <c r="B216" s="2">
        <v>0.8510448263888889</v>
      </c>
      <c r="C216">
        <v>79</v>
      </c>
      <c r="D216">
        <v>50</v>
      </c>
      <c r="E216">
        <v>0</v>
      </c>
      <c r="F216">
        <v>0</v>
      </c>
      <c r="G216">
        <v>0</v>
      </c>
      <c r="H216">
        <v>2368</v>
      </c>
      <c r="I216">
        <v>1784</v>
      </c>
      <c r="J216">
        <v>0</v>
      </c>
      <c r="K216">
        <v>100</v>
      </c>
      <c r="L216">
        <v>4010</v>
      </c>
      <c r="M216">
        <v>4012</v>
      </c>
      <c r="N216">
        <v>632</v>
      </c>
      <c r="O216">
        <v>4011</v>
      </c>
      <c r="P216">
        <v>498</v>
      </c>
      <c r="Q216">
        <v>18</v>
      </c>
      <c r="R216">
        <v>404</v>
      </c>
      <c r="S216">
        <v>398</v>
      </c>
      <c r="T216">
        <v>216</v>
      </c>
    </row>
    <row r="217" spans="1:20" x14ac:dyDescent="0.35">
      <c r="A217" s="1">
        <v>45888</v>
      </c>
      <c r="B217" s="2">
        <v>0.85106054398148145</v>
      </c>
      <c r="C217">
        <v>79</v>
      </c>
      <c r="D217">
        <v>55</v>
      </c>
      <c r="E217">
        <v>0</v>
      </c>
      <c r="F217">
        <v>0</v>
      </c>
      <c r="G217">
        <v>0</v>
      </c>
      <c r="H217">
        <v>2368</v>
      </c>
      <c r="I217">
        <v>1784</v>
      </c>
      <c r="J217">
        <v>0</v>
      </c>
      <c r="K217">
        <v>100</v>
      </c>
      <c r="L217">
        <v>4009</v>
      </c>
      <c r="M217">
        <v>4012</v>
      </c>
      <c r="N217">
        <v>634</v>
      </c>
      <c r="O217">
        <v>4011</v>
      </c>
      <c r="P217">
        <v>515</v>
      </c>
      <c r="Q217">
        <v>18</v>
      </c>
      <c r="R217">
        <v>404</v>
      </c>
      <c r="S217">
        <v>398</v>
      </c>
      <c r="T217">
        <v>175</v>
      </c>
    </row>
    <row r="218" spans="1:20" x14ac:dyDescent="0.35">
      <c r="A218" s="1">
        <v>45888</v>
      </c>
      <c r="B218" s="2">
        <v>0.85107628472222219</v>
      </c>
      <c r="C218">
        <v>79</v>
      </c>
      <c r="D218">
        <v>60</v>
      </c>
      <c r="E218">
        <v>0</v>
      </c>
      <c r="F218">
        <v>0</v>
      </c>
      <c r="G218">
        <v>0</v>
      </c>
      <c r="H218">
        <v>2368</v>
      </c>
      <c r="I218">
        <v>1784</v>
      </c>
      <c r="J218">
        <v>0</v>
      </c>
      <c r="K218">
        <v>100</v>
      </c>
      <c r="L218">
        <v>4011</v>
      </c>
      <c r="M218">
        <v>4012</v>
      </c>
      <c r="N218">
        <v>638</v>
      </c>
      <c r="O218">
        <v>4011</v>
      </c>
      <c r="P218">
        <v>535</v>
      </c>
      <c r="Q218">
        <v>18</v>
      </c>
      <c r="R218">
        <v>405</v>
      </c>
      <c r="S218">
        <v>398</v>
      </c>
      <c r="T218">
        <v>198</v>
      </c>
    </row>
    <row r="219" spans="1:20" x14ac:dyDescent="0.35">
      <c r="A219" s="1">
        <v>45888</v>
      </c>
      <c r="B219" s="2">
        <v>0.8510922685185186</v>
      </c>
      <c r="C219">
        <v>79</v>
      </c>
      <c r="D219">
        <v>65</v>
      </c>
      <c r="E219">
        <v>0</v>
      </c>
      <c r="F219">
        <v>0</v>
      </c>
      <c r="G219">
        <v>0</v>
      </c>
      <c r="H219">
        <v>2368</v>
      </c>
      <c r="I219">
        <v>1784</v>
      </c>
      <c r="J219">
        <v>0</v>
      </c>
      <c r="K219">
        <v>100</v>
      </c>
      <c r="L219">
        <v>4010</v>
      </c>
      <c r="M219">
        <v>4012</v>
      </c>
      <c r="N219">
        <v>640</v>
      </c>
      <c r="O219">
        <v>4011</v>
      </c>
      <c r="P219">
        <v>556</v>
      </c>
      <c r="Q219">
        <v>19</v>
      </c>
      <c r="R219">
        <v>404</v>
      </c>
      <c r="S219">
        <v>400</v>
      </c>
      <c r="T219">
        <v>162</v>
      </c>
    </row>
    <row r="220" spans="1:20" x14ac:dyDescent="0.35">
      <c r="A220" s="1">
        <v>45888</v>
      </c>
      <c r="B220" s="2">
        <v>0.85110806712962961</v>
      </c>
      <c r="C220">
        <v>79</v>
      </c>
      <c r="D220">
        <v>70</v>
      </c>
      <c r="E220">
        <v>0</v>
      </c>
      <c r="F220">
        <v>0</v>
      </c>
      <c r="G220">
        <v>0</v>
      </c>
      <c r="H220">
        <v>2368</v>
      </c>
      <c r="I220">
        <v>1784</v>
      </c>
      <c r="J220">
        <v>0</v>
      </c>
      <c r="K220">
        <v>100</v>
      </c>
      <c r="L220">
        <v>4010</v>
      </c>
      <c r="M220">
        <v>4013</v>
      </c>
      <c r="N220">
        <v>640</v>
      </c>
      <c r="O220">
        <v>4012</v>
      </c>
      <c r="P220">
        <v>576</v>
      </c>
      <c r="Q220">
        <v>20</v>
      </c>
      <c r="R220">
        <v>405</v>
      </c>
      <c r="S220">
        <v>398</v>
      </c>
      <c r="T220">
        <v>135</v>
      </c>
    </row>
    <row r="221" spans="1:20" x14ac:dyDescent="0.35">
      <c r="A221" s="1">
        <v>45888</v>
      </c>
      <c r="B221" s="2">
        <v>0.85112402777777774</v>
      </c>
      <c r="C221">
        <v>79</v>
      </c>
      <c r="D221">
        <v>75</v>
      </c>
      <c r="E221">
        <v>0</v>
      </c>
      <c r="F221">
        <v>0</v>
      </c>
      <c r="G221">
        <v>0</v>
      </c>
      <c r="H221">
        <v>2368</v>
      </c>
      <c r="I221">
        <v>1784</v>
      </c>
      <c r="J221">
        <v>0</v>
      </c>
      <c r="K221">
        <v>100</v>
      </c>
      <c r="L221">
        <v>4010</v>
      </c>
      <c r="M221">
        <v>4012</v>
      </c>
      <c r="N221">
        <v>642</v>
      </c>
      <c r="O221">
        <v>4012</v>
      </c>
      <c r="P221">
        <v>595</v>
      </c>
      <c r="Q221">
        <v>20</v>
      </c>
      <c r="R221">
        <v>405</v>
      </c>
      <c r="S221">
        <v>399</v>
      </c>
      <c r="T221">
        <v>174</v>
      </c>
    </row>
    <row r="222" spans="1:20" x14ac:dyDescent="0.35">
      <c r="A222" s="1">
        <v>45888</v>
      </c>
      <c r="B222" s="2">
        <v>0.85114001157407415</v>
      </c>
      <c r="C222">
        <v>79</v>
      </c>
      <c r="D222">
        <v>80</v>
      </c>
      <c r="E222">
        <v>0</v>
      </c>
      <c r="F222">
        <v>0</v>
      </c>
      <c r="G222">
        <v>0</v>
      </c>
      <c r="H222">
        <v>2368</v>
      </c>
      <c r="I222">
        <v>1784</v>
      </c>
      <c r="J222">
        <v>0</v>
      </c>
      <c r="K222">
        <v>100</v>
      </c>
      <c r="L222">
        <v>4011</v>
      </c>
      <c r="M222">
        <v>4012</v>
      </c>
      <c r="N222">
        <v>644</v>
      </c>
      <c r="O222">
        <v>4011</v>
      </c>
      <c r="P222">
        <v>617</v>
      </c>
      <c r="Q222">
        <v>22</v>
      </c>
      <c r="R222">
        <v>405</v>
      </c>
      <c r="S222">
        <v>398</v>
      </c>
      <c r="T222">
        <v>143</v>
      </c>
    </row>
    <row r="223" spans="1:20" x14ac:dyDescent="0.35">
      <c r="A223" s="1">
        <v>45888</v>
      </c>
      <c r="B223" s="2">
        <v>0.8511559837962962</v>
      </c>
      <c r="C223">
        <v>79</v>
      </c>
      <c r="D223">
        <v>85</v>
      </c>
      <c r="E223">
        <v>0</v>
      </c>
      <c r="F223">
        <v>0</v>
      </c>
      <c r="G223">
        <v>0</v>
      </c>
      <c r="H223">
        <v>2368</v>
      </c>
      <c r="I223">
        <v>1784</v>
      </c>
      <c r="J223">
        <v>0</v>
      </c>
      <c r="K223">
        <v>100</v>
      </c>
      <c r="L223">
        <v>4011</v>
      </c>
      <c r="M223">
        <v>4012</v>
      </c>
      <c r="N223">
        <v>646</v>
      </c>
      <c r="O223">
        <v>4011</v>
      </c>
      <c r="P223">
        <v>640</v>
      </c>
      <c r="Q223">
        <v>22</v>
      </c>
      <c r="R223">
        <v>404</v>
      </c>
      <c r="S223">
        <v>398</v>
      </c>
      <c r="T223">
        <v>71</v>
      </c>
    </row>
    <row r="224" spans="1:20" x14ac:dyDescent="0.35">
      <c r="A224" s="1">
        <v>45888</v>
      </c>
      <c r="B224" s="2">
        <v>0.85117187500000002</v>
      </c>
      <c r="C224">
        <v>79</v>
      </c>
      <c r="D224">
        <v>90</v>
      </c>
      <c r="E224">
        <v>0</v>
      </c>
      <c r="F224">
        <v>0</v>
      </c>
      <c r="G224">
        <v>0</v>
      </c>
      <c r="H224">
        <v>2368</v>
      </c>
      <c r="I224">
        <v>1784</v>
      </c>
      <c r="J224">
        <v>0</v>
      </c>
      <c r="K224">
        <v>100</v>
      </c>
      <c r="L224">
        <v>4011</v>
      </c>
      <c r="M224">
        <v>4013</v>
      </c>
      <c r="N224">
        <v>647</v>
      </c>
      <c r="O224">
        <v>4012</v>
      </c>
      <c r="P224">
        <v>662</v>
      </c>
      <c r="Q224">
        <v>22</v>
      </c>
      <c r="R224">
        <v>404</v>
      </c>
      <c r="S224">
        <v>398</v>
      </c>
      <c r="T224">
        <v>246</v>
      </c>
    </row>
    <row r="225" spans="1:20" x14ac:dyDescent="0.35">
      <c r="A225" s="1">
        <v>45888</v>
      </c>
      <c r="B225" s="2">
        <v>0.85118784722222229</v>
      </c>
      <c r="C225">
        <v>79</v>
      </c>
      <c r="D225">
        <v>95</v>
      </c>
      <c r="E225">
        <v>0</v>
      </c>
      <c r="F225">
        <v>0</v>
      </c>
      <c r="G225">
        <v>0</v>
      </c>
      <c r="H225">
        <v>2368</v>
      </c>
      <c r="I225">
        <v>1784</v>
      </c>
      <c r="J225">
        <v>0</v>
      </c>
      <c r="K225">
        <v>100</v>
      </c>
      <c r="L225">
        <v>4009</v>
      </c>
      <c r="M225">
        <v>4012</v>
      </c>
      <c r="N225">
        <v>649</v>
      </c>
      <c r="O225">
        <v>4012</v>
      </c>
      <c r="P225">
        <v>691</v>
      </c>
      <c r="Q225">
        <v>24</v>
      </c>
      <c r="R225">
        <v>405</v>
      </c>
      <c r="S225">
        <v>399</v>
      </c>
      <c r="T225">
        <v>70</v>
      </c>
    </row>
    <row r="226" spans="1:20" x14ac:dyDescent="0.35">
      <c r="A226" s="1">
        <v>45888</v>
      </c>
      <c r="B226" s="2">
        <v>0.85120363425925938</v>
      </c>
      <c r="C226">
        <v>79</v>
      </c>
      <c r="D226">
        <v>100</v>
      </c>
      <c r="E226">
        <v>0</v>
      </c>
      <c r="F226">
        <v>0</v>
      </c>
      <c r="G226">
        <v>0</v>
      </c>
      <c r="H226">
        <v>2368</v>
      </c>
      <c r="I226">
        <v>1784</v>
      </c>
      <c r="J226">
        <v>0</v>
      </c>
      <c r="K226">
        <v>100</v>
      </c>
      <c r="L226">
        <v>4010</v>
      </c>
      <c r="M226">
        <v>4012</v>
      </c>
      <c r="N226">
        <v>650</v>
      </c>
      <c r="O226">
        <v>4011</v>
      </c>
      <c r="P226">
        <v>721</v>
      </c>
      <c r="Q226">
        <v>24</v>
      </c>
      <c r="R226">
        <v>404</v>
      </c>
      <c r="S226">
        <v>399</v>
      </c>
      <c r="T226">
        <v>104</v>
      </c>
    </row>
    <row r="227" spans="1:20" x14ac:dyDescent="0.35">
      <c r="A227" s="1">
        <v>45888</v>
      </c>
      <c r="B227" s="2">
        <v>0.85121961805555557</v>
      </c>
      <c r="C227">
        <v>79</v>
      </c>
      <c r="D227">
        <v>105</v>
      </c>
      <c r="E227">
        <v>0</v>
      </c>
      <c r="F227">
        <v>0</v>
      </c>
      <c r="G227">
        <v>0</v>
      </c>
      <c r="H227">
        <v>2368</v>
      </c>
      <c r="I227">
        <v>1784</v>
      </c>
      <c r="J227">
        <v>0</v>
      </c>
      <c r="K227">
        <v>100</v>
      </c>
      <c r="L227">
        <v>4011</v>
      </c>
      <c r="M227">
        <v>4012</v>
      </c>
      <c r="N227">
        <v>651</v>
      </c>
      <c r="O227">
        <v>4012</v>
      </c>
      <c r="P227">
        <v>755</v>
      </c>
      <c r="Q227">
        <v>26</v>
      </c>
      <c r="R227">
        <v>404</v>
      </c>
      <c r="S227">
        <v>398</v>
      </c>
      <c r="T227">
        <v>64</v>
      </c>
    </row>
    <row r="228" spans="1:20" x14ac:dyDescent="0.35">
      <c r="A228" s="1">
        <v>45888</v>
      </c>
      <c r="B228" s="2">
        <v>0.85123559027777784</v>
      </c>
      <c r="C228">
        <v>79</v>
      </c>
      <c r="D228">
        <v>110</v>
      </c>
      <c r="E228">
        <v>0</v>
      </c>
      <c r="F228">
        <v>0</v>
      </c>
      <c r="G228">
        <v>0</v>
      </c>
      <c r="H228">
        <v>2368</v>
      </c>
      <c r="I228">
        <v>1784</v>
      </c>
      <c r="J228">
        <v>0</v>
      </c>
      <c r="K228">
        <v>100</v>
      </c>
      <c r="L228">
        <v>4010</v>
      </c>
      <c r="M228">
        <v>4013</v>
      </c>
      <c r="N228">
        <v>651</v>
      </c>
      <c r="O228">
        <v>4011</v>
      </c>
      <c r="P228">
        <v>789</v>
      </c>
      <c r="Q228">
        <v>27</v>
      </c>
      <c r="R228">
        <v>404</v>
      </c>
      <c r="S228">
        <v>398</v>
      </c>
      <c r="T228">
        <v>96</v>
      </c>
    </row>
    <row r="229" spans="1:20" x14ac:dyDescent="0.35">
      <c r="A229" s="1">
        <v>45888</v>
      </c>
      <c r="B229" s="2">
        <v>0.85125155092592597</v>
      </c>
      <c r="C229">
        <v>79</v>
      </c>
      <c r="D229">
        <v>115</v>
      </c>
      <c r="E229">
        <v>0</v>
      </c>
      <c r="F229">
        <v>0</v>
      </c>
      <c r="G229">
        <v>0</v>
      </c>
      <c r="H229">
        <v>2368</v>
      </c>
      <c r="I229">
        <v>1784</v>
      </c>
      <c r="J229">
        <v>0</v>
      </c>
      <c r="K229">
        <v>100</v>
      </c>
      <c r="L229">
        <v>4010</v>
      </c>
      <c r="M229">
        <v>4012</v>
      </c>
      <c r="N229">
        <v>651</v>
      </c>
      <c r="O229">
        <v>4011</v>
      </c>
      <c r="P229">
        <v>826</v>
      </c>
      <c r="Q229">
        <v>27</v>
      </c>
      <c r="R229">
        <v>405</v>
      </c>
      <c r="S229">
        <v>398</v>
      </c>
      <c r="T229">
        <v>31</v>
      </c>
    </row>
    <row r="230" spans="1:20" x14ac:dyDescent="0.35">
      <c r="A230" s="1">
        <v>45888</v>
      </c>
      <c r="B230" s="2">
        <v>0.85126752314814813</v>
      </c>
      <c r="C230">
        <v>79</v>
      </c>
      <c r="D230">
        <v>120</v>
      </c>
      <c r="E230">
        <v>0</v>
      </c>
      <c r="F230">
        <v>0</v>
      </c>
      <c r="G230">
        <v>0</v>
      </c>
      <c r="H230">
        <v>2368</v>
      </c>
      <c r="I230">
        <v>1784</v>
      </c>
      <c r="J230">
        <v>0</v>
      </c>
      <c r="K230">
        <v>100</v>
      </c>
      <c r="L230">
        <v>4011</v>
      </c>
      <c r="M230">
        <v>4012</v>
      </c>
      <c r="N230">
        <v>651</v>
      </c>
      <c r="O230">
        <v>4011</v>
      </c>
      <c r="P230">
        <v>862</v>
      </c>
      <c r="Q230">
        <v>29</v>
      </c>
      <c r="R230">
        <v>405</v>
      </c>
      <c r="S230">
        <v>398</v>
      </c>
      <c r="T230">
        <v>197</v>
      </c>
    </row>
    <row r="231" spans="1:20" x14ac:dyDescent="0.35">
      <c r="A231" s="1">
        <v>45888</v>
      </c>
      <c r="B231" s="2">
        <v>0.85128348379629626</v>
      </c>
      <c r="C231">
        <v>79</v>
      </c>
      <c r="D231">
        <v>125</v>
      </c>
      <c r="E231">
        <v>0</v>
      </c>
      <c r="F231">
        <v>0</v>
      </c>
      <c r="G231">
        <v>0</v>
      </c>
      <c r="H231">
        <v>2368</v>
      </c>
      <c r="I231">
        <v>1784</v>
      </c>
      <c r="J231">
        <v>0</v>
      </c>
      <c r="K231">
        <v>100</v>
      </c>
      <c r="L231">
        <v>4010</v>
      </c>
      <c r="M231">
        <v>4012</v>
      </c>
      <c r="N231">
        <v>651</v>
      </c>
      <c r="O231">
        <v>4012</v>
      </c>
      <c r="P231">
        <v>898</v>
      </c>
      <c r="Q231">
        <v>31</v>
      </c>
      <c r="R231">
        <v>405</v>
      </c>
      <c r="S231">
        <v>398</v>
      </c>
      <c r="T231">
        <v>153</v>
      </c>
    </row>
    <row r="232" spans="1:20" x14ac:dyDescent="0.35">
      <c r="A232" s="1">
        <v>45888</v>
      </c>
      <c r="B232" s="2">
        <v>0.85129924768518528</v>
      </c>
      <c r="C232">
        <v>79</v>
      </c>
      <c r="D232">
        <v>130</v>
      </c>
      <c r="E232">
        <v>0</v>
      </c>
      <c r="F232">
        <v>0</v>
      </c>
      <c r="G232">
        <v>0</v>
      </c>
      <c r="H232">
        <v>2368</v>
      </c>
      <c r="I232">
        <v>1784</v>
      </c>
      <c r="J232">
        <v>0</v>
      </c>
      <c r="K232">
        <v>100</v>
      </c>
      <c r="L232">
        <v>4011</v>
      </c>
      <c r="M232">
        <v>4013</v>
      </c>
      <c r="N232">
        <v>650</v>
      </c>
      <c r="O232">
        <v>4011</v>
      </c>
      <c r="P232">
        <v>936</v>
      </c>
      <c r="Q232">
        <v>32</v>
      </c>
      <c r="R232">
        <v>404</v>
      </c>
      <c r="S232">
        <v>398</v>
      </c>
      <c r="T232">
        <v>177</v>
      </c>
    </row>
    <row r="233" spans="1:20" x14ac:dyDescent="0.35">
      <c r="A233" s="1">
        <v>45888</v>
      </c>
      <c r="B233" s="2">
        <v>0.85131513888888888</v>
      </c>
      <c r="C233">
        <v>79</v>
      </c>
      <c r="D233">
        <v>135</v>
      </c>
      <c r="E233">
        <v>0</v>
      </c>
      <c r="F233">
        <v>0</v>
      </c>
      <c r="G233">
        <v>0</v>
      </c>
      <c r="H233">
        <v>2368</v>
      </c>
      <c r="I233">
        <v>1784</v>
      </c>
      <c r="J233">
        <v>0</v>
      </c>
      <c r="K233">
        <v>100</v>
      </c>
      <c r="L233">
        <v>4010</v>
      </c>
      <c r="M233">
        <v>4012</v>
      </c>
      <c r="N233">
        <v>649</v>
      </c>
      <c r="O233">
        <v>4011</v>
      </c>
      <c r="P233">
        <v>978</v>
      </c>
      <c r="Q233">
        <v>33</v>
      </c>
      <c r="R233">
        <v>405</v>
      </c>
      <c r="S233">
        <v>398</v>
      </c>
      <c r="T233">
        <v>26</v>
      </c>
    </row>
    <row r="234" spans="1:20" x14ac:dyDescent="0.35">
      <c r="A234" s="1">
        <v>45888</v>
      </c>
      <c r="B234" s="2">
        <v>0.85133087962962961</v>
      </c>
      <c r="C234">
        <v>79</v>
      </c>
      <c r="D234">
        <v>140</v>
      </c>
      <c r="E234">
        <v>0</v>
      </c>
      <c r="F234">
        <v>0</v>
      </c>
      <c r="G234">
        <v>0</v>
      </c>
      <c r="H234">
        <v>2368</v>
      </c>
      <c r="I234">
        <v>1784</v>
      </c>
      <c r="J234">
        <v>0</v>
      </c>
      <c r="K234">
        <v>100</v>
      </c>
      <c r="L234">
        <v>4010</v>
      </c>
      <c r="M234">
        <v>4012</v>
      </c>
      <c r="N234">
        <v>648</v>
      </c>
      <c r="O234">
        <v>4012</v>
      </c>
      <c r="P234">
        <v>1024</v>
      </c>
      <c r="Q234">
        <v>36</v>
      </c>
      <c r="R234">
        <v>404</v>
      </c>
      <c r="S234">
        <v>398</v>
      </c>
      <c r="T234">
        <v>130</v>
      </c>
    </row>
    <row r="235" spans="1:20" x14ac:dyDescent="0.35">
      <c r="A235" s="1">
        <v>45888</v>
      </c>
      <c r="B235" s="2">
        <v>0.8513466087962962</v>
      </c>
      <c r="C235">
        <v>79</v>
      </c>
      <c r="D235">
        <v>145</v>
      </c>
      <c r="E235">
        <v>0</v>
      </c>
      <c r="F235">
        <v>0</v>
      </c>
      <c r="G235">
        <v>0</v>
      </c>
      <c r="H235">
        <v>2368</v>
      </c>
      <c r="I235">
        <v>1784</v>
      </c>
      <c r="J235">
        <v>0</v>
      </c>
      <c r="K235">
        <v>100</v>
      </c>
      <c r="L235">
        <v>4010</v>
      </c>
      <c r="M235">
        <v>4012</v>
      </c>
      <c r="N235">
        <v>645</v>
      </c>
      <c r="O235">
        <v>4012</v>
      </c>
      <c r="P235">
        <v>1074</v>
      </c>
      <c r="Q235">
        <v>38</v>
      </c>
      <c r="R235">
        <v>404</v>
      </c>
      <c r="S235">
        <v>398</v>
      </c>
      <c r="T235">
        <v>206</v>
      </c>
    </row>
    <row r="236" spans="1:20" x14ac:dyDescent="0.35">
      <c r="A236" s="1">
        <v>45888</v>
      </c>
      <c r="B236" s="2">
        <v>0.85136231481481484</v>
      </c>
      <c r="C236">
        <v>79</v>
      </c>
      <c r="D236">
        <v>150</v>
      </c>
      <c r="E236">
        <v>0</v>
      </c>
      <c r="F236">
        <v>0</v>
      </c>
      <c r="G236">
        <v>0</v>
      </c>
      <c r="H236">
        <v>2368</v>
      </c>
      <c r="I236">
        <v>1784</v>
      </c>
      <c r="J236">
        <v>0</v>
      </c>
      <c r="K236">
        <v>100</v>
      </c>
      <c r="L236">
        <v>4011</v>
      </c>
      <c r="M236">
        <v>4012</v>
      </c>
      <c r="N236">
        <v>642</v>
      </c>
      <c r="O236">
        <v>4011</v>
      </c>
      <c r="P236">
        <v>1126</v>
      </c>
      <c r="Q236">
        <v>40</v>
      </c>
      <c r="R236">
        <v>404</v>
      </c>
      <c r="S236">
        <v>398</v>
      </c>
      <c r="T236">
        <v>69</v>
      </c>
    </row>
    <row r="237" spans="1:20" x14ac:dyDescent="0.35">
      <c r="A237" s="1">
        <v>45888</v>
      </c>
      <c r="B237" s="2">
        <v>0.85137814814814816</v>
      </c>
      <c r="C237">
        <v>79</v>
      </c>
      <c r="D237">
        <v>155</v>
      </c>
      <c r="E237">
        <v>0</v>
      </c>
      <c r="F237">
        <v>0</v>
      </c>
      <c r="G237">
        <v>0</v>
      </c>
      <c r="H237">
        <v>2368</v>
      </c>
      <c r="I237">
        <v>1784</v>
      </c>
      <c r="J237">
        <v>0</v>
      </c>
      <c r="K237">
        <v>100</v>
      </c>
      <c r="L237">
        <v>4010</v>
      </c>
      <c r="M237">
        <v>4013</v>
      </c>
      <c r="N237">
        <v>640</v>
      </c>
      <c r="O237">
        <v>4011</v>
      </c>
      <c r="P237">
        <v>1174</v>
      </c>
      <c r="Q237">
        <v>41</v>
      </c>
      <c r="R237">
        <v>404</v>
      </c>
      <c r="S237">
        <v>398</v>
      </c>
      <c r="T237">
        <v>180</v>
      </c>
    </row>
    <row r="238" spans="1:20" x14ac:dyDescent="0.35">
      <c r="A238" s="1">
        <v>45888</v>
      </c>
      <c r="B238" s="2">
        <v>0.85139385416666669</v>
      </c>
      <c r="C238">
        <v>79</v>
      </c>
      <c r="D238">
        <v>160</v>
      </c>
      <c r="E238">
        <v>0</v>
      </c>
      <c r="F238">
        <v>0</v>
      </c>
      <c r="G238">
        <v>0</v>
      </c>
      <c r="H238">
        <v>2368</v>
      </c>
      <c r="I238">
        <v>1784</v>
      </c>
      <c r="J238">
        <v>0</v>
      </c>
      <c r="K238">
        <v>100</v>
      </c>
      <c r="L238">
        <v>4010</v>
      </c>
      <c r="M238">
        <v>4012</v>
      </c>
      <c r="N238">
        <v>636</v>
      </c>
      <c r="O238">
        <v>4011</v>
      </c>
      <c r="P238">
        <v>1226</v>
      </c>
      <c r="Q238">
        <v>42</v>
      </c>
      <c r="R238">
        <v>405</v>
      </c>
      <c r="S238">
        <v>398</v>
      </c>
      <c r="T238">
        <v>143</v>
      </c>
    </row>
    <row r="239" spans="1:20" x14ac:dyDescent="0.35">
      <c r="A239" s="1">
        <v>45888</v>
      </c>
      <c r="B239" s="2">
        <v>0.85140976851851857</v>
      </c>
      <c r="C239">
        <v>79</v>
      </c>
      <c r="D239">
        <v>165</v>
      </c>
      <c r="E239">
        <v>0</v>
      </c>
      <c r="F239">
        <v>0</v>
      </c>
      <c r="G239">
        <v>0</v>
      </c>
      <c r="H239">
        <v>2368</v>
      </c>
      <c r="I239">
        <v>1784</v>
      </c>
      <c r="J239">
        <v>0</v>
      </c>
      <c r="K239">
        <v>100</v>
      </c>
      <c r="L239">
        <v>4009</v>
      </c>
      <c r="M239">
        <v>4012</v>
      </c>
      <c r="N239">
        <v>632</v>
      </c>
      <c r="O239">
        <v>4011</v>
      </c>
      <c r="P239">
        <v>1273</v>
      </c>
      <c r="Q239">
        <v>44</v>
      </c>
      <c r="R239">
        <v>405</v>
      </c>
      <c r="S239">
        <v>398</v>
      </c>
      <c r="T239">
        <v>178</v>
      </c>
    </row>
    <row r="240" spans="1:20" x14ac:dyDescent="0.35">
      <c r="A240" s="1">
        <v>45888</v>
      </c>
      <c r="B240" s="2">
        <v>0.85142550925925931</v>
      </c>
      <c r="C240">
        <v>79</v>
      </c>
      <c r="D240">
        <v>170</v>
      </c>
      <c r="E240">
        <v>0</v>
      </c>
      <c r="F240">
        <v>0</v>
      </c>
      <c r="G240">
        <v>0</v>
      </c>
      <c r="H240">
        <v>2368</v>
      </c>
      <c r="I240">
        <v>1784</v>
      </c>
      <c r="J240">
        <v>0</v>
      </c>
      <c r="K240">
        <v>100</v>
      </c>
      <c r="L240">
        <v>4010</v>
      </c>
      <c r="M240">
        <v>4012</v>
      </c>
      <c r="N240">
        <v>628</v>
      </c>
      <c r="O240">
        <v>4011</v>
      </c>
      <c r="P240">
        <v>1316</v>
      </c>
      <c r="Q240">
        <v>44</v>
      </c>
      <c r="R240">
        <v>405</v>
      </c>
      <c r="S240">
        <v>398</v>
      </c>
      <c r="T240">
        <v>236</v>
      </c>
    </row>
    <row r="241" spans="1:20" x14ac:dyDescent="0.35">
      <c r="A241" s="1">
        <v>45888</v>
      </c>
      <c r="B241" s="2">
        <v>0.8514420601851852</v>
      </c>
      <c r="C241">
        <v>79</v>
      </c>
      <c r="D241">
        <v>175</v>
      </c>
      <c r="E241">
        <v>0</v>
      </c>
      <c r="F241">
        <v>0</v>
      </c>
      <c r="G241">
        <v>0</v>
      </c>
      <c r="H241">
        <v>2368</v>
      </c>
      <c r="I241">
        <v>1784</v>
      </c>
      <c r="J241">
        <v>0</v>
      </c>
      <c r="K241">
        <v>100</v>
      </c>
      <c r="L241">
        <v>4011</v>
      </c>
      <c r="M241">
        <v>4013</v>
      </c>
      <c r="N241">
        <v>623</v>
      </c>
      <c r="O241">
        <v>4011</v>
      </c>
      <c r="P241">
        <v>1354</v>
      </c>
      <c r="Q241">
        <v>48</v>
      </c>
      <c r="R241">
        <v>404</v>
      </c>
      <c r="S241">
        <v>398</v>
      </c>
      <c r="T241">
        <v>40</v>
      </c>
    </row>
    <row r="242" spans="1:20" x14ac:dyDescent="0.35">
      <c r="A242" s="1">
        <v>45888</v>
      </c>
      <c r="B242" s="2">
        <v>0.85145781249999997</v>
      </c>
      <c r="C242">
        <v>79</v>
      </c>
      <c r="D242">
        <v>180</v>
      </c>
      <c r="E242">
        <v>0</v>
      </c>
      <c r="F242">
        <v>0</v>
      </c>
      <c r="G242">
        <v>0</v>
      </c>
      <c r="H242">
        <v>2368</v>
      </c>
      <c r="I242">
        <v>1784</v>
      </c>
      <c r="J242">
        <v>0</v>
      </c>
      <c r="K242">
        <v>100</v>
      </c>
      <c r="L242">
        <v>4010</v>
      </c>
      <c r="M242">
        <v>4013</v>
      </c>
      <c r="N242">
        <v>617</v>
      </c>
      <c r="O242">
        <v>4012</v>
      </c>
      <c r="P242">
        <v>1394</v>
      </c>
      <c r="Q242">
        <v>48</v>
      </c>
      <c r="R242">
        <v>404</v>
      </c>
      <c r="S242">
        <v>398</v>
      </c>
      <c r="T242">
        <v>115</v>
      </c>
    </row>
    <row r="243" spans="1:20" x14ac:dyDescent="0.35">
      <c r="A243" s="1">
        <v>45888</v>
      </c>
      <c r="B243" s="2">
        <v>0.85147353009259252</v>
      </c>
      <c r="C243">
        <v>79</v>
      </c>
      <c r="D243">
        <v>185</v>
      </c>
      <c r="E243">
        <v>0</v>
      </c>
      <c r="F243">
        <v>0</v>
      </c>
      <c r="G243">
        <v>0</v>
      </c>
      <c r="H243">
        <v>2368</v>
      </c>
      <c r="I243">
        <v>1784</v>
      </c>
      <c r="J243">
        <v>0</v>
      </c>
      <c r="K243">
        <v>100</v>
      </c>
      <c r="L243">
        <v>4010</v>
      </c>
      <c r="M243">
        <v>4012</v>
      </c>
      <c r="N243">
        <v>611</v>
      </c>
      <c r="O243">
        <v>4012</v>
      </c>
      <c r="P243">
        <v>1432</v>
      </c>
      <c r="Q243">
        <v>50</v>
      </c>
      <c r="R243">
        <v>405</v>
      </c>
      <c r="S243">
        <v>398</v>
      </c>
      <c r="T243">
        <v>130</v>
      </c>
    </row>
    <row r="244" spans="1:20" x14ac:dyDescent="0.35">
      <c r="A244" s="1">
        <v>45888</v>
      </c>
      <c r="B244" s="2">
        <v>0.85148945601851855</v>
      </c>
      <c r="C244">
        <v>79</v>
      </c>
      <c r="D244">
        <v>190</v>
      </c>
      <c r="E244">
        <v>0</v>
      </c>
      <c r="F244">
        <v>0</v>
      </c>
      <c r="G244">
        <v>0</v>
      </c>
      <c r="H244">
        <v>2368</v>
      </c>
      <c r="I244">
        <v>1784</v>
      </c>
      <c r="J244">
        <v>0</v>
      </c>
      <c r="K244">
        <v>100</v>
      </c>
      <c r="L244">
        <v>4011</v>
      </c>
      <c r="M244">
        <v>4012</v>
      </c>
      <c r="N244">
        <v>603</v>
      </c>
      <c r="O244">
        <v>4011</v>
      </c>
      <c r="P244">
        <v>1475</v>
      </c>
      <c r="Q244">
        <v>51</v>
      </c>
      <c r="R244">
        <v>405</v>
      </c>
      <c r="S244">
        <v>398</v>
      </c>
      <c r="T244">
        <v>123</v>
      </c>
    </row>
    <row r="245" spans="1:20" x14ac:dyDescent="0.35">
      <c r="A245" s="1">
        <v>45888</v>
      </c>
      <c r="B245" s="2">
        <v>0.85150517361111122</v>
      </c>
      <c r="C245">
        <v>79</v>
      </c>
      <c r="D245">
        <v>195</v>
      </c>
      <c r="E245">
        <v>0</v>
      </c>
      <c r="F245">
        <v>0</v>
      </c>
      <c r="G245">
        <v>0</v>
      </c>
      <c r="H245">
        <v>2368</v>
      </c>
      <c r="I245">
        <v>1784</v>
      </c>
      <c r="J245">
        <v>0</v>
      </c>
      <c r="K245">
        <v>100</v>
      </c>
      <c r="L245">
        <v>4010</v>
      </c>
      <c r="M245">
        <v>4012</v>
      </c>
      <c r="N245">
        <v>595</v>
      </c>
      <c r="O245">
        <v>4012</v>
      </c>
      <c r="P245">
        <v>1518</v>
      </c>
      <c r="Q245">
        <v>51</v>
      </c>
      <c r="R245">
        <v>405</v>
      </c>
      <c r="S245">
        <v>399</v>
      </c>
      <c r="T245">
        <v>24</v>
      </c>
    </row>
    <row r="246" spans="1:20" x14ac:dyDescent="0.35">
      <c r="A246" s="1">
        <v>45888</v>
      </c>
      <c r="B246" s="2">
        <v>0.85152091435185195</v>
      </c>
      <c r="C246">
        <v>79</v>
      </c>
      <c r="D246">
        <v>200</v>
      </c>
      <c r="E246">
        <v>0</v>
      </c>
      <c r="F246">
        <v>0</v>
      </c>
      <c r="G246">
        <v>0</v>
      </c>
      <c r="H246">
        <v>2368</v>
      </c>
      <c r="I246">
        <v>1784</v>
      </c>
      <c r="J246">
        <v>0</v>
      </c>
      <c r="K246">
        <v>100</v>
      </c>
      <c r="L246">
        <v>4010</v>
      </c>
      <c r="M246">
        <v>4012</v>
      </c>
      <c r="N246">
        <v>586</v>
      </c>
      <c r="O246">
        <v>4011</v>
      </c>
      <c r="P246">
        <v>1558</v>
      </c>
      <c r="Q246">
        <v>54</v>
      </c>
      <c r="R246">
        <v>404</v>
      </c>
      <c r="S246">
        <v>398</v>
      </c>
      <c r="T246">
        <v>54</v>
      </c>
    </row>
    <row r="247" spans="1:20" x14ac:dyDescent="0.35">
      <c r="A247" s="1">
        <v>45888</v>
      </c>
      <c r="B247" s="2">
        <v>0.85153670138888882</v>
      </c>
      <c r="C247">
        <v>79</v>
      </c>
      <c r="D247">
        <v>205</v>
      </c>
      <c r="E247">
        <v>0</v>
      </c>
      <c r="F247">
        <v>0</v>
      </c>
      <c r="G247">
        <v>0</v>
      </c>
      <c r="H247">
        <v>2368</v>
      </c>
      <c r="I247">
        <v>1784</v>
      </c>
      <c r="J247">
        <v>0</v>
      </c>
      <c r="K247">
        <v>100</v>
      </c>
      <c r="L247">
        <v>4009</v>
      </c>
      <c r="M247">
        <v>4012</v>
      </c>
      <c r="N247">
        <v>574</v>
      </c>
      <c r="O247">
        <v>4011</v>
      </c>
      <c r="P247">
        <v>1608</v>
      </c>
      <c r="Q247">
        <v>56</v>
      </c>
      <c r="R247">
        <v>404</v>
      </c>
      <c r="S247">
        <v>398</v>
      </c>
      <c r="T247">
        <v>125</v>
      </c>
    </row>
    <row r="248" spans="1:20" x14ac:dyDescent="0.35">
      <c r="A248" s="1">
        <v>45888</v>
      </c>
      <c r="B248" s="2">
        <v>0.85155249999999993</v>
      </c>
      <c r="C248">
        <v>79</v>
      </c>
      <c r="D248">
        <v>210</v>
      </c>
      <c r="E248">
        <v>0</v>
      </c>
      <c r="F248">
        <v>0</v>
      </c>
      <c r="G248">
        <v>0</v>
      </c>
      <c r="H248">
        <v>2368</v>
      </c>
      <c r="I248">
        <v>1784</v>
      </c>
      <c r="J248">
        <v>0</v>
      </c>
      <c r="K248">
        <v>100</v>
      </c>
      <c r="L248">
        <v>4010</v>
      </c>
      <c r="M248">
        <v>4012</v>
      </c>
      <c r="N248">
        <v>560</v>
      </c>
      <c r="O248">
        <v>4012</v>
      </c>
      <c r="P248">
        <v>1663</v>
      </c>
      <c r="Q248">
        <v>58</v>
      </c>
      <c r="R248">
        <v>405</v>
      </c>
      <c r="S248">
        <v>398</v>
      </c>
      <c r="T248">
        <v>29</v>
      </c>
    </row>
    <row r="249" spans="1:20" x14ac:dyDescent="0.35">
      <c r="A249" s="1">
        <v>45888</v>
      </c>
      <c r="B249" s="2">
        <v>0.85156819444444443</v>
      </c>
      <c r="C249">
        <v>79</v>
      </c>
      <c r="D249">
        <v>215</v>
      </c>
      <c r="E249">
        <v>0</v>
      </c>
      <c r="F249">
        <v>0</v>
      </c>
      <c r="G249">
        <v>0</v>
      </c>
      <c r="H249">
        <v>2368</v>
      </c>
      <c r="I249">
        <v>1784</v>
      </c>
      <c r="J249">
        <v>0</v>
      </c>
      <c r="K249">
        <v>100</v>
      </c>
      <c r="L249">
        <v>4010</v>
      </c>
      <c r="M249">
        <v>4012</v>
      </c>
      <c r="N249">
        <v>543</v>
      </c>
      <c r="O249">
        <v>4011</v>
      </c>
      <c r="P249">
        <v>1714</v>
      </c>
      <c r="Q249">
        <v>59</v>
      </c>
      <c r="R249">
        <v>405</v>
      </c>
      <c r="S249">
        <v>398</v>
      </c>
      <c r="T249">
        <v>18</v>
      </c>
    </row>
    <row r="250" spans="1:20" x14ac:dyDescent="0.35">
      <c r="A250" s="1">
        <v>45888</v>
      </c>
      <c r="B250" s="2">
        <v>0.85158391203703709</v>
      </c>
      <c r="C250">
        <v>79</v>
      </c>
      <c r="D250">
        <v>220</v>
      </c>
      <c r="E250">
        <v>0</v>
      </c>
      <c r="F250">
        <v>0</v>
      </c>
      <c r="G250">
        <v>0</v>
      </c>
      <c r="H250">
        <v>2368</v>
      </c>
      <c r="I250">
        <v>1784</v>
      </c>
      <c r="J250">
        <v>0</v>
      </c>
      <c r="K250">
        <v>100</v>
      </c>
      <c r="L250">
        <v>4010</v>
      </c>
      <c r="M250">
        <v>4012</v>
      </c>
      <c r="N250">
        <v>528</v>
      </c>
      <c r="O250">
        <v>4012</v>
      </c>
      <c r="P250">
        <v>1764</v>
      </c>
      <c r="Q250">
        <v>61</v>
      </c>
      <c r="R250">
        <v>404</v>
      </c>
      <c r="S250">
        <v>399</v>
      </c>
      <c r="T250">
        <v>23</v>
      </c>
    </row>
    <row r="251" spans="1:20" x14ac:dyDescent="0.35">
      <c r="A251" s="1">
        <v>45888</v>
      </c>
      <c r="B251" s="2">
        <v>0.85159967592592589</v>
      </c>
      <c r="C251">
        <v>79</v>
      </c>
      <c r="D251">
        <v>225</v>
      </c>
      <c r="E251">
        <v>0</v>
      </c>
      <c r="F251">
        <v>0</v>
      </c>
      <c r="G251">
        <v>0</v>
      </c>
      <c r="H251">
        <v>2368</v>
      </c>
      <c r="I251">
        <v>1784</v>
      </c>
      <c r="J251">
        <v>0</v>
      </c>
      <c r="K251">
        <v>100</v>
      </c>
      <c r="L251">
        <v>4009</v>
      </c>
      <c r="M251">
        <v>4012</v>
      </c>
      <c r="N251">
        <v>512</v>
      </c>
      <c r="O251">
        <v>4011</v>
      </c>
      <c r="P251">
        <v>1811</v>
      </c>
      <c r="Q251">
        <v>63</v>
      </c>
      <c r="R251">
        <v>405</v>
      </c>
      <c r="S251">
        <v>400</v>
      </c>
      <c r="T251">
        <v>18</v>
      </c>
    </row>
    <row r="252" spans="1:20" x14ac:dyDescent="0.35">
      <c r="A252" s="1">
        <v>45888</v>
      </c>
      <c r="B252" s="2">
        <v>0.85161537037037038</v>
      </c>
      <c r="C252">
        <v>79</v>
      </c>
      <c r="D252">
        <v>230</v>
      </c>
      <c r="E252">
        <v>0</v>
      </c>
      <c r="F252">
        <v>0</v>
      </c>
      <c r="G252">
        <v>0</v>
      </c>
      <c r="H252">
        <v>2368</v>
      </c>
      <c r="I252">
        <v>1784</v>
      </c>
      <c r="J252">
        <v>0</v>
      </c>
      <c r="K252">
        <v>100</v>
      </c>
      <c r="L252">
        <v>4011</v>
      </c>
      <c r="M252">
        <v>4013</v>
      </c>
      <c r="N252">
        <v>498</v>
      </c>
      <c r="O252">
        <v>4011</v>
      </c>
      <c r="P252">
        <v>1862</v>
      </c>
      <c r="Q252">
        <v>64</v>
      </c>
      <c r="R252">
        <v>404</v>
      </c>
      <c r="S252">
        <v>398</v>
      </c>
      <c r="T252">
        <v>77</v>
      </c>
    </row>
    <row r="253" spans="1:20" x14ac:dyDescent="0.35">
      <c r="A253" s="1">
        <v>45888</v>
      </c>
      <c r="B253" s="2">
        <v>0.85163109953703697</v>
      </c>
      <c r="C253">
        <v>79</v>
      </c>
      <c r="D253">
        <v>235</v>
      </c>
      <c r="E253">
        <v>0</v>
      </c>
      <c r="F253">
        <v>0</v>
      </c>
      <c r="G253">
        <v>0</v>
      </c>
      <c r="H253">
        <v>2368</v>
      </c>
      <c r="I253">
        <v>1784</v>
      </c>
      <c r="J253">
        <v>0</v>
      </c>
      <c r="K253">
        <v>100</v>
      </c>
      <c r="L253">
        <v>4010</v>
      </c>
      <c r="M253">
        <v>4012</v>
      </c>
      <c r="N253">
        <v>479</v>
      </c>
      <c r="O253">
        <v>4012</v>
      </c>
      <c r="P253">
        <v>1919</v>
      </c>
      <c r="Q253">
        <v>66</v>
      </c>
      <c r="R253">
        <v>404</v>
      </c>
      <c r="S253">
        <v>398</v>
      </c>
      <c r="T253">
        <v>196</v>
      </c>
    </row>
    <row r="254" spans="1:20" x14ac:dyDescent="0.35">
      <c r="A254" s="1">
        <v>45888</v>
      </c>
      <c r="B254" s="2">
        <v>0.85164701388888886</v>
      </c>
      <c r="C254">
        <v>79</v>
      </c>
      <c r="D254">
        <v>240</v>
      </c>
      <c r="E254">
        <v>0</v>
      </c>
      <c r="F254">
        <v>0</v>
      </c>
      <c r="G254">
        <v>0</v>
      </c>
      <c r="H254">
        <v>2368</v>
      </c>
      <c r="I254">
        <v>1784</v>
      </c>
      <c r="J254">
        <v>0</v>
      </c>
      <c r="K254">
        <v>100</v>
      </c>
      <c r="L254">
        <v>4011</v>
      </c>
      <c r="M254">
        <v>4013</v>
      </c>
      <c r="N254">
        <v>462</v>
      </c>
      <c r="O254">
        <v>4011</v>
      </c>
      <c r="P254">
        <v>1981</v>
      </c>
      <c r="Q254">
        <v>67</v>
      </c>
      <c r="R254">
        <v>404</v>
      </c>
      <c r="S254">
        <v>398</v>
      </c>
      <c r="T254">
        <v>45</v>
      </c>
    </row>
    <row r="255" spans="1:20" x14ac:dyDescent="0.35">
      <c r="A255" s="1">
        <v>45888</v>
      </c>
      <c r="B255" s="2">
        <v>0.85166274305555545</v>
      </c>
      <c r="C255">
        <v>79</v>
      </c>
      <c r="D255">
        <v>245</v>
      </c>
      <c r="E255">
        <v>0</v>
      </c>
      <c r="F255">
        <v>0</v>
      </c>
      <c r="G255">
        <v>0</v>
      </c>
      <c r="H255">
        <v>2368</v>
      </c>
      <c r="I255">
        <v>1784</v>
      </c>
      <c r="J255">
        <v>0</v>
      </c>
      <c r="K255">
        <v>100</v>
      </c>
      <c r="L255">
        <v>4010</v>
      </c>
      <c r="M255">
        <v>4012</v>
      </c>
      <c r="N255">
        <v>444</v>
      </c>
      <c r="O255">
        <v>4012</v>
      </c>
      <c r="P255">
        <v>2046</v>
      </c>
      <c r="Q255">
        <v>71</v>
      </c>
      <c r="R255">
        <v>404</v>
      </c>
      <c r="S255">
        <v>399</v>
      </c>
      <c r="T255">
        <v>252</v>
      </c>
    </row>
    <row r="256" spans="1:20" x14ac:dyDescent="0.35">
      <c r="A256" s="1">
        <v>45888</v>
      </c>
      <c r="B256" s="2">
        <v>0.85167851851851861</v>
      </c>
      <c r="C256">
        <v>79</v>
      </c>
      <c r="D256">
        <v>250</v>
      </c>
      <c r="E256">
        <v>0</v>
      </c>
      <c r="F256">
        <v>0</v>
      </c>
      <c r="G256">
        <v>0</v>
      </c>
      <c r="H256">
        <v>2368</v>
      </c>
      <c r="I256">
        <v>1784</v>
      </c>
      <c r="J256">
        <v>0</v>
      </c>
      <c r="K256">
        <v>100</v>
      </c>
      <c r="L256">
        <v>4009</v>
      </c>
      <c r="M256">
        <v>4013</v>
      </c>
      <c r="N256">
        <v>426</v>
      </c>
      <c r="O256">
        <v>4011</v>
      </c>
      <c r="P256">
        <v>2111</v>
      </c>
      <c r="Q256">
        <v>72</v>
      </c>
      <c r="R256">
        <v>405</v>
      </c>
      <c r="S256">
        <v>398</v>
      </c>
      <c r="T256">
        <v>141</v>
      </c>
    </row>
    <row r="257" spans="1:20" x14ac:dyDescent="0.35">
      <c r="A257" s="1">
        <v>45888</v>
      </c>
      <c r="B257" s="2">
        <v>0.8516942476851852</v>
      </c>
      <c r="C257">
        <v>79</v>
      </c>
      <c r="D257">
        <v>255</v>
      </c>
      <c r="E257">
        <v>0</v>
      </c>
      <c r="F257">
        <v>0</v>
      </c>
      <c r="G257">
        <v>0</v>
      </c>
      <c r="H257">
        <v>2368</v>
      </c>
      <c r="I257">
        <v>1784</v>
      </c>
      <c r="J257">
        <v>0</v>
      </c>
      <c r="K257">
        <v>100</v>
      </c>
      <c r="L257">
        <v>4011</v>
      </c>
      <c r="M257">
        <v>4012</v>
      </c>
      <c r="N257">
        <v>406</v>
      </c>
      <c r="O257">
        <v>4012</v>
      </c>
      <c r="P257">
        <v>2192</v>
      </c>
      <c r="Q257">
        <v>75</v>
      </c>
      <c r="R257">
        <v>404</v>
      </c>
      <c r="S257">
        <v>398</v>
      </c>
      <c r="T257">
        <v>95</v>
      </c>
    </row>
    <row r="258" spans="1:20" x14ac:dyDescent="0.35">
      <c r="A258" s="1">
        <v>45888</v>
      </c>
      <c r="B258" s="2">
        <v>0.85170997685185179</v>
      </c>
      <c r="C258">
        <v>79</v>
      </c>
      <c r="D258">
        <v>4</v>
      </c>
      <c r="E258">
        <v>0</v>
      </c>
      <c r="F258">
        <v>0</v>
      </c>
      <c r="G258">
        <v>0</v>
      </c>
      <c r="H258">
        <v>2368</v>
      </c>
      <c r="I258">
        <v>1784</v>
      </c>
      <c r="J258">
        <v>0</v>
      </c>
      <c r="K258">
        <v>100</v>
      </c>
      <c r="L258">
        <v>4011</v>
      </c>
      <c r="M258">
        <v>4013</v>
      </c>
      <c r="N258">
        <v>384</v>
      </c>
      <c r="O258">
        <v>4011</v>
      </c>
      <c r="P258">
        <v>2288</v>
      </c>
      <c r="Q258">
        <v>79</v>
      </c>
      <c r="R258">
        <v>404</v>
      </c>
      <c r="S258">
        <v>398</v>
      </c>
      <c r="T258">
        <v>4</v>
      </c>
    </row>
    <row r="259" spans="1:20" x14ac:dyDescent="0.35">
      <c r="A259" s="1">
        <v>45888</v>
      </c>
      <c r="B259" s="2">
        <v>0.85172589120370368</v>
      </c>
      <c r="C259">
        <v>79</v>
      </c>
      <c r="D259">
        <v>9</v>
      </c>
      <c r="E259">
        <v>0</v>
      </c>
      <c r="F259">
        <v>0</v>
      </c>
      <c r="G259">
        <v>0</v>
      </c>
      <c r="H259">
        <v>2368</v>
      </c>
      <c r="I259">
        <v>1784</v>
      </c>
      <c r="J259">
        <v>0</v>
      </c>
      <c r="K259">
        <v>100</v>
      </c>
      <c r="L259">
        <v>4009</v>
      </c>
      <c r="M259">
        <v>4012</v>
      </c>
      <c r="N259">
        <v>368</v>
      </c>
      <c r="O259">
        <v>4012</v>
      </c>
      <c r="P259">
        <v>2381</v>
      </c>
      <c r="Q259">
        <v>82</v>
      </c>
      <c r="R259">
        <v>404</v>
      </c>
      <c r="S259">
        <v>398</v>
      </c>
      <c r="T259">
        <v>175</v>
      </c>
    </row>
    <row r="260" spans="1:20" x14ac:dyDescent="0.35">
      <c r="A260" s="1">
        <v>45888</v>
      </c>
      <c r="B260" s="2">
        <v>0.85174160879629635</v>
      </c>
      <c r="C260">
        <v>79</v>
      </c>
      <c r="D260">
        <v>14</v>
      </c>
      <c r="E260">
        <v>0</v>
      </c>
      <c r="F260">
        <v>0</v>
      </c>
      <c r="G260">
        <v>0</v>
      </c>
      <c r="H260">
        <v>2368</v>
      </c>
      <c r="I260">
        <v>1784</v>
      </c>
      <c r="J260">
        <v>0</v>
      </c>
      <c r="K260">
        <v>100</v>
      </c>
      <c r="L260">
        <v>4010</v>
      </c>
      <c r="M260">
        <v>4013</v>
      </c>
      <c r="N260">
        <v>353</v>
      </c>
      <c r="O260">
        <v>4012</v>
      </c>
      <c r="P260">
        <v>2476</v>
      </c>
      <c r="Q260">
        <v>84</v>
      </c>
      <c r="R260">
        <v>405</v>
      </c>
      <c r="S260">
        <v>398</v>
      </c>
      <c r="T260">
        <v>32</v>
      </c>
    </row>
    <row r="261" spans="1:20" x14ac:dyDescent="0.35">
      <c r="A261" s="1">
        <v>45888</v>
      </c>
      <c r="B261" s="2">
        <v>0.85175752314814823</v>
      </c>
      <c r="C261">
        <v>79</v>
      </c>
      <c r="D261">
        <v>19</v>
      </c>
      <c r="E261">
        <v>0</v>
      </c>
      <c r="F261">
        <v>0</v>
      </c>
      <c r="G261">
        <v>0</v>
      </c>
      <c r="H261">
        <v>2368</v>
      </c>
      <c r="I261">
        <v>1784</v>
      </c>
      <c r="J261">
        <v>0</v>
      </c>
      <c r="K261">
        <v>100</v>
      </c>
      <c r="L261">
        <v>4010</v>
      </c>
      <c r="M261">
        <v>4012</v>
      </c>
      <c r="N261">
        <v>340</v>
      </c>
      <c r="O261">
        <v>4012</v>
      </c>
      <c r="P261">
        <v>2565</v>
      </c>
      <c r="Q261">
        <v>88</v>
      </c>
      <c r="R261">
        <v>405</v>
      </c>
      <c r="S261">
        <v>398</v>
      </c>
      <c r="T261">
        <v>172</v>
      </c>
    </row>
    <row r="262" spans="1:20" x14ac:dyDescent="0.35">
      <c r="A262" s="1">
        <v>45888</v>
      </c>
      <c r="B262" s="2">
        <v>0.85177322916666665</v>
      </c>
      <c r="C262">
        <v>79</v>
      </c>
      <c r="D262">
        <v>24</v>
      </c>
      <c r="E262">
        <v>0</v>
      </c>
      <c r="F262">
        <v>0</v>
      </c>
      <c r="G262">
        <v>0</v>
      </c>
      <c r="H262">
        <v>2368</v>
      </c>
      <c r="I262">
        <v>1784</v>
      </c>
      <c r="J262">
        <v>0</v>
      </c>
      <c r="K262">
        <v>100</v>
      </c>
      <c r="L262">
        <v>4010</v>
      </c>
      <c r="M262">
        <v>4012</v>
      </c>
      <c r="N262">
        <v>328</v>
      </c>
      <c r="O262">
        <v>4011</v>
      </c>
      <c r="P262">
        <v>2651</v>
      </c>
      <c r="Q262">
        <v>90</v>
      </c>
      <c r="R262">
        <v>404</v>
      </c>
      <c r="S262">
        <v>399</v>
      </c>
      <c r="T262">
        <v>26</v>
      </c>
    </row>
    <row r="263" spans="1:20" x14ac:dyDescent="0.35">
      <c r="A263" s="1">
        <v>45888</v>
      </c>
      <c r="B263" s="2">
        <v>0.85178896990740738</v>
      </c>
      <c r="C263">
        <v>79</v>
      </c>
      <c r="D263">
        <v>29</v>
      </c>
      <c r="E263">
        <v>0</v>
      </c>
      <c r="F263">
        <v>0</v>
      </c>
      <c r="G263">
        <v>0</v>
      </c>
      <c r="H263">
        <v>2368</v>
      </c>
      <c r="I263">
        <v>1784</v>
      </c>
      <c r="J263">
        <v>0</v>
      </c>
      <c r="K263">
        <v>100</v>
      </c>
      <c r="L263">
        <v>4010</v>
      </c>
      <c r="M263">
        <v>4012</v>
      </c>
      <c r="N263">
        <v>319</v>
      </c>
      <c r="O263">
        <v>4012</v>
      </c>
      <c r="P263">
        <v>2730</v>
      </c>
      <c r="Q263">
        <v>92</v>
      </c>
      <c r="R263">
        <v>404</v>
      </c>
      <c r="S263">
        <v>398</v>
      </c>
      <c r="T263">
        <v>12</v>
      </c>
    </row>
    <row r="264" spans="1:20" x14ac:dyDescent="0.35">
      <c r="A264" s="1">
        <v>45888</v>
      </c>
      <c r="B264" s="2">
        <v>0.8518046759259259</v>
      </c>
      <c r="C264">
        <v>79</v>
      </c>
      <c r="D264">
        <v>34</v>
      </c>
      <c r="E264">
        <v>0</v>
      </c>
      <c r="F264">
        <v>0</v>
      </c>
      <c r="G264">
        <v>0</v>
      </c>
      <c r="H264">
        <v>2368</v>
      </c>
      <c r="I264">
        <v>1784</v>
      </c>
      <c r="J264">
        <v>0</v>
      </c>
      <c r="K264">
        <v>100</v>
      </c>
      <c r="L264">
        <v>4009</v>
      </c>
      <c r="M264">
        <v>4012</v>
      </c>
      <c r="N264">
        <v>309</v>
      </c>
      <c r="O264">
        <v>4012</v>
      </c>
      <c r="P264">
        <v>2812</v>
      </c>
      <c r="Q264">
        <v>95</v>
      </c>
      <c r="R264">
        <v>404</v>
      </c>
      <c r="S264">
        <v>398</v>
      </c>
      <c r="T264">
        <v>159</v>
      </c>
    </row>
    <row r="265" spans="1:20" x14ac:dyDescent="0.35">
      <c r="A265" s="1">
        <v>45888</v>
      </c>
      <c r="B265" s="2">
        <v>0.85182041666666664</v>
      </c>
      <c r="C265">
        <v>79</v>
      </c>
      <c r="D265">
        <v>39</v>
      </c>
      <c r="E265">
        <v>0</v>
      </c>
      <c r="F265">
        <v>0</v>
      </c>
      <c r="G265">
        <v>0</v>
      </c>
      <c r="H265">
        <v>2368</v>
      </c>
      <c r="I265">
        <v>1784</v>
      </c>
      <c r="J265">
        <v>0</v>
      </c>
      <c r="K265">
        <v>100</v>
      </c>
      <c r="L265">
        <v>4011</v>
      </c>
      <c r="M265">
        <v>4013</v>
      </c>
      <c r="N265">
        <v>299</v>
      </c>
      <c r="O265">
        <v>4012</v>
      </c>
      <c r="P265">
        <v>2890</v>
      </c>
      <c r="Q265">
        <v>99</v>
      </c>
      <c r="R265">
        <v>405</v>
      </c>
      <c r="S265">
        <v>398</v>
      </c>
      <c r="T265">
        <v>97</v>
      </c>
    </row>
    <row r="266" spans="1:20" x14ac:dyDescent="0.35">
      <c r="A266" s="1">
        <v>45888</v>
      </c>
      <c r="B266" s="2">
        <v>0.85183640046296294</v>
      </c>
      <c r="C266">
        <v>79</v>
      </c>
      <c r="D266">
        <v>44</v>
      </c>
      <c r="E266">
        <v>0</v>
      </c>
      <c r="F266">
        <v>0</v>
      </c>
      <c r="G266">
        <v>0</v>
      </c>
      <c r="H266">
        <v>2368</v>
      </c>
      <c r="I266">
        <v>1784</v>
      </c>
      <c r="J266">
        <v>0</v>
      </c>
      <c r="K266">
        <v>100</v>
      </c>
      <c r="L266">
        <v>4010</v>
      </c>
      <c r="M266">
        <v>4012</v>
      </c>
      <c r="N266">
        <v>291</v>
      </c>
      <c r="O266">
        <v>4011</v>
      </c>
      <c r="P266">
        <v>2949</v>
      </c>
      <c r="Q266">
        <v>102</v>
      </c>
      <c r="R266">
        <v>405</v>
      </c>
      <c r="S266">
        <v>399</v>
      </c>
      <c r="T266">
        <v>185</v>
      </c>
    </row>
    <row r="267" spans="1:20" x14ac:dyDescent="0.35">
      <c r="A267" s="1">
        <v>45888</v>
      </c>
      <c r="B267" s="2">
        <v>0.85185209490740732</v>
      </c>
      <c r="C267">
        <v>79</v>
      </c>
      <c r="D267">
        <v>49</v>
      </c>
      <c r="E267">
        <v>0</v>
      </c>
      <c r="F267">
        <v>0</v>
      </c>
      <c r="G267">
        <v>0</v>
      </c>
      <c r="H267">
        <v>2368</v>
      </c>
      <c r="I267">
        <v>1784</v>
      </c>
      <c r="J267">
        <v>0</v>
      </c>
      <c r="K267">
        <v>100</v>
      </c>
      <c r="L267">
        <v>4010</v>
      </c>
      <c r="M267">
        <v>4008</v>
      </c>
      <c r="N267">
        <v>278</v>
      </c>
      <c r="O267">
        <v>4012</v>
      </c>
      <c r="P267">
        <v>2993</v>
      </c>
      <c r="Q267">
        <v>103</v>
      </c>
      <c r="R267">
        <v>405</v>
      </c>
      <c r="S267">
        <v>398</v>
      </c>
      <c r="T267">
        <v>72</v>
      </c>
    </row>
    <row r="268" spans="1:20" x14ac:dyDescent="0.35">
      <c r="A268" s="1">
        <v>45888</v>
      </c>
      <c r="B268" s="2">
        <v>0.85186783564814805</v>
      </c>
      <c r="C268">
        <v>79</v>
      </c>
      <c r="D268">
        <v>54</v>
      </c>
      <c r="E268">
        <v>0</v>
      </c>
      <c r="F268">
        <v>0</v>
      </c>
      <c r="G268">
        <v>0</v>
      </c>
      <c r="H268">
        <v>2368</v>
      </c>
      <c r="I268">
        <v>1784</v>
      </c>
      <c r="J268">
        <v>0</v>
      </c>
      <c r="K268">
        <v>100</v>
      </c>
      <c r="L268">
        <v>4011</v>
      </c>
      <c r="M268">
        <v>4005</v>
      </c>
      <c r="N268">
        <v>264</v>
      </c>
      <c r="O268">
        <v>4011</v>
      </c>
      <c r="P268">
        <v>3002</v>
      </c>
      <c r="Q268">
        <v>103</v>
      </c>
      <c r="R268">
        <v>405</v>
      </c>
      <c r="S268">
        <v>398</v>
      </c>
      <c r="T268">
        <v>152</v>
      </c>
    </row>
    <row r="269" spans="1:20" x14ac:dyDescent="0.35">
      <c r="A269" s="1">
        <v>45888</v>
      </c>
      <c r="B269" s="2">
        <v>0.85188359953703707</v>
      </c>
      <c r="C269">
        <v>79</v>
      </c>
      <c r="D269">
        <v>59</v>
      </c>
      <c r="E269">
        <v>0</v>
      </c>
      <c r="F269">
        <v>0</v>
      </c>
      <c r="G269">
        <v>0</v>
      </c>
      <c r="H269">
        <v>2368</v>
      </c>
      <c r="I269">
        <v>1784</v>
      </c>
      <c r="J269">
        <v>0</v>
      </c>
      <c r="K269">
        <v>100</v>
      </c>
      <c r="L269">
        <v>4010</v>
      </c>
      <c r="M269">
        <v>4000</v>
      </c>
      <c r="N269">
        <v>248</v>
      </c>
      <c r="O269">
        <v>4011</v>
      </c>
      <c r="P269">
        <v>2977</v>
      </c>
      <c r="Q269">
        <v>102</v>
      </c>
      <c r="R269">
        <v>404</v>
      </c>
      <c r="S269">
        <v>398</v>
      </c>
      <c r="T269">
        <v>187</v>
      </c>
    </row>
    <row r="270" spans="1:20" x14ac:dyDescent="0.35">
      <c r="A270" s="1">
        <v>45888</v>
      </c>
      <c r="B270" s="2">
        <v>0.8518993055555556</v>
      </c>
      <c r="C270">
        <v>79</v>
      </c>
      <c r="D270">
        <v>64</v>
      </c>
      <c r="E270">
        <v>0</v>
      </c>
      <c r="F270">
        <v>0</v>
      </c>
      <c r="G270">
        <v>0</v>
      </c>
      <c r="H270">
        <v>2368</v>
      </c>
      <c r="I270">
        <v>1784</v>
      </c>
      <c r="J270">
        <v>0</v>
      </c>
      <c r="K270">
        <v>100</v>
      </c>
      <c r="L270">
        <v>4010</v>
      </c>
      <c r="M270">
        <v>3992</v>
      </c>
      <c r="N270">
        <v>227</v>
      </c>
      <c r="O270">
        <v>4012</v>
      </c>
      <c r="P270">
        <v>2920</v>
      </c>
      <c r="Q270">
        <v>100</v>
      </c>
      <c r="R270">
        <v>404</v>
      </c>
      <c r="S270">
        <v>399</v>
      </c>
      <c r="T270">
        <v>221</v>
      </c>
    </row>
    <row r="271" spans="1:20" x14ac:dyDescent="0.35">
      <c r="A271" s="1">
        <v>45888</v>
      </c>
      <c r="B271" s="2">
        <v>0.85191506944444439</v>
      </c>
      <c r="C271">
        <v>79</v>
      </c>
      <c r="D271">
        <v>69</v>
      </c>
      <c r="E271">
        <v>0</v>
      </c>
      <c r="F271">
        <v>0</v>
      </c>
      <c r="G271">
        <v>0</v>
      </c>
      <c r="H271">
        <v>2368</v>
      </c>
      <c r="I271">
        <v>1784</v>
      </c>
      <c r="J271">
        <v>0</v>
      </c>
      <c r="K271">
        <v>100</v>
      </c>
      <c r="L271">
        <v>4010</v>
      </c>
      <c r="M271">
        <v>3982</v>
      </c>
      <c r="N271">
        <v>202</v>
      </c>
      <c r="O271">
        <v>4012</v>
      </c>
      <c r="P271">
        <v>2830</v>
      </c>
      <c r="Q271">
        <v>96</v>
      </c>
      <c r="R271">
        <v>404</v>
      </c>
      <c r="S271">
        <v>398</v>
      </c>
      <c r="T271">
        <v>187</v>
      </c>
    </row>
    <row r="272" spans="1:20" x14ac:dyDescent="0.35">
      <c r="A272" s="1">
        <v>45888</v>
      </c>
      <c r="B272" s="2">
        <v>0.85193103009259263</v>
      </c>
      <c r="C272">
        <v>79</v>
      </c>
      <c r="D272">
        <v>74</v>
      </c>
      <c r="E272">
        <v>0</v>
      </c>
      <c r="F272">
        <v>0</v>
      </c>
      <c r="G272">
        <v>0</v>
      </c>
      <c r="H272">
        <v>2368</v>
      </c>
      <c r="I272">
        <v>1784</v>
      </c>
      <c r="J272">
        <v>0</v>
      </c>
      <c r="K272">
        <v>100</v>
      </c>
      <c r="L272">
        <v>4009</v>
      </c>
      <c r="M272">
        <v>3968</v>
      </c>
      <c r="N272">
        <v>180</v>
      </c>
      <c r="O272">
        <v>4011</v>
      </c>
      <c r="P272">
        <v>2715</v>
      </c>
      <c r="Q272">
        <v>93</v>
      </c>
      <c r="R272">
        <v>404</v>
      </c>
      <c r="S272">
        <v>398</v>
      </c>
      <c r="T272">
        <v>184</v>
      </c>
    </row>
    <row r="273" spans="1:20" x14ac:dyDescent="0.35">
      <c r="A273" s="1">
        <v>45888</v>
      </c>
      <c r="B273" s="2">
        <v>0.85194680555555558</v>
      </c>
      <c r="C273">
        <v>79</v>
      </c>
      <c r="D273">
        <v>79</v>
      </c>
      <c r="E273">
        <v>0</v>
      </c>
      <c r="F273">
        <v>0</v>
      </c>
      <c r="G273">
        <v>0</v>
      </c>
      <c r="H273">
        <v>2368</v>
      </c>
      <c r="I273">
        <v>1784</v>
      </c>
      <c r="J273">
        <v>0</v>
      </c>
      <c r="K273">
        <v>100</v>
      </c>
      <c r="L273">
        <v>4009</v>
      </c>
      <c r="M273">
        <v>3951</v>
      </c>
      <c r="N273">
        <v>160</v>
      </c>
      <c r="O273">
        <v>4011</v>
      </c>
      <c r="P273">
        <v>2592</v>
      </c>
      <c r="Q273">
        <v>88</v>
      </c>
      <c r="R273">
        <v>404</v>
      </c>
      <c r="S273">
        <v>398</v>
      </c>
      <c r="T273">
        <v>193</v>
      </c>
    </row>
    <row r="274" spans="1:20" x14ac:dyDescent="0.35">
      <c r="A274" s="1">
        <v>45888</v>
      </c>
      <c r="B274" s="2">
        <v>0.85196271990740735</v>
      </c>
      <c r="C274">
        <v>79</v>
      </c>
      <c r="D274">
        <v>84</v>
      </c>
      <c r="E274">
        <v>0</v>
      </c>
      <c r="F274">
        <v>0</v>
      </c>
      <c r="G274">
        <v>0</v>
      </c>
      <c r="H274">
        <v>2368</v>
      </c>
      <c r="I274">
        <v>1784</v>
      </c>
      <c r="J274">
        <v>0</v>
      </c>
      <c r="K274">
        <v>100</v>
      </c>
      <c r="L274">
        <v>4011</v>
      </c>
      <c r="M274">
        <v>3911</v>
      </c>
      <c r="N274">
        <v>141</v>
      </c>
      <c r="O274">
        <v>4011</v>
      </c>
      <c r="P274">
        <v>2443</v>
      </c>
      <c r="Q274">
        <v>83</v>
      </c>
      <c r="R274">
        <v>404</v>
      </c>
      <c r="S274">
        <v>398</v>
      </c>
      <c r="T274">
        <v>237</v>
      </c>
    </row>
    <row r="275" spans="1:20" x14ac:dyDescent="0.35">
      <c r="A275" s="1">
        <v>45888</v>
      </c>
      <c r="B275" s="2">
        <v>0.85197844907407405</v>
      </c>
      <c r="C275">
        <v>79</v>
      </c>
      <c r="D275">
        <v>89</v>
      </c>
      <c r="E275">
        <v>0</v>
      </c>
      <c r="F275">
        <v>0</v>
      </c>
      <c r="G275">
        <v>0</v>
      </c>
      <c r="H275">
        <v>2368</v>
      </c>
      <c r="I275">
        <v>1784</v>
      </c>
      <c r="J275">
        <v>0</v>
      </c>
      <c r="K275">
        <v>100</v>
      </c>
      <c r="L275">
        <v>4009</v>
      </c>
      <c r="M275">
        <v>3619</v>
      </c>
      <c r="N275">
        <v>123</v>
      </c>
      <c r="O275">
        <v>4012</v>
      </c>
      <c r="P275">
        <v>2262</v>
      </c>
      <c r="Q275">
        <v>78</v>
      </c>
      <c r="R275">
        <v>405</v>
      </c>
      <c r="S275">
        <v>397</v>
      </c>
      <c r="T275">
        <v>34</v>
      </c>
    </row>
    <row r="276" spans="1:20" x14ac:dyDescent="0.35">
      <c r="A276" s="1">
        <v>45888</v>
      </c>
      <c r="B276" s="2">
        <v>0.85199416666666672</v>
      </c>
      <c r="C276">
        <v>79</v>
      </c>
      <c r="D276">
        <v>94</v>
      </c>
      <c r="E276">
        <v>0</v>
      </c>
      <c r="F276">
        <v>0</v>
      </c>
      <c r="G276">
        <v>0</v>
      </c>
      <c r="H276">
        <v>2368</v>
      </c>
      <c r="I276">
        <v>1784</v>
      </c>
      <c r="J276">
        <v>0</v>
      </c>
      <c r="K276">
        <v>100</v>
      </c>
      <c r="L276">
        <v>4010</v>
      </c>
      <c r="M276">
        <v>3137</v>
      </c>
      <c r="N276">
        <v>107</v>
      </c>
      <c r="O276">
        <v>4011</v>
      </c>
      <c r="P276">
        <v>2046</v>
      </c>
      <c r="Q276">
        <v>70</v>
      </c>
      <c r="R276">
        <v>404</v>
      </c>
      <c r="S276">
        <v>398</v>
      </c>
      <c r="T276">
        <v>233</v>
      </c>
    </row>
    <row r="277" spans="1:20" x14ac:dyDescent="0.35">
      <c r="A277" s="1">
        <v>45888</v>
      </c>
      <c r="B277" s="2">
        <v>0.85200990740740745</v>
      </c>
      <c r="C277">
        <v>79</v>
      </c>
      <c r="D277">
        <v>99</v>
      </c>
      <c r="E277">
        <v>0</v>
      </c>
      <c r="F277">
        <v>0</v>
      </c>
      <c r="G277">
        <v>0</v>
      </c>
      <c r="H277">
        <v>2368</v>
      </c>
      <c r="I277">
        <v>1784</v>
      </c>
      <c r="J277">
        <v>0</v>
      </c>
      <c r="K277">
        <v>100</v>
      </c>
      <c r="L277">
        <v>4011</v>
      </c>
      <c r="M277">
        <v>2686</v>
      </c>
      <c r="N277">
        <v>90</v>
      </c>
      <c r="O277">
        <v>4011</v>
      </c>
      <c r="P277">
        <v>1750</v>
      </c>
      <c r="Q277">
        <v>59</v>
      </c>
      <c r="R277">
        <v>404</v>
      </c>
      <c r="S277">
        <v>398</v>
      </c>
      <c r="T277">
        <v>234</v>
      </c>
    </row>
    <row r="278" spans="1:20" x14ac:dyDescent="0.35">
      <c r="A278" s="1">
        <v>45888</v>
      </c>
      <c r="B278" s="2">
        <v>0.8520256249999999</v>
      </c>
      <c r="C278">
        <v>79</v>
      </c>
      <c r="D278">
        <v>104</v>
      </c>
      <c r="E278">
        <v>0</v>
      </c>
      <c r="F278">
        <v>0</v>
      </c>
      <c r="G278">
        <v>0</v>
      </c>
      <c r="H278">
        <v>2368</v>
      </c>
      <c r="I278">
        <v>1784</v>
      </c>
      <c r="J278">
        <v>0</v>
      </c>
      <c r="K278">
        <v>100</v>
      </c>
      <c r="L278">
        <v>4010</v>
      </c>
      <c r="M278">
        <v>2317</v>
      </c>
      <c r="N278">
        <v>80</v>
      </c>
      <c r="O278">
        <v>4012</v>
      </c>
      <c r="P278">
        <v>1370</v>
      </c>
      <c r="Q278">
        <v>48</v>
      </c>
      <c r="R278">
        <v>405</v>
      </c>
      <c r="S278">
        <v>398</v>
      </c>
      <c r="T278">
        <v>89</v>
      </c>
    </row>
    <row r="279" spans="1:20" x14ac:dyDescent="0.35">
      <c r="A279" s="1">
        <v>45888</v>
      </c>
      <c r="B279" s="2">
        <v>0.85204136574074074</v>
      </c>
      <c r="C279">
        <v>79</v>
      </c>
      <c r="D279">
        <v>109</v>
      </c>
      <c r="E279">
        <v>0</v>
      </c>
      <c r="F279">
        <v>0</v>
      </c>
      <c r="G279">
        <v>0</v>
      </c>
      <c r="H279">
        <v>2368</v>
      </c>
      <c r="I279">
        <v>1784</v>
      </c>
      <c r="J279">
        <v>0</v>
      </c>
      <c r="K279">
        <v>100</v>
      </c>
      <c r="L279">
        <v>4009</v>
      </c>
      <c r="M279">
        <v>1989</v>
      </c>
      <c r="N279">
        <v>67</v>
      </c>
      <c r="O279">
        <v>4011</v>
      </c>
      <c r="P279">
        <v>942</v>
      </c>
      <c r="Q279">
        <v>33</v>
      </c>
      <c r="R279">
        <v>404</v>
      </c>
      <c r="S279">
        <v>398</v>
      </c>
      <c r="T279">
        <v>187</v>
      </c>
    </row>
    <row r="280" spans="1:20" x14ac:dyDescent="0.35">
      <c r="A280" s="1">
        <v>45888</v>
      </c>
      <c r="B280" s="2">
        <v>0.85205715277777772</v>
      </c>
      <c r="C280">
        <v>79</v>
      </c>
      <c r="D280">
        <v>114</v>
      </c>
      <c r="E280">
        <v>0</v>
      </c>
      <c r="F280">
        <v>0</v>
      </c>
      <c r="G280">
        <v>0</v>
      </c>
      <c r="H280">
        <v>2368</v>
      </c>
      <c r="I280">
        <v>1784</v>
      </c>
      <c r="J280">
        <v>0</v>
      </c>
      <c r="K280">
        <v>100</v>
      </c>
      <c r="L280">
        <v>4010</v>
      </c>
      <c r="M280">
        <v>1740</v>
      </c>
      <c r="N280">
        <v>59</v>
      </c>
      <c r="O280">
        <v>4012</v>
      </c>
      <c r="P280">
        <v>644</v>
      </c>
      <c r="Q280">
        <v>22</v>
      </c>
      <c r="R280">
        <v>404</v>
      </c>
      <c r="S280">
        <v>398</v>
      </c>
      <c r="T280">
        <v>207</v>
      </c>
    </row>
    <row r="281" spans="1:20" x14ac:dyDescent="0.35">
      <c r="A281" s="1">
        <v>45888</v>
      </c>
      <c r="B281" s="2">
        <v>0.85207284722222221</v>
      </c>
      <c r="C281">
        <v>79</v>
      </c>
      <c r="D281">
        <v>119</v>
      </c>
      <c r="E281">
        <v>0</v>
      </c>
      <c r="F281">
        <v>0</v>
      </c>
      <c r="G281">
        <v>0</v>
      </c>
      <c r="H281">
        <v>2368</v>
      </c>
      <c r="I281">
        <v>1784</v>
      </c>
      <c r="J281">
        <v>0</v>
      </c>
      <c r="K281">
        <v>100</v>
      </c>
      <c r="L281">
        <v>4010</v>
      </c>
      <c r="M281">
        <v>1560</v>
      </c>
      <c r="N281">
        <v>54</v>
      </c>
      <c r="O281">
        <v>4011</v>
      </c>
      <c r="P281">
        <v>518</v>
      </c>
      <c r="Q281">
        <v>18</v>
      </c>
      <c r="R281">
        <v>404</v>
      </c>
      <c r="S281">
        <v>398</v>
      </c>
      <c r="T281">
        <v>109</v>
      </c>
    </row>
    <row r="282" spans="1:20" x14ac:dyDescent="0.35">
      <c r="A282" s="1">
        <v>45888</v>
      </c>
      <c r="B282" s="2">
        <v>0.85208859953703708</v>
      </c>
      <c r="C282">
        <v>79</v>
      </c>
      <c r="D282">
        <v>124</v>
      </c>
      <c r="E282">
        <v>0</v>
      </c>
      <c r="F282">
        <v>0</v>
      </c>
      <c r="G282">
        <v>0</v>
      </c>
      <c r="H282">
        <v>2368</v>
      </c>
      <c r="I282">
        <v>1784</v>
      </c>
      <c r="J282">
        <v>0</v>
      </c>
      <c r="K282">
        <v>100</v>
      </c>
      <c r="L282">
        <v>4009</v>
      </c>
      <c r="M282">
        <v>1408</v>
      </c>
      <c r="N282">
        <v>48</v>
      </c>
      <c r="O282">
        <v>4011</v>
      </c>
      <c r="P282">
        <v>472</v>
      </c>
      <c r="Q282">
        <v>17</v>
      </c>
      <c r="R282">
        <v>405</v>
      </c>
      <c r="S282">
        <v>398</v>
      </c>
      <c r="T282">
        <v>154</v>
      </c>
    </row>
    <row r="283" spans="1:20" x14ac:dyDescent="0.35">
      <c r="A283" s="1">
        <v>45888</v>
      </c>
      <c r="B283" s="2">
        <v>0.85210438657407406</v>
      </c>
      <c r="C283">
        <v>79</v>
      </c>
      <c r="D283">
        <v>129</v>
      </c>
      <c r="E283">
        <v>0</v>
      </c>
      <c r="F283">
        <v>0</v>
      </c>
      <c r="G283">
        <v>0</v>
      </c>
      <c r="H283">
        <v>2368</v>
      </c>
      <c r="I283">
        <v>1784</v>
      </c>
      <c r="J283">
        <v>0</v>
      </c>
      <c r="K283">
        <v>100</v>
      </c>
      <c r="L283">
        <v>4010</v>
      </c>
      <c r="M283">
        <v>1368</v>
      </c>
      <c r="N283">
        <v>46</v>
      </c>
      <c r="O283">
        <v>4011</v>
      </c>
      <c r="P283">
        <v>464</v>
      </c>
      <c r="Q283">
        <v>16</v>
      </c>
      <c r="R283">
        <v>404</v>
      </c>
      <c r="S283">
        <v>398</v>
      </c>
      <c r="T283">
        <v>216</v>
      </c>
    </row>
    <row r="284" spans="1:20" x14ac:dyDescent="0.35">
      <c r="A284" s="1">
        <v>45888</v>
      </c>
      <c r="B284" s="2">
        <v>0.85212009259259269</v>
      </c>
      <c r="C284">
        <v>79</v>
      </c>
      <c r="D284">
        <v>134</v>
      </c>
      <c r="E284">
        <v>0</v>
      </c>
      <c r="F284">
        <v>0</v>
      </c>
      <c r="G284">
        <v>0</v>
      </c>
      <c r="H284">
        <v>2368</v>
      </c>
      <c r="I284">
        <v>1784</v>
      </c>
      <c r="J284">
        <v>0</v>
      </c>
      <c r="K284">
        <v>100</v>
      </c>
      <c r="L284">
        <v>4011</v>
      </c>
      <c r="M284">
        <v>1270</v>
      </c>
      <c r="N284">
        <v>44</v>
      </c>
      <c r="O284">
        <v>4012</v>
      </c>
      <c r="P284">
        <v>443</v>
      </c>
      <c r="Q284">
        <v>16</v>
      </c>
      <c r="R284">
        <v>404</v>
      </c>
      <c r="S284">
        <v>398</v>
      </c>
      <c r="T284">
        <v>206</v>
      </c>
    </row>
    <row r="285" spans="1:20" x14ac:dyDescent="0.35">
      <c r="A285" s="1">
        <v>45888</v>
      </c>
      <c r="B285" s="2">
        <v>0.85213582175925928</v>
      </c>
      <c r="C285">
        <v>79</v>
      </c>
      <c r="D285">
        <v>139</v>
      </c>
      <c r="E285">
        <v>0</v>
      </c>
      <c r="F285">
        <v>0</v>
      </c>
      <c r="G285">
        <v>0</v>
      </c>
      <c r="H285">
        <v>2368</v>
      </c>
      <c r="I285">
        <v>1784</v>
      </c>
      <c r="J285">
        <v>0</v>
      </c>
      <c r="K285">
        <v>100</v>
      </c>
      <c r="L285">
        <v>4010</v>
      </c>
      <c r="M285">
        <v>1060</v>
      </c>
      <c r="N285">
        <v>36</v>
      </c>
      <c r="O285">
        <v>4011</v>
      </c>
      <c r="P285">
        <v>417</v>
      </c>
      <c r="Q285">
        <v>14</v>
      </c>
      <c r="R285">
        <v>405</v>
      </c>
      <c r="S285">
        <v>398</v>
      </c>
      <c r="T285">
        <v>11</v>
      </c>
    </row>
    <row r="286" spans="1:20" x14ac:dyDescent="0.35">
      <c r="A286" s="1">
        <v>45888</v>
      </c>
      <c r="B286" s="2">
        <v>0.85215159722222222</v>
      </c>
      <c r="C286">
        <v>79</v>
      </c>
      <c r="D286">
        <v>144</v>
      </c>
      <c r="E286">
        <v>0</v>
      </c>
      <c r="F286">
        <v>0</v>
      </c>
      <c r="G286">
        <v>0</v>
      </c>
      <c r="H286">
        <v>2368</v>
      </c>
      <c r="I286">
        <v>1784</v>
      </c>
      <c r="J286">
        <v>0</v>
      </c>
      <c r="K286">
        <v>100</v>
      </c>
      <c r="L286">
        <v>4011</v>
      </c>
      <c r="M286">
        <v>803</v>
      </c>
      <c r="N286">
        <v>27</v>
      </c>
      <c r="O286">
        <v>4012</v>
      </c>
      <c r="P286">
        <v>397</v>
      </c>
      <c r="Q286">
        <v>14</v>
      </c>
      <c r="R286">
        <v>405</v>
      </c>
      <c r="S286">
        <v>399</v>
      </c>
      <c r="T286">
        <v>88</v>
      </c>
    </row>
    <row r="287" spans="1:20" x14ac:dyDescent="0.35">
      <c r="A287" s="1">
        <v>45888</v>
      </c>
      <c r="B287" s="2">
        <v>0.8521673495370371</v>
      </c>
      <c r="C287">
        <v>79</v>
      </c>
      <c r="D287">
        <v>149</v>
      </c>
      <c r="E287">
        <v>0</v>
      </c>
      <c r="F287">
        <v>0</v>
      </c>
      <c r="G287">
        <v>0</v>
      </c>
      <c r="H287">
        <v>2368</v>
      </c>
      <c r="I287">
        <v>1784</v>
      </c>
      <c r="J287">
        <v>0</v>
      </c>
      <c r="K287">
        <v>100</v>
      </c>
      <c r="L287">
        <v>4010</v>
      </c>
      <c r="M287">
        <v>555</v>
      </c>
      <c r="N287">
        <v>19</v>
      </c>
      <c r="O287">
        <v>4012</v>
      </c>
      <c r="P287">
        <v>383</v>
      </c>
      <c r="Q287">
        <v>13</v>
      </c>
      <c r="R287">
        <v>404</v>
      </c>
      <c r="S287">
        <v>398</v>
      </c>
      <c r="T287">
        <v>68</v>
      </c>
    </row>
    <row r="288" spans="1:20" x14ac:dyDescent="0.35">
      <c r="A288" s="1">
        <v>45888</v>
      </c>
      <c r="B288" s="2">
        <v>0.85218304398148159</v>
      </c>
      <c r="C288">
        <v>79</v>
      </c>
      <c r="D288">
        <v>154</v>
      </c>
      <c r="E288">
        <v>0</v>
      </c>
      <c r="F288">
        <v>0</v>
      </c>
      <c r="G288">
        <v>0</v>
      </c>
      <c r="H288">
        <v>2368</v>
      </c>
      <c r="I288">
        <v>1784</v>
      </c>
      <c r="J288">
        <v>0</v>
      </c>
      <c r="K288">
        <v>100</v>
      </c>
      <c r="L288">
        <v>4010</v>
      </c>
      <c r="M288">
        <v>400</v>
      </c>
      <c r="N288">
        <v>13</v>
      </c>
      <c r="O288">
        <v>4012</v>
      </c>
      <c r="P288">
        <v>374</v>
      </c>
      <c r="Q288">
        <v>13</v>
      </c>
      <c r="R288">
        <v>405</v>
      </c>
      <c r="S288">
        <v>398</v>
      </c>
      <c r="T288">
        <v>69</v>
      </c>
    </row>
    <row r="289" spans="1:20" x14ac:dyDescent="0.35">
      <c r="A289" s="1">
        <v>45888</v>
      </c>
      <c r="B289" s="2">
        <v>0.85219879629629625</v>
      </c>
      <c r="C289">
        <v>79</v>
      </c>
      <c r="D289">
        <v>159</v>
      </c>
      <c r="E289">
        <v>0</v>
      </c>
      <c r="F289">
        <v>0</v>
      </c>
      <c r="G289">
        <v>0</v>
      </c>
      <c r="H289">
        <v>2368</v>
      </c>
      <c r="I289">
        <v>1784</v>
      </c>
      <c r="J289">
        <v>0</v>
      </c>
      <c r="K289">
        <v>100</v>
      </c>
      <c r="L289">
        <v>4009</v>
      </c>
      <c r="M289">
        <v>336</v>
      </c>
      <c r="N289">
        <v>12</v>
      </c>
      <c r="O289">
        <v>4011</v>
      </c>
      <c r="P289">
        <v>368</v>
      </c>
      <c r="Q289">
        <v>14</v>
      </c>
      <c r="R289">
        <v>405</v>
      </c>
      <c r="S289">
        <v>398</v>
      </c>
      <c r="T289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B5BE-2955-410C-86EB-327E668B92F2}">
  <dimension ref="A1:T289"/>
  <sheetViews>
    <sheetView workbookViewId="0">
      <selection sqref="A1:T289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45888</v>
      </c>
      <c r="B2" s="2">
        <v>0.83732278935185178</v>
      </c>
      <c r="C2">
        <v>79</v>
      </c>
      <c r="D2">
        <v>239</v>
      </c>
      <c r="E2">
        <v>0</v>
      </c>
      <c r="F2">
        <v>8</v>
      </c>
      <c r="G2">
        <v>0</v>
      </c>
      <c r="H2">
        <v>2368</v>
      </c>
      <c r="I2">
        <v>1784</v>
      </c>
      <c r="J2">
        <v>0</v>
      </c>
      <c r="K2">
        <v>100</v>
      </c>
      <c r="L2">
        <v>4010</v>
      </c>
      <c r="M2">
        <v>315</v>
      </c>
      <c r="N2">
        <v>11</v>
      </c>
      <c r="O2">
        <v>4011</v>
      </c>
      <c r="P2">
        <v>303</v>
      </c>
      <c r="Q2">
        <v>11</v>
      </c>
      <c r="R2">
        <v>404</v>
      </c>
      <c r="S2">
        <v>399</v>
      </c>
      <c r="T2">
        <v>131</v>
      </c>
    </row>
    <row r="3" spans="1:20" x14ac:dyDescent="0.35">
      <c r="A3" s="1">
        <v>45888</v>
      </c>
      <c r="B3" s="2">
        <v>0.83733849537037042</v>
      </c>
      <c r="C3">
        <v>79</v>
      </c>
      <c r="D3">
        <v>244</v>
      </c>
      <c r="E3">
        <v>0</v>
      </c>
      <c r="F3">
        <v>8</v>
      </c>
      <c r="G3">
        <v>0</v>
      </c>
      <c r="H3">
        <v>2368</v>
      </c>
      <c r="I3">
        <v>1784</v>
      </c>
      <c r="J3">
        <v>0</v>
      </c>
      <c r="K3">
        <v>100</v>
      </c>
      <c r="L3">
        <v>4010</v>
      </c>
      <c r="M3">
        <v>310</v>
      </c>
      <c r="N3">
        <v>11</v>
      </c>
      <c r="O3">
        <v>4011</v>
      </c>
      <c r="P3">
        <v>306</v>
      </c>
      <c r="Q3">
        <v>11</v>
      </c>
      <c r="R3">
        <v>405</v>
      </c>
      <c r="S3">
        <v>398</v>
      </c>
      <c r="T3">
        <v>86</v>
      </c>
    </row>
    <row r="4" spans="1:20" x14ac:dyDescent="0.35">
      <c r="A4" s="1">
        <v>45888</v>
      </c>
      <c r="B4" s="2">
        <v>0.83735429398148142</v>
      </c>
      <c r="C4">
        <v>79</v>
      </c>
      <c r="D4">
        <v>249</v>
      </c>
      <c r="E4">
        <v>0</v>
      </c>
      <c r="F4">
        <v>8</v>
      </c>
      <c r="G4">
        <v>0</v>
      </c>
      <c r="H4">
        <v>2368</v>
      </c>
      <c r="I4">
        <v>1784</v>
      </c>
      <c r="J4">
        <v>0</v>
      </c>
      <c r="K4">
        <v>100</v>
      </c>
      <c r="L4">
        <v>4010</v>
      </c>
      <c r="M4">
        <v>305</v>
      </c>
      <c r="N4">
        <v>11</v>
      </c>
      <c r="O4">
        <v>4012</v>
      </c>
      <c r="P4">
        <v>308</v>
      </c>
      <c r="Q4">
        <v>11</v>
      </c>
      <c r="R4">
        <v>404</v>
      </c>
      <c r="S4">
        <v>398</v>
      </c>
      <c r="T4">
        <v>77</v>
      </c>
    </row>
    <row r="5" spans="1:20" x14ac:dyDescent="0.35">
      <c r="A5" s="1">
        <v>45888</v>
      </c>
      <c r="B5" s="2">
        <v>0.83737002314814823</v>
      </c>
      <c r="C5">
        <v>79</v>
      </c>
      <c r="D5">
        <v>254</v>
      </c>
      <c r="E5">
        <v>0</v>
      </c>
      <c r="F5">
        <v>8</v>
      </c>
      <c r="G5">
        <v>0</v>
      </c>
      <c r="H5">
        <v>2368</v>
      </c>
      <c r="I5">
        <v>1784</v>
      </c>
      <c r="J5">
        <v>0</v>
      </c>
      <c r="K5">
        <v>100</v>
      </c>
      <c r="L5">
        <v>4010</v>
      </c>
      <c r="M5">
        <v>300</v>
      </c>
      <c r="N5">
        <v>10</v>
      </c>
      <c r="O5">
        <v>4012</v>
      </c>
      <c r="P5">
        <v>307</v>
      </c>
      <c r="Q5">
        <v>11</v>
      </c>
      <c r="R5">
        <v>405</v>
      </c>
      <c r="S5">
        <v>398</v>
      </c>
      <c r="T5">
        <v>153</v>
      </c>
    </row>
    <row r="6" spans="1:20" x14ac:dyDescent="0.35">
      <c r="A6" s="1">
        <v>45888</v>
      </c>
      <c r="B6" s="2">
        <v>0.83738574074074068</v>
      </c>
      <c r="C6">
        <v>79</v>
      </c>
      <c r="D6">
        <v>3</v>
      </c>
      <c r="E6">
        <v>0</v>
      </c>
      <c r="F6">
        <v>8</v>
      </c>
      <c r="G6">
        <v>0</v>
      </c>
      <c r="H6">
        <v>2368</v>
      </c>
      <c r="I6">
        <v>1784</v>
      </c>
      <c r="J6">
        <v>0</v>
      </c>
      <c r="K6">
        <v>100</v>
      </c>
      <c r="L6">
        <v>4011</v>
      </c>
      <c r="M6">
        <v>298</v>
      </c>
      <c r="N6">
        <v>11</v>
      </c>
      <c r="O6">
        <v>4012</v>
      </c>
      <c r="P6">
        <v>306</v>
      </c>
      <c r="Q6">
        <v>11</v>
      </c>
      <c r="R6">
        <v>404</v>
      </c>
      <c r="S6">
        <v>399</v>
      </c>
      <c r="T6">
        <v>12</v>
      </c>
    </row>
    <row r="7" spans="1:20" x14ac:dyDescent="0.35">
      <c r="A7" s="1">
        <v>45888</v>
      </c>
      <c r="B7" s="2">
        <v>0.83740148148148141</v>
      </c>
      <c r="C7">
        <v>79</v>
      </c>
      <c r="D7">
        <v>8</v>
      </c>
      <c r="E7">
        <v>0</v>
      </c>
      <c r="F7">
        <v>8</v>
      </c>
      <c r="G7">
        <v>0</v>
      </c>
      <c r="H7">
        <v>2368</v>
      </c>
      <c r="I7">
        <v>1784</v>
      </c>
      <c r="J7">
        <v>0</v>
      </c>
      <c r="K7">
        <v>100</v>
      </c>
      <c r="L7">
        <v>4010</v>
      </c>
      <c r="M7">
        <v>296</v>
      </c>
      <c r="N7">
        <v>11</v>
      </c>
      <c r="O7">
        <v>4012</v>
      </c>
      <c r="P7">
        <v>304</v>
      </c>
      <c r="Q7">
        <v>11</v>
      </c>
      <c r="R7">
        <v>405</v>
      </c>
      <c r="S7">
        <v>398</v>
      </c>
      <c r="T7">
        <v>246</v>
      </c>
    </row>
    <row r="8" spans="1:20" x14ac:dyDescent="0.35">
      <c r="A8" s="1">
        <v>45888</v>
      </c>
      <c r="B8" s="2">
        <v>0.83741718750000005</v>
      </c>
      <c r="C8">
        <v>79</v>
      </c>
      <c r="D8">
        <v>13</v>
      </c>
      <c r="E8">
        <v>0</v>
      </c>
      <c r="F8">
        <v>0</v>
      </c>
      <c r="G8">
        <v>0</v>
      </c>
      <c r="H8">
        <v>2368</v>
      </c>
      <c r="I8">
        <v>1784</v>
      </c>
      <c r="J8">
        <v>0</v>
      </c>
      <c r="K8">
        <v>100</v>
      </c>
      <c r="L8">
        <v>4011</v>
      </c>
      <c r="M8">
        <v>294</v>
      </c>
      <c r="N8">
        <v>11</v>
      </c>
      <c r="O8">
        <v>4012</v>
      </c>
      <c r="P8">
        <v>301</v>
      </c>
      <c r="Q8">
        <v>11</v>
      </c>
      <c r="R8">
        <v>405</v>
      </c>
      <c r="S8">
        <v>398</v>
      </c>
      <c r="T8">
        <v>236</v>
      </c>
    </row>
    <row r="9" spans="1:20" x14ac:dyDescent="0.35">
      <c r="A9" s="1">
        <v>45888</v>
      </c>
      <c r="B9" s="2">
        <v>0.83743312499999989</v>
      </c>
      <c r="C9">
        <v>79</v>
      </c>
      <c r="D9">
        <v>18</v>
      </c>
      <c r="E9">
        <v>0</v>
      </c>
      <c r="F9">
        <v>0</v>
      </c>
      <c r="G9">
        <v>0</v>
      </c>
      <c r="H9">
        <v>2368</v>
      </c>
      <c r="I9">
        <v>1784</v>
      </c>
      <c r="J9">
        <v>0</v>
      </c>
      <c r="K9">
        <v>100</v>
      </c>
      <c r="L9">
        <v>4009</v>
      </c>
      <c r="M9">
        <v>294</v>
      </c>
      <c r="N9">
        <v>11</v>
      </c>
      <c r="O9">
        <v>4012</v>
      </c>
      <c r="P9">
        <v>300</v>
      </c>
      <c r="Q9">
        <v>11</v>
      </c>
      <c r="R9">
        <v>405</v>
      </c>
      <c r="S9">
        <v>398</v>
      </c>
      <c r="T9">
        <v>250</v>
      </c>
    </row>
    <row r="10" spans="1:20" x14ac:dyDescent="0.35">
      <c r="A10" s="1">
        <v>45888</v>
      </c>
      <c r="B10" s="2">
        <v>0.83744881944444438</v>
      </c>
      <c r="C10">
        <v>79</v>
      </c>
      <c r="D10">
        <v>23</v>
      </c>
      <c r="E10">
        <v>0</v>
      </c>
      <c r="F10">
        <v>0</v>
      </c>
      <c r="G10">
        <v>0</v>
      </c>
      <c r="H10">
        <v>2368</v>
      </c>
      <c r="I10">
        <v>1784</v>
      </c>
      <c r="J10">
        <v>0</v>
      </c>
      <c r="K10">
        <v>100</v>
      </c>
      <c r="L10">
        <v>4010</v>
      </c>
      <c r="M10">
        <v>296</v>
      </c>
      <c r="N10">
        <v>9</v>
      </c>
      <c r="O10">
        <v>4012</v>
      </c>
      <c r="P10">
        <v>303</v>
      </c>
      <c r="Q10">
        <v>11</v>
      </c>
      <c r="R10">
        <v>405</v>
      </c>
      <c r="S10">
        <v>398</v>
      </c>
      <c r="T10">
        <v>113</v>
      </c>
    </row>
    <row r="11" spans="1:20" x14ac:dyDescent="0.35">
      <c r="A11" s="1">
        <v>45888</v>
      </c>
      <c r="B11" s="2">
        <v>0.83746456018518511</v>
      </c>
      <c r="C11">
        <v>79</v>
      </c>
      <c r="D11">
        <v>28</v>
      </c>
      <c r="E11">
        <v>0</v>
      </c>
      <c r="F11">
        <v>0</v>
      </c>
      <c r="G11">
        <v>0</v>
      </c>
      <c r="H11">
        <v>2368</v>
      </c>
      <c r="I11">
        <v>1784</v>
      </c>
      <c r="J11">
        <v>0</v>
      </c>
      <c r="K11">
        <v>100</v>
      </c>
      <c r="L11">
        <v>4010</v>
      </c>
      <c r="M11">
        <v>299</v>
      </c>
      <c r="N11">
        <v>11</v>
      </c>
      <c r="O11">
        <v>4012</v>
      </c>
      <c r="P11">
        <v>308</v>
      </c>
      <c r="Q11">
        <v>11</v>
      </c>
      <c r="R11">
        <v>404</v>
      </c>
      <c r="S11">
        <v>398</v>
      </c>
      <c r="T11">
        <v>117</v>
      </c>
    </row>
    <row r="12" spans="1:20" x14ac:dyDescent="0.35">
      <c r="A12" s="1">
        <v>45888</v>
      </c>
      <c r="B12" s="2">
        <v>0.83748027777777778</v>
      </c>
      <c r="C12">
        <v>79</v>
      </c>
      <c r="D12">
        <v>33</v>
      </c>
      <c r="E12">
        <v>0</v>
      </c>
      <c r="F12">
        <v>0</v>
      </c>
      <c r="G12">
        <v>0</v>
      </c>
      <c r="H12">
        <v>2368</v>
      </c>
      <c r="I12">
        <v>1784</v>
      </c>
      <c r="J12">
        <v>0</v>
      </c>
      <c r="K12">
        <v>100</v>
      </c>
      <c r="L12">
        <v>4011</v>
      </c>
      <c r="M12">
        <v>306</v>
      </c>
      <c r="N12">
        <v>10</v>
      </c>
      <c r="O12">
        <v>4012</v>
      </c>
      <c r="P12">
        <v>315</v>
      </c>
      <c r="Q12">
        <v>11</v>
      </c>
      <c r="R12">
        <v>405</v>
      </c>
      <c r="S12">
        <v>398</v>
      </c>
      <c r="T12">
        <v>23</v>
      </c>
    </row>
    <row r="13" spans="1:20" x14ac:dyDescent="0.35">
      <c r="A13" s="1">
        <v>45888</v>
      </c>
      <c r="B13" s="2">
        <v>0.83749600694444448</v>
      </c>
      <c r="C13">
        <v>79</v>
      </c>
      <c r="D13">
        <v>38</v>
      </c>
      <c r="E13">
        <v>0</v>
      </c>
      <c r="F13">
        <v>0</v>
      </c>
      <c r="G13">
        <v>0</v>
      </c>
      <c r="H13">
        <v>2368</v>
      </c>
      <c r="I13">
        <v>1784</v>
      </c>
      <c r="J13">
        <v>0</v>
      </c>
      <c r="K13">
        <v>100</v>
      </c>
      <c r="L13">
        <v>4011</v>
      </c>
      <c r="M13">
        <v>323</v>
      </c>
      <c r="N13">
        <v>12</v>
      </c>
      <c r="O13">
        <v>4012</v>
      </c>
      <c r="P13">
        <v>326</v>
      </c>
      <c r="Q13">
        <v>11</v>
      </c>
      <c r="R13">
        <v>404</v>
      </c>
      <c r="S13">
        <v>399</v>
      </c>
      <c r="T13">
        <v>26</v>
      </c>
    </row>
    <row r="14" spans="1:20" x14ac:dyDescent="0.35">
      <c r="A14" s="1">
        <v>45888</v>
      </c>
      <c r="B14" s="2">
        <v>0.83751181712962952</v>
      </c>
      <c r="C14">
        <v>79</v>
      </c>
      <c r="D14">
        <v>43</v>
      </c>
      <c r="E14">
        <v>0</v>
      </c>
      <c r="F14">
        <v>0</v>
      </c>
      <c r="G14">
        <v>0</v>
      </c>
      <c r="H14">
        <v>2368</v>
      </c>
      <c r="I14">
        <v>1784</v>
      </c>
      <c r="J14">
        <v>0</v>
      </c>
      <c r="K14">
        <v>100</v>
      </c>
      <c r="L14">
        <v>4010</v>
      </c>
      <c r="M14">
        <v>344</v>
      </c>
      <c r="N14">
        <v>13</v>
      </c>
      <c r="O14">
        <v>4012</v>
      </c>
      <c r="P14">
        <v>334</v>
      </c>
      <c r="Q14">
        <v>12</v>
      </c>
      <c r="R14">
        <v>404</v>
      </c>
      <c r="S14">
        <v>398</v>
      </c>
      <c r="T14">
        <v>61</v>
      </c>
    </row>
    <row r="15" spans="1:20" x14ac:dyDescent="0.35">
      <c r="A15" s="1">
        <v>45888</v>
      </c>
      <c r="B15" s="2">
        <v>0.83752751157407401</v>
      </c>
      <c r="C15">
        <v>79</v>
      </c>
      <c r="D15">
        <v>48</v>
      </c>
      <c r="E15">
        <v>0</v>
      </c>
      <c r="F15">
        <v>0</v>
      </c>
      <c r="G15">
        <v>0</v>
      </c>
      <c r="H15">
        <v>2368</v>
      </c>
      <c r="I15">
        <v>1784</v>
      </c>
      <c r="J15">
        <v>0</v>
      </c>
      <c r="K15">
        <v>100</v>
      </c>
      <c r="L15">
        <v>4011</v>
      </c>
      <c r="M15">
        <v>390</v>
      </c>
      <c r="N15">
        <v>13</v>
      </c>
      <c r="O15">
        <v>4012</v>
      </c>
      <c r="P15">
        <v>344</v>
      </c>
      <c r="Q15">
        <v>13</v>
      </c>
      <c r="R15">
        <v>404</v>
      </c>
      <c r="S15">
        <v>399</v>
      </c>
      <c r="T15">
        <v>22</v>
      </c>
    </row>
    <row r="16" spans="1:20" x14ac:dyDescent="0.35">
      <c r="A16" s="1">
        <v>45888</v>
      </c>
      <c r="B16" s="2">
        <v>0.83754325231481475</v>
      </c>
      <c r="C16">
        <v>79</v>
      </c>
      <c r="D16">
        <v>53</v>
      </c>
      <c r="E16">
        <v>0</v>
      </c>
      <c r="F16">
        <v>0</v>
      </c>
      <c r="G16">
        <v>0</v>
      </c>
      <c r="H16">
        <v>2368</v>
      </c>
      <c r="I16">
        <v>1784</v>
      </c>
      <c r="J16">
        <v>0</v>
      </c>
      <c r="K16">
        <v>100</v>
      </c>
      <c r="L16">
        <v>4010</v>
      </c>
      <c r="M16">
        <v>475</v>
      </c>
      <c r="N16">
        <v>16</v>
      </c>
      <c r="O16">
        <v>4012</v>
      </c>
      <c r="P16">
        <v>355</v>
      </c>
      <c r="Q16">
        <v>13</v>
      </c>
      <c r="R16">
        <v>404</v>
      </c>
      <c r="S16">
        <v>398</v>
      </c>
      <c r="T16">
        <v>2</v>
      </c>
    </row>
    <row r="17" spans="1:20" x14ac:dyDescent="0.35">
      <c r="A17" s="1">
        <v>45888</v>
      </c>
      <c r="B17" s="2">
        <v>0.8375590277777778</v>
      </c>
      <c r="C17">
        <v>79</v>
      </c>
      <c r="D17">
        <v>58</v>
      </c>
      <c r="E17">
        <v>0</v>
      </c>
      <c r="F17">
        <v>0</v>
      </c>
      <c r="G17">
        <v>0</v>
      </c>
      <c r="H17">
        <v>2368</v>
      </c>
      <c r="I17">
        <v>1784</v>
      </c>
      <c r="J17">
        <v>0</v>
      </c>
      <c r="K17">
        <v>100</v>
      </c>
      <c r="L17">
        <v>4010</v>
      </c>
      <c r="M17">
        <v>642</v>
      </c>
      <c r="N17">
        <v>22</v>
      </c>
      <c r="O17">
        <v>4012</v>
      </c>
      <c r="P17">
        <v>364</v>
      </c>
      <c r="Q17">
        <v>13</v>
      </c>
      <c r="R17">
        <v>405</v>
      </c>
      <c r="S17">
        <v>399</v>
      </c>
      <c r="T17">
        <v>28</v>
      </c>
    </row>
    <row r="18" spans="1:20" x14ac:dyDescent="0.35">
      <c r="A18" s="1">
        <v>45888</v>
      </c>
      <c r="B18" s="2">
        <v>0.83757502314814813</v>
      </c>
      <c r="C18">
        <v>79</v>
      </c>
      <c r="D18">
        <v>63</v>
      </c>
      <c r="E18">
        <v>0</v>
      </c>
      <c r="F18">
        <v>0</v>
      </c>
      <c r="G18">
        <v>0</v>
      </c>
      <c r="H18">
        <v>2368</v>
      </c>
      <c r="I18">
        <v>1784</v>
      </c>
      <c r="J18">
        <v>0</v>
      </c>
      <c r="K18">
        <v>100</v>
      </c>
      <c r="L18">
        <v>4011</v>
      </c>
      <c r="M18">
        <v>931</v>
      </c>
      <c r="N18">
        <v>31</v>
      </c>
      <c r="O18">
        <v>4012</v>
      </c>
      <c r="P18">
        <v>374</v>
      </c>
      <c r="Q18">
        <v>14</v>
      </c>
      <c r="R18">
        <v>405</v>
      </c>
      <c r="S18">
        <v>398</v>
      </c>
      <c r="T18">
        <v>38</v>
      </c>
    </row>
    <row r="19" spans="1:20" x14ac:dyDescent="0.35">
      <c r="A19" s="1">
        <v>45888</v>
      </c>
      <c r="B19" s="2">
        <v>0.83759074074074069</v>
      </c>
      <c r="C19">
        <v>79</v>
      </c>
      <c r="D19">
        <v>68</v>
      </c>
      <c r="E19">
        <v>0</v>
      </c>
      <c r="F19">
        <v>0</v>
      </c>
      <c r="G19">
        <v>0</v>
      </c>
      <c r="H19">
        <v>2368</v>
      </c>
      <c r="I19">
        <v>1784</v>
      </c>
      <c r="J19">
        <v>0</v>
      </c>
      <c r="K19">
        <v>100</v>
      </c>
      <c r="L19">
        <v>4010</v>
      </c>
      <c r="M19">
        <v>1237</v>
      </c>
      <c r="N19">
        <v>43</v>
      </c>
      <c r="O19">
        <v>4012</v>
      </c>
      <c r="P19">
        <v>386</v>
      </c>
      <c r="Q19">
        <v>15</v>
      </c>
      <c r="R19">
        <v>404</v>
      </c>
      <c r="S19">
        <v>399</v>
      </c>
      <c r="T19">
        <v>173</v>
      </c>
    </row>
    <row r="20" spans="1:20" x14ac:dyDescent="0.35">
      <c r="A20" s="1">
        <v>45888</v>
      </c>
      <c r="B20" s="2">
        <v>0.83760646990740728</v>
      </c>
      <c r="C20">
        <v>79</v>
      </c>
      <c r="D20">
        <v>73</v>
      </c>
      <c r="E20">
        <v>0</v>
      </c>
      <c r="F20">
        <v>0</v>
      </c>
      <c r="G20">
        <v>0</v>
      </c>
      <c r="H20">
        <v>2368</v>
      </c>
      <c r="I20">
        <v>1784</v>
      </c>
      <c r="J20">
        <v>0</v>
      </c>
      <c r="K20">
        <v>100</v>
      </c>
      <c r="L20">
        <v>4010</v>
      </c>
      <c r="M20">
        <v>1521</v>
      </c>
      <c r="N20">
        <v>52</v>
      </c>
      <c r="O20">
        <v>4012</v>
      </c>
      <c r="P20">
        <v>400</v>
      </c>
      <c r="Q20">
        <v>15</v>
      </c>
      <c r="R20">
        <v>404</v>
      </c>
      <c r="S20">
        <v>399</v>
      </c>
      <c r="T20">
        <v>225</v>
      </c>
    </row>
    <row r="21" spans="1:20" x14ac:dyDescent="0.35">
      <c r="A21" s="1">
        <v>45888</v>
      </c>
      <c r="B21" s="2">
        <v>0.83762218750000006</v>
      </c>
      <c r="C21">
        <v>79</v>
      </c>
      <c r="D21">
        <v>78</v>
      </c>
      <c r="E21">
        <v>0</v>
      </c>
      <c r="F21">
        <v>0</v>
      </c>
      <c r="G21">
        <v>0</v>
      </c>
      <c r="H21">
        <v>2368</v>
      </c>
      <c r="I21">
        <v>1784</v>
      </c>
      <c r="J21">
        <v>0</v>
      </c>
      <c r="K21">
        <v>100</v>
      </c>
      <c r="L21">
        <v>4010</v>
      </c>
      <c r="M21">
        <v>1779</v>
      </c>
      <c r="N21">
        <v>61</v>
      </c>
      <c r="O21">
        <v>4011</v>
      </c>
      <c r="P21">
        <v>425</v>
      </c>
      <c r="Q21">
        <v>14</v>
      </c>
      <c r="R21">
        <v>404</v>
      </c>
      <c r="S21">
        <v>398</v>
      </c>
      <c r="T21">
        <v>241</v>
      </c>
    </row>
    <row r="22" spans="1:20" x14ac:dyDescent="0.35">
      <c r="A22" s="1">
        <v>45888</v>
      </c>
      <c r="B22" s="2">
        <v>0.83763791666666665</v>
      </c>
      <c r="C22">
        <v>79</v>
      </c>
      <c r="D22">
        <v>83</v>
      </c>
      <c r="E22">
        <v>0</v>
      </c>
      <c r="F22">
        <v>0</v>
      </c>
      <c r="G22">
        <v>0</v>
      </c>
      <c r="H22">
        <v>2368</v>
      </c>
      <c r="I22">
        <v>1784</v>
      </c>
      <c r="J22">
        <v>0</v>
      </c>
      <c r="K22">
        <v>100</v>
      </c>
      <c r="L22">
        <v>4011</v>
      </c>
      <c r="M22">
        <v>1941</v>
      </c>
      <c r="N22">
        <v>66</v>
      </c>
      <c r="O22">
        <v>4012</v>
      </c>
      <c r="P22">
        <v>453</v>
      </c>
      <c r="Q22">
        <v>16</v>
      </c>
      <c r="R22">
        <v>404</v>
      </c>
      <c r="S22">
        <v>398</v>
      </c>
      <c r="T22">
        <v>16</v>
      </c>
    </row>
    <row r="23" spans="1:20" x14ac:dyDescent="0.35">
      <c r="A23" s="1">
        <v>45888</v>
      </c>
      <c r="B23" s="2">
        <v>0.83765363425925932</v>
      </c>
      <c r="C23">
        <v>79</v>
      </c>
      <c r="D23">
        <v>88</v>
      </c>
      <c r="E23">
        <v>0</v>
      </c>
      <c r="F23">
        <v>0</v>
      </c>
      <c r="G23">
        <v>0</v>
      </c>
      <c r="H23">
        <v>2368</v>
      </c>
      <c r="I23">
        <v>1784</v>
      </c>
      <c r="J23">
        <v>0</v>
      </c>
      <c r="K23">
        <v>100</v>
      </c>
      <c r="L23">
        <v>4009</v>
      </c>
      <c r="M23">
        <v>2029</v>
      </c>
      <c r="N23">
        <v>70</v>
      </c>
      <c r="O23">
        <v>4012</v>
      </c>
      <c r="P23">
        <v>490</v>
      </c>
      <c r="Q23">
        <v>17</v>
      </c>
      <c r="R23">
        <v>404</v>
      </c>
      <c r="S23">
        <v>398</v>
      </c>
      <c r="T23">
        <v>72</v>
      </c>
    </row>
    <row r="24" spans="1:20" x14ac:dyDescent="0.35">
      <c r="A24" s="1">
        <v>45888</v>
      </c>
      <c r="B24" s="2">
        <v>0.83766944444444447</v>
      </c>
      <c r="C24">
        <v>79</v>
      </c>
      <c r="D24">
        <v>93</v>
      </c>
      <c r="E24">
        <v>0</v>
      </c>
      <c r="F24">
        <v>0</v>
      </c>
      <c r="G24">
        <v>0</v>
      </c>
      <c r="H24">
        <v>2368</v>
      </c>
      <c r="I24">
        <v>1784</v>
      </c>
      <c r="J24">
        <v>0</v>
      </c>
      <c r="K24">
        <v>100</v>
      </c>
      <c r="L24">
        <v>4011</v>
      </c>
      <c r="M24">
        <v>2100</v>
      </c>
      <c r="N24">
        <v>72</v>
      </c>
      <c r="O24">
        <v>4012</v>
      </c>
      <c r="P24">
        <v>526</v>
      </c>
      <c r="Q24">
        <v>18</v>
      </c>
      <c r="R24">
        <v>405</v>
      </c>
      <c r="S24">
        <v>398</v>
      </c>
      <c r="T24">
        <v>111</v>
      </c>
    </row>
    <row r="25" spans="1:20" x14ac:dyDescent="0.35">
      <c r="A25" s="1">
        <v>45888</v>
      </c>
      <c r="B25" s="2">
        <v>0.83768541666666674</v>
      </c>
      <c r="C25">
        <v>79</v>
      </c>
      <c r="D25">
        <v>98</v>
      </c>
      <c r="E25">
        <v>0</v>
      </c>
      <c r="F25">
        <v>0</v>
      </c>
      <c r="G25">
        <v>0</v>
      </c>
      <c r="H25">
        <v>2368</v>
      </c>
      <c r="I25">
        <v>1784</v>
      </c>
      <c r="J25">
        <v>0</v>
      </c>
      <c r="K25">
        <v>100</v>
      </c>
      <c r="L25">
        <v>4010</v>
      </c>
      <c r="M25">
        <v>2176</v>
      </c>
      <c r="N25">
        <v>74</v>
      </c>
      <c r="O25">
        <v>4012</v>
      </c>
      <c r="P25">
        <v>571</v>
      </c>
      <c r="Q25">
        <v>20</v>
      </c>
      <c r="R25">
        <v>404</v>
      </c>
      <c r="S25">
        <v>398</v>
      </c>
      <c r="T25">
        <v>67</v>
      </c>
    </row>
    <row r="26" spans="1:20" x14ac:dyDescent="0.35">
      <c r="A26" s="1">
        <v>45888</v>
      </c>
      <c r="B26" s="2">
        <v>0.83770111111111112</v>
      </c>
      <c r="C26">
        <v>79</v>
      </c>
      <c r="D26">
        <v>103</v>
      </c>
      <c r="E26">
        <v>0</v>
      </c>
      <c r="F26">
        <v>0</v>
      </c>
      <c r="G26">
        <v>0</v>
      </c>
      <c r="H26">
        <v>2368</v>
      </c>
      <c r="I26">
        <v>1784</v>
      </c>
      <c r="J26">
        <v>0</v>
      </c>
      <c r="K26">
        <v>100</v>
      </c>
      <c r="L26">
        <v>4010</v>
      </c>
      <c r="M26">
        <v>2246</v>
      </c>
      <c r="N26">
        <v>77</v>
      </c>
      <c r="O26">
        <v>4012</v>
      </c>
      <c r="P26">
        <v>624</v>
      </c>
      <c r="Q26">
        <v>21</v>
      </c>
      <c r="R26">
        <v>405</v>
      </c>
      <c r="S26">
        <v>398</v>
      </c>
      <c r="T26">
        <v>146</v>
      </c>
    </row>
    <row r="27" spans="1:20" x14ac:dyDescent="0.35">
      <c r="A27" s="1">
        <v>45888</v>
      </c>
      <c r="B27" s="2">
        <v>0.83771690972222213</v>
      </c>
      <c r="C27">
        <v>79</v>
      </c>
      <c r="D27">
        <v>108</v>
      </c>
      <c r="E27">
        <v>0</v>
      </c>
      <c r="F27">
        <v>0</v>
      </c>
      <c r="G27">
        <v>0</v>
      </c>
      <c r="H27">
        <v>2368</v>
      </c>
      <c r="I27">
        <v>1784</v>
      </c>
      <c r="J27">
        <v>0</v>
      </c>
      <c r="K27">
        <v>100</v>
      </c>
      <c r="L27">
        <v>4010</v>
      </c>
      <c r="M27">
        <v>2363</v>
      </c>
      <c r="N27">
        <v>81</v>
      </c>
      <c r="O27">
        <v>4011</v>
      </c>
      <c r="P27">
        <v>681</v>
      </c>
      <c r="Q27">
        <v>24</v>
      </c>
      <c r="R27">
        <v>404</v>
      </c>
      <c r="S27">
        <v>398</v>
      </c>
      <c r="T27">
        <v>146</v>
      </c>
    </row>
    <row r="28" spans="1:20" x14ac:dyDescent="0.35">
      <c r="A28" s="1">
        <v>45888</v>
      </c>
      <c r="B28" s="2">
        <v>0.83773263888888894</v>
      </c>
      <c r="C28">
        <v>79</v>
      </c>
      <c r="D28">
        <v>113</v>
      </c>
      <c r="E28">
        <v>0</v>
      </c>
      <c r="F28">
        <v>0</v>
      </c>
      <c r="G28">
        <v>0</v>
      </c>
      <c r="H28">
        <v>2368</v>
      </c>
      <c r="I28">
        <v>1784</v>
      </c>
      <c r="J28">
        <v>0</v>
      </c>
      <c r="K28">
        <v>100</v>
      </c>
      <c r="L28">
        <v>4011</v>
      </c>
      <c r="M28">
        <v>2574</v>
      </c>
      <c r="N28">
        <v>88</v>
      </c>
      <c r="O28">
        <v>4012</v>
      </c>
      <c r="P28">
        <v>740</v>
      </c>
      <c r="Q28">
        <v>26</v>
      </c>
      <c r="R28">
        <v>404</v>
      </c>
      <c r="S28">
        <v>398</v>
      </c>
      <c r="T28">
        <v>210</v>
      </c>
    </row>
    <row r="29" spans="1:20" x14ac:dyDescent="0.35">
      <c r="A29" s="1">
        <v>45888</v>
      </c>
      <c r="B29" s="2">
        <v>0.83774834490740735</v>
      </c>
      <c r="C29">
        <v>79</v>
      </c>
      <c r="D29">
        <v>118</v>
      </c>
      <c r="E29">
        <v>0</v>
      </c>
      <c r="F29">
        <v>0</v>
      </c>
      <c r="G29">
        <v>0</v>
      </c>
      <c r="H29">
        <v>2368</v>
      </c>
      <c r="I29">
        <v>1784</v>
      </c>
      <c r="J29">
        <v>0</v>
      </c>
      <c r="K29">
        <v>100</v>
      </c>
      <c r="L29">
        <v>4010</v>
      </c>
      <c r="M29">
        <v>2943</v>
      </c>
      <c r="N29">
        <v>102</v>
      </c>
      <c r="O29">
        <v>4012</v>
      </c>
      <c r="P29">
        <v>807</v>
      </c>
      <c r="Q29">
        <v>27</v>
      </c>
      <c r="R29">
        <v>404</v>
      </c>
      <c r="S29">
        <v>398</v>
      </c>
      <c r="T29">
        <v>170</v>
      </c>
    </row>
    <row r="30" spans="1:20" x14ac:dyDescent="0.35">
      <c r="A30" s="1">
        <v>45888</v>
      </c>
      <c r="B30" s="2">
        <v>0.83776409722222223</v>
      </c>
      <c r="C30">
        <v>79</v>
      </c>
      <c r="D30">
        <v>123</v>
      </c>
      <c r="E30">
        <v>0</v>
      </c>
      <c r="F30">
        <v>0</v>
      </c>
      <c r="G30">
        <v>0</v>
      </c>
      <c r="H30">
        <v>2368</v>
      </c>
      <c r="I30">
        <v>1784</v>
      </c>
      <c r="J30">
        <v>0</v>
      </c>
      <c r="K30">
        <v>100</v>
      </c>
      <c r="L30">
        <v>4011</v>
      </c>
      <c r="M30">
        <v>3322</v>
      </c>
      <c r="N30">
        <v>114</v>
      </c>
      <c r="O30">
        <v>4012</v>
      </c>
      <c r="P30">
        <v>884</v>
      </c>
      <c r="Q30">
        <v>29</v>
      </c>
      <c r="R30">
        <v>404</v>
      </c>
      <c r="S30">
        <v>398</v>
      </c>
      <c r="T30">
        <v>144</v>
      </c>
    </row>
    <row r="31" spans="1:20" x14ac:dyDescent="0.35">
      <c r="A31" s="1">
        <v>45888</v>
      </c>
      <c r="B31" s="2">
        <v>0.8377800694444445</v>
      </c>
      <c r="C31">
        <v>79</v>
      </c>
      <c r="D31">
        <v>128</v>
      </c>
      <c r="E31">
        <v>0</v>
      </c>
      <c r="F31">
        <v>0</v>
      </c>
      <c r="G31">
        <v>0</v>
      </c>
      <c r="H31">
        <v>2368</v>
      </c>
      <c r="I31">
        <v>1784</v>
      </c>
      <c r="J31">
        <v>0</v>
      </c>
      <c r="K31">
        <v>100</v>
      </c>
      <c r="L31">
        <v>4010</v>
      </c>
      <c r="M31">
        <v>3506</v>
      </c>
      <c r="N31">
        <v>119</v>
      </c>
      <c r="O31">
        <v>4012</v>
      </c>
      <c r="P31">
        <v>950</v>
      </c>
      <c r="Q31">
        <v>32</v>
      </c>
      <c r="R31">
        <v>404</v>
      </c>
      <c r="S31">
        <v>398</v>
      </c>
      <c r="T31">
        <v>73</v>
      </c>
    </row>
    <row r="32" spans="1:20" x14ac:dyDescent="0.35">
      <c r="A32" s="1">
        <v>45888</v>
      </c>
      <c r="B32" s="2">
        <v>0.83779598379629638</v>
      </c>
      <c r="C32">
        <v>79</v>
      </c>
      <c r="D32">
        <v>133</v>
      </c>
      <c r="E32">
        <v>0</v>
      </c>
      <c r="F32">
        <v>0</v>
      </c>
      <c r="G32">
        <v>0</v>
      </c>
      <c r="H32">
        <v>2368</v>
      </c>
      <c r="I32">
        <v>1784</v>
      </c>
      <c r="J32">
        <v>0</v>
      </c>
      <c r="K32">
        <v>100</v>
      </c>
      <c r="L32">
        <v>4010</v>
      </c>
      <c r="M32">
        <v>3590</v>
      </c>
      <c r="N32">
        <v>123</v>
      </c>
      <c r="O32">
        <v>4012</v>
      </c>
      <c r="P32">
        <v>984</v>
      </c>
      <c r="Q32">
        <v>35</v>
      </c>
      <c r="R32">
        <v>405</v>
      </c>
      <c r="S32">
        <v>398</v>
      </c>
      <c r="T32">
        <v>2</v>
      </c>
    </row>
    <row r="33" spans="1:20" x14ac:dyDescent="0.35">
      <c r="A33" s="1">
        <v>45888</v>
      </c>
      <c r="B33" s="2">
        <v>0.83781177083333336</v>
      </c>
      <c r="C33">
        <v>79</v>
      </c>
      <c r="D33">
        <v>138</v>
      </c>
      <c r="E33">
        <v>0</v>
      </c>
      <c r="F33">
        <v>0</v>
      </c>
      <c r="G33">
        <v>0</v>
      </c>
      <c r="H33">
        <v>2368</v>
      </c>
      <c r="I33">
        <v>1784</v>
      </c>
      <c r="J33">
        <v>0</v>
      </c>
      <c r="K33">
        <v>100</v>
      </c>
      <c r="L33">
        <v>4010</v>
      </c>
      <c r="M33">
        <v>3723</v>
      </c>
      <c r="N33">
        <v>126</v>
      </c>
      <c r="O33">
        <v>4012</v>
      </c>
      <c r="P33">
        <v>986</v>
      </c>
      <c r="Q33">
        <v>35</v>
      </c>
      <c r="R33">
        <v>404</v>
      </c>
      <c r="S33">
        <v>398</v>
      </c>
      <c r="T33">
        <v>121</v>
      </c>
    </row>
    <row r="34" spans="1:20" x14ac:dyDescent="0.35">
      <c r="A34" s="1">
        <v>45888</v>
      </c>
      <c r="B34" s="2">
        <v>0.83782750000000006</v>
      </c>
      <c r="C34">
        <v>79</v>
      </c>
      <c r="D34">
        <v>143</v>
      </c>
      <c r="E34">
        <v>0</v>
      </c>
      <c r="F34">
        <v>0</v>
      </c>
      <c r="G34">
        <v>0</v>
      </c>
      <c r="H34">
        <v>2368</v>
      </c>
      <c r="I34">
        <v>1784</v>
      </c>
      <c r="J34">
        <v>0</v>
      </c>
      <c r="K34">
        <v>100</v>
      </c>
      <c r="L34">
        <v>4011</v>
      </c>
      <c r="M34">
        <v>3855</v>
      </c>
      <c r="N34">
        <v>131</v>
      </c>
      <c r="O34">
        <v>4012</v>
      </c>
      <c r="P34">
        <v>972</v>
      </c>
      <c r="Q34">
        <v>35</v>
      </c>
      <c r="R34">
        <v>404</v>
      </c>
      <c r="S34">
        <v>398</v>
      </c>
      <c r="T34">
        <v>162</v>
      </c>
    </row>
    <row r="35" spans="1:20" x14ac:dyDescent="0.35">
      <c r="A35" s="1">
        <v>45888</v>
      </c>
      <c r="B35" s="2">
        <v>0.83784319444444444</v>
      </c>
      <c r="C35">
        <v>79</v>
      </c>
      <c r="D35">
        <v>148</v>
      </c>
      <c r="E35">
        <v>0</v>
      </c>
      <c r="F35">
        <v>0</v>
      </c>
      <c r="G35">
        <v>0</v>
      </c>
      <c r="H35">
        <v>2368</v>
      </c>
      <c r="I35">
        <v>1784</v>
      </c>
      <c r="J35">
        <v>0</v>
      </c>
      <c r="K35">
        <v>100</v>
      </c>
      <c r="L35">
        <v>4011</v>
      </c>
      <c r="M35">
        <v>3899</v>
      </c>
      <c r="N35">
        <v>138</v>
      </c>
      <c r="O35">
        <v>4012</v>
      </c>
      <c r="P35">
        <v>972</v>
      </c>
      <c r="Q35">
        <v>33</v>
      </c>
      <c r="R35">
        <v>405</v>
      </c>
      <c r="S35">
        <v>398</v>
      </c>
      <c r="T35">
        <v>105</v>
      </c>
    </row>
    <row r="36" spans="1:20" x14ac:dyDescent="0.35">
      <c r="A36" s="1">
        <v>45888</v>
      </c>
      <c r="B36" s="2">
        <v>0.83785910879629633</v>
      </c>
      <c r="C36">
        <v>79</v>
      </c>
      <c r="D36">
        <v>153</v>
      </c>
      <c r="E36">
        <v>0</v>
      </c>
      <c r="F36">
        <v>0</v>
      </c>
      <c r="G36">
        <v>0</v>
      </c>
      <c r="H36">
        <v>2368</v>
      </c>
      <c r="I36">
        <v>1784</v>
      </c>
      <c r="J36">
        <v>0</v>
      </c>
      <c r="K36">
        <v>100</v>
      </c>
      <c r="L36">
        <v>4010</v>
      </c>
      <c r="M36">
        <v>3914</v>
      </c>
      <c r="N36">
        <v>142</v>
      </c>
      <c r="O36">
        <v>4012</v>
      </c>
      <c r="P36">
        <v>989</v>
      </c>
      <c r="Q36">
        <v>35</v>
      </c>
      <c r="R36">
        <v>404</v>
      </c>
      <c r="S36">
        <v>399</v>
      </c>
      <c r="T36">
        <v>219</v>
      </c>
    </row>
    <row r="37" spans="1:20" x14ac:dyDescent="0.35">
      <c r="A37" s="1">
        <v>45888</v>
      </c>
      <c r="B37" s="2">
        <v>0.83787512731481473</v>
      </c>
      <c r="C37">
        <v>79</v>
      </c>
      <c r="D37">
        <v>158</v>
      </c>
      <c r="E37">
        <v>0</v>
      </c>
      <c r="F37">
        <v>0</v>
      </c>
      <c r="G37">
        <v>0</v>
      </c>
      <c r="H37">
        <v>2368</v>
      </c>
      <c r="I37">
        <v>1784</v>
      </c>
      <c r="J37">
        <v>0</v>
      </c>
      <c r="K37">
        <v>100</v>
      </c>
      <c r="L37">
        <v>4010</v>
      </c>
      <c r="M37">
        <v>3916</v>
      </c>
      <c r="N37">
        <v>142</v>
      </c>
      <c r="O37">
        <v>4012</v>
      </c>
      <c r="P37">
        <v>1021</v>
      </c>
      <c r="Q37">
        <v>35</v>
      </c>
      <c r="R37">
        <v>404</v>
      </c>
      <c r="S37">
        <v>398</v>
      </c>
      <c r="T37">
        <v>182</v>
      </c>
    </row>
    <row r="38" spans="1:20" x14ac:dyDescent="0.35">
      <c r="A38" s="1">
        <v>45888</v>
      </c>
      <c r="B38" s="2">
        <v>0.83789108796296285</v>
      </c>
      <c r="C38">
        <v>79</v>
      </c>
      <c r="D38">
        <v>163</v>
      </c>
      <c r="E38">
        <v>0</v>
      </c>
      <c r="F38">
        <v>0</v>
      </c>
      <c r="G38">
        <v>0</v>
      </c>
      <c r="H38">
        <v>2368</v>
      </c>
      <c r="I38">
        <v>1784</v>
      </c>
      <c r="J38">
        <v>0</v>
      </c>
      <c r="K38">
        <v>100</v>
      </c>
      <c r="L38">
        <v>4011</v>
      </c>
      <c r="M38">
        <v>3913</v>
      </c>
      <c r="N38">
        <v>141</v>
      </c>
      <c r="O38">
        <v>4012</v>
      </c>
      <c r="P38">
        <v>1065</v>
      </c>
      <c r="Q38">
        <v>36</v>
      </c>
      <c r="R38">
        <v>404</v>
      </c>
      <c r="S38">
        <v>398</v>
      </c>
      <c r="T38">
        <v>220</v>
      </c>
    </row>
    <row r="39" spans="1:20" x14ac:dyDescent="0.35">
      <c r="A39" s="1">
        <v>45888</v>
      </c>
      <c r="B39" s="2">
        <v>0.83790685185185187</v>
      </c>
      <c r="C39">
        <v>79</v>
      </c>
      <c r="D39">
        <v>168</v>
      </c>
      <c r="E39">
        <v>0</v>
      </c>
      <c r="F39">
        <v>0</v>
      </c>
      <c r="G39">
        <v>0</v>
      </c>
      <c r="H39">
        <v>2368</v>
      </c>
      <c r="I39">
        <v>1784</v>
      </c>
      <c r="J39">
        <v>0</v>
      </c>
      <c r="K39">
        <v>100</v>
      </c>
      <c r="L39">
        <v>4010</v>
      </c>
      <c r="M39">
        <v>3906</v>
      </c>
      <c r="N39">
        <v>139</v>
      </c>
      <c r="O39">
        <v>4012</v>
      </c>
      <c r="P39">
        <v>1124</v>
      </c>
      <c r="Q39">
        <v>39</v>
      </c>
      <c r="R39">
        <v>405</v>
      </c>
      <c r="S39">
        <v>398</v>
      </c>
      <c r="T39">
        <v>81</v>
      </c>
    </row>
    <row r="40" spans="1:20" x14ac:dyDescent="0.35">
      <c r="A40" s="1">
        <v>45888</v>
      </c>
      <c r="B40" s="2">
        <v>0.8379226851851852</v>
      </c>
      <c r="C40">
        <v>79</v>
      </c>
      <c r="D40">
        <v>173</v>
      </c>
      <c r="E40">
        <v>0</v>
      </c>
      <c r="F40">
        <v>0</v>
      </c>
      <c r="G40">
        <v>0</v>
      </c>
      <c r="H40">
        <v>2368</v>
      </c>
      <c r="I40">
        <v>1784</v>
      </c>
      <c r="J40">
        <v>0</v>
      </c>
      <c r="K40">
        <v>100</v>
      </c>
      <c r="L40">
        <v>4010</v>
      </c>
      <c r="M40">
        <v>3898</v>
      </c>
      <c r="N40">
        <v>138</v>
      </c>
      <c r="O40">
        <v>4012</v>
      </c>
      <c r="P40">
        <v>1209</v>
      </c>
      <c r="Q40">
        <v>42</v>
      </c>
      <c r="R40">
        <v>404</v>
      </c>
      <c r="S40">
        <v>399</v>
      </c>
      <c r="T40">
        <v>138</v>
      </c>
    </row>
    <row r="41" spans="1:20" x14ac:dyDescent="0.35">
      <c r="A41" s="1">
        <v>45888</v>
      </c>
      <c r="B41" s="2">
        <v>0.8379386689814815</v>
      </c>
      <c r="C41">
        <v>79</v>
      </c>
      <c r="D41">
        <v>178</v>
      </c>
      <c r="E41">
        <v>0</v>
      </c>
      <c r="F41">
        <v>0</v>
      </c>
      <c r="G41">
        <v>0</v>
      </c>
      <c r="H41">
        <v>2368</v>
      </c>
      <c r="I41">
        <v>1784</v>
      </c>
      <c r="J41">
        <v>0</v>
      </c>
      <c r="K41">
        <v>100</v>
      </c>
      <c r="L41">
        <v>4010</v>
      </c>
      <c r="M41">
        <v>3895</v>
      </c>
      <c r="N41">
        <v>137</v>
      </c>
      <c r="O41">
        <v>4012</v>
      </c>
      <c r="P41">
        <v>1332</v>
      </c>
      <c r="Q41">
        <v>46</v>
      </c>
      <c r="R41">
        <v>405</v>
      </c>
      <c r="S41">
        <v>398</v>
      </c>
      <c r="T41">
        <v>67</v>
      </c>
    </row>
    <row r="42" spans="1:20" x14ac:dyDescent="0.35">
      <c r="A42" s="1">
        <v>45888</v>
      </c>
      <c r="B42" s="2">
        <v>0.83795462962962963</v>
      </c>
      <c r="C42">
        <v>79</v>
      </c>
      <c r="D42">
        <v>183</v>
      </c>
      <c r="E42">
        <v>0</v>
      </c>
      <c r="F42">
        <v>0</v>
      </c>
      <c r="G42">
        <v>0</v>
      </c>
      <c r="H42">
        <v>2368</v>
      </c>
      <c r="I42">
        <v>1784</v>
      </c>
      <c r="J42">
        <v>0</v>
      </c>
      <c r="K42">
        <v>100</v>
      </c>
      <c r="L42">
        <v>4010</v>
      </c>
      <c r="M42">
        <v>3894</v>
      </c>
      <c r="N42">
        <v>136</v>
      </c>
      <c r="O42">
        <v>4012</v>
      </c>
      <c r="P42">
        <v>1490</v>
      </c>
      <c r="Q42">
        <v>52</v>
      </c>
      <c r="R42">
        <v>405</v>
      </c>
      <c r="S42">
        <v>398</v>
      </c>
      <c r="T42">
        <v>67</v>
      </c>
    </row>
    <row r="43" spans="1:20" x14ac:dyDescent="0.35">
      <c r="A43" s="1">
        <v>45888</v>
      </c>
      <c r="B43" s="2">
        <v>0.83797061342592583</v>
      </c>
      <c r="C43">
        <v>79</v>
      </c>
      <c r="D43">
        <v>188</v>
      </c>
      <c r="E43">
        <v>0</v>
      </c>
      <c r="F43">
        <v>0</v>
      </c>
      <c r="G43">
        <v>0</v>
      </c>
      <c r="H43">
        <v>2368</v>
      </c>
      <c r="I43">
        <v>1784</v>
      </c>
      <c r="J43">
        <v>0</v>
      </c>
      <c r="K43">
        <v>100</v>
      </c>
      <c r="L43">
        <v>4010</v>
      </c>
      <c r="M43">
        <v>3897</v>
      </c>
      <c r="N43">
        <v>138</v>
      </c>
      <c r="O43">
        <v>4012</v>
      </c>
      <c r="P43">
        <v>1720</v>
      </c>
      <c r="Q43">
        <v>59</v>
      </c>
      <c r="R43">
        <v>404</v>
      </c>
      <c r="S43">
        <v>398</v>
      </c>
      <c r="T43">
        <v>72</v>
      </c>
    </row>
    <row r="44" spans="1:20" x14ac:dyDescent="0.35">
      <c r="A44" s="1">
        <v>45888</v>
      </c>
      <c r="B44" s="2">
        <v>0.83798659722222224</v>
      </c>
      <c r="C44">
        <v>79</v>
      </c>
      <c r="D44">
        <v>193</v>
      </c>
      <c r="E44">
        <v>0</v>
      </c>
      <c r="F44">
        <v>0</v>
      </c>
      <c r="G44">
        <v>0</v>
      </c>
      <c r="H44">
        <v>2368</v>
      </c>
      <c r="I44">
        <v>1784</v>
      </c>
      <c r="J44">
        <v>0</v>
      </c>
      <c r="K44">
        <v>100</v>
      </c>
      <c r="L44">
        <v>4010</v>
      </c>
      <c r="M44">
        <v>3901</v>
      </c>
      <c r="N44">
        <v>138</v>
      </c>
      <c r="O44">
        <v>4012</v>
      </c>
      <c r="P44">
        <v>2029</v>
      </c>
      <c r="Q44">
        <v>68</v>
      </c>
      <c r="R44">
        <v>404</v>
      </c>
      <c r="S44">
        <v>398</v>
      </c>
      <c r="T44">
        <v>55</v>
      </c>
    </row>
    <row r="45" spans="1:20" x14ac:dyDescent="0.35">
      <c r="A45" s="1">
        <v>45888</v>
      </c>
      <c r="B45" s="2">
        <v>0.83800240740740739</v>
      </c>
      <c r="C45">
        <v>79</v>
      </c>
      <c r="D45">
        <v>198</v>
      </c>
      <c r="E45">
        <v>0</v>
      </c>
      <c r="F45">
        <v>0</v>
      </c>
      <c r="G45">
        <v>0</v>
      </c>
      <c r="H45">
        <v>2368</v>
      </c>
      <c r="I45">
        <v>1784</v>
      </c>
      <c r="J45">
        <v>0</v>
      </c>
      <c r="K45">
        <v>100</v>
      </c>
      <c r="L45">
        <v>4011</v>
      </c>
      <c r="M45">
        <v>3903</v>
      </c>
      <c r="N45">
        <v>138</v>
      </c>
      <c r="O45">
        <v>4012</v>
      </c>
      <c r="P45">
        <v>2432</v>
      </c>
      <c r="Q45">
        <v>83</v>
      </c>
      <c r="R45">
        <v>404</v>
      </c>
      <c r="S45">
        <v>399</v>
      </c>
      <c r="T45">
        <v>93</v>
      </c>
    </row>
    <row r="46" spans="1:20" x14ac:dyDescent="0.35">
      <c r="A46" s="1">
        <v>45888</v>
      </c>
      <c r="B46" s="2">
        <v>0.83801835648148137</v>
      </c>
      <c r="C46">
        <v>79</v>
      </c>
      <c r="D46">
        <v>203</v>
      </c>
      <c r="E46">
        <v>0</v>
      </c>
      <c r="F46">
        <v>0</v>
      </c>
      <c r="G46">
        <v>0</v>
      </c>
      <c r="H46">
        <v>2368</v>
      </c>
      <c r="I46">
        <v>1784</v>
      </c>
      <c r="J46">
        <v>0</v>
      </c>
      <c r="K46">
        <v>100</v>
      </c>
      <c r="L46">
        <v>4010</v>
      </c>
      <c r="M46">
        <v>3906</v>
      </c>
      <c r="N46">
        <v>139</v>
      </c>
      <c r="O46">
        <v>4012</v>
      </c>
      <c r="P46">
        <v>2974</v>
      </c>
      <c r="Q46">
        <v>103</v>
      </c>
      <c r="R46">
        <v>404</v>
      </c>
      <c r="S46">
        <v>398</v>
      </c>
      <c r="T46">
        <v>199</v>
      </c>
    </row>
    <row r="47" spans="1:20" x14ac:dyDescent="0.35">
      <c r="A47" s="1">
        <v>45888</v>
      </c>
      <c r="B47" s="2">
        <v>0.83803435185185193</v>
      </c>
      <c r="C47">
        <v>79</v>
      </c>
      <c r="D47">
        <v>208</v>
      </c>
      <c r="E47">
        <v>0</v>
      </c>
      <c r="F47">
        <v>0</v>
      </c>
      <c r="G47">
        <v>0</v>
      </c>
      <c r="H47">
        <v>2368</v>
      </c>
      <c r="I47">
        <v>1784</v>
      </c>
      <c r="J47">
        <v>0</v>
      </c>
      <c r="K47">
        <v>100</v>
      </c>
      <c r="L47">
        <v>4010</v>
      </c>
      <c r="M47">
        <v>3908</v>
      </c>
      <c r="N47">
        <v>140</v>
      </c>
      <c r="O47">
        <v>4011</v>
      </c>
      <c r="P47">
        <v>3604</v>
      </c>
      <c r="Q47">
        <v>123</v>
      </c>
      <c r="R47">
        <v>404</v>
      </c>
      <c r="S47">
        <v>398</v>
      </c>
      <c r="T47">
        <v>253</v>
      </c>
    </row>
    <row r="48" spans="1:20" x14ac:dyDescent="0.35">
      <c r="A48" s="1">
        <v>45888</v>
      </c>
      <c r="B48" s="2">
        <v>0.83805032407407398</v>
      </c>
      <c r="C48">
        <v>79</v>
      </c>
      <c r="D48">
        <v>213</v>
      </c>
      <c r="E48">
        <v>0</v>
      </c>
      <c r="F48">
        <v>0</v>
      </c>
      <c r="G48">
        <v>0</v>
      </c>
      <c r="H48">
        <v>2368</v>
      </c>
      <c r="I48">
        <v>1784</v>
      </c>
      <c r="J48">
        <v>0</v>
      </c>
      <c r="K48">
        <v>100</v>
      </c>
      <c r="L48">
        <v>4011</v>
      </c>
      <c r="M48">
        <v>3913</v>
      </c>
      <c r="N48">
        <v>141</v>
      </c>
      <c r="O48">
        <v>4011</v>
      </c>
      <c r="P48">
        <v>3931</v>
      </c>
      <c r="Q48">
        <v>150</v>
      </c>
      <c r="R48">
        <v>405</v>
      </c>
      <c r="S48">
        <v>398</v>
      </c>
      <c r="T48">
        <v>236</v>
      </c>
    </row>
    <row r="49" spans="1:20" x14ac:dyDescent="0.35">
      <c r="A49" s="1">
        <v>45888</v>
      </c>
      <c r="B49" s="2">
        <v>0.83806628472222222</v>
      </c>
      <c r="C49">
        <v>79</v>
      </c>
      <c r="D49">
        <v>218</v>
      </c>
      <c r="E49">
        <v>0</v>
      </c>
      <c r="F49">
        <v>0</v>
      </c>
      <c r="G49">
        <v>0</v>
      </c>
      <c r="H49">
        <v>2368</v>
      </c>
      <c r="I49">
        <v>1784</v>
      </c>
      <c r="J49">
        <v>0</v>
      </c>
      <c r="K49">
        <v>100</v>
      </c>
      <c r="L49">
        <v>4011</v>
      </c>
      <c r="M49">
        <v>3919</v>
      </c>
      <c r="N49">
        <v>143</v>
      </c>
      <c r="O49">
        <v>4012</v>
      </c>
      <c r="P49">
        <v>3962</v>
      </c>
      <c r="Q49">
        <v>176</v>
      </c>
      <c r="R49">
        <v>404</v>
      </c>
      <c r="S49">
        <v>398</v>
      </c>
      <c r="T49">
        <v>188</v>
      </c>
    </row>
    <row r="50" spans="1:20" x14ac:dyDescent="0.35">
      <c r="A50" s="1">
        <v>45888</v>
      </c>
      <c r="B50" s="2">
        <v>0.83808206018518516</v>
      </c>
      <c r="C50">
        <v>79</v>
      </c>
      <c r="D50">
        <v>223</v>
      </c>
      <c r="E50">
        <v>0</v>
      </c>
      <c r="F50">
        <v>0</v>
      </c>
      <c r="G50">
        <v>0</v>
      </c>
      <c r="H50">
        <v>2368</v>
      </c>
      <c r="I50">
        <v>1784</v>
      </c>
      <c r="J50">
        <v>0</v>
      </c>
      <c r="K50">
        <v>100</v>
      </c>
      <c r="L50">
        <v>4010</v>
      </c>
      <c r="M50">
        <v>3922</v>
      </c>
      <c r="N50">
        <v>144</v>
      </c>
      <c r="O50">
        <v>4012</v>
      </c>
      <c r="P50">
        <v>3977</v>
      </c>
      <c r="Q50">
        <v>200</v>
      </c>
      <c r="R50">
        <v>405</v>
      </c>
      <c r="S50">
        <v>398</v>
      </c>
      <c r="T50">
        <v>163</v>
      </c>
    </row>
    <row r="51" spans="1:20" x14ac:dyDescent="0.35">
      <c r="A51" s="1">
        <v>45888</v>
      </c>
      <c r="B51" s="2">
        <v>0.83809804398148147</v>
      </c>
      <c r="C51">
        <v>79</v>
      </c>
      <c r="D51">
        <v>228</v>
      </c>
      <c r="E51">
        <v>0</v>
      </c>
      <c r="F51">
        <v>0</v>
      </c>
      <c r="G51">
        <v>0</v>
      </c>
      <c r="H51">
        <v>2368</v>
      </c>
      <c r="I51">
        <v>1784</v>
      </c>
      <c r="J51">
        <v>0</v>
      </c>
      <c r="K51">
        <v>100</v>
      </c>
      <c r="L51">
        <v>4010</v>
      </c>
      <c r="M51">
        <v>3928</v>
      </c>
      <c r="N51">
        <v>147</v>
      </c>
      <c r="O51">
        <v>4012</v>
      </c>
      <c r="P51">
        <v>3988</v>
      </c>
      <c r="Q51">
        <v>221</v>
      </c>
      <c r="R51">
        <v>404</v>
      </c>
      <c r="S51">
        <v>399</v>
      </c>
      <c r="T51">
        <v>184</v>
      </c>
    </row>
    <row r="52" spans="1:20" x14ac:dyDescent="0.35">
      <c r="A52" s="1">
        <v>45888</v>
      </c>
      <c r="B52" s="2">
        <v>0.83811401620370374</v>
      </c>
      <c r="C52">
        <v>79</v>
      </c>
      <c r="D52">
        <v>233</v>
      </c>
      <c r="E52">
        <v>0</v>
      </c>
      <c r="F52">
        <v>0</v>
      </c>
      <c r="G52">
        <v>0</v>
      </c>
      <c r="H52">
        <v>2368</v>
      </c>
      <c r="I52">
        <v>1784</v>
      </c>
      <c r="J52">
        <v>0</v>
      </c>
      <c r="K52">
        <v>100</v>
      </c>
      <c r="L52">
        <v>4010</v>
      </c>
      <c r="M52">
        <v>3934</v>
      </c>
      <c r="N52">
        <v>148</v>
      </c>
      <c r="O52">
        <v>4012</v>
      </c>
      <c r="P52">
        <v>3994</v>
      </c>
      <c r="Q52">
        <v>242</v>
      </c>
      <c r="R52">
        <v>404</v>
      </c>
      <c r="S52">
        <v>398</v>
      </c>
      <c r="T52">
        <v>208</v>
      </c>
    </row>
    <row r="53" spans="1:20" x14ac:dyDescent="0.35">
      <c r="A53" s="1">
        <v>45888</v>
      </c>
      <c r="B53" s="2">
        <v>0.83813008101851849</v>
      </c>
      <c r="C53">
        <v>79</v>
      </c>
      <c r="D53">
        <v>238</v>
      </c>
      <c r="E53">
        <v>0</v>
      </c>
      <c r="F53">
        <v>0</v>
      </c>
      <c r="G53">
        <v>0</v>
      </c>
      <c r="H53">
        <v>2368</v>
      </c>
      <c r="I53">
        <v>1784</v>
      </c>
      <c r="J53">
        <v>0</v>
      </c>
      <c r="K53">
        <v>100</v>
      </c>
      <c r="L53">
        <v>4011</v>
      </c>
      <c r="M53">
        <v>3940</v>
      </c>
      <c r="N53">
        <v>152</v>
      </c>
      <c r="O53">
        <v>4012</v>
      </c>
      <c r="P53">
        <v>3999</v>
      </c>
      <c r="Q53">
        <v>257</v>
      </c>
      <c r="R53">
        <v>405</v>
      </c>
      <c r="S53">
        <v>398</v>
      </c>
      <c r="T53">
        <v>14</v>
      </c>
    </row>
    <row r="54" spans="1:20" x14ac:dyDescent="0.35">
      <c r="A54" s="1">
        <v>45888</v>
      </c>
      <c r="B54" s="2">
        <v>0.83814585648148143</v>
      </c>
      <c r="C54">
        <v>79</v>
      </c>
      <c r="D54">
        <v>243</v>
      </c>
      <c r="E54">
        <v>0</v>
      </c>
      <c r="F54">
        <v>0</v>
      </c>
      <c r="G54">
        <v>0</v>
      </c>
      <c r="H54">
        <v>2368</v>
      </c>
      <c r="I54">
        <v>1784</v>
      </c>
      <c r="J54">
        <v>0</v>
      </c>
      <c r="K54">
        <v>100</v>
      </c>
      <c r="L54">
        <v>4010</v>
      </c>
      <c r="M54">
        <v>3944</v>
      </c>
      <c r="N54">
        <v>155</v>
      </c>
      <c r="O54">
        <v>4012</v>
      </c>
      <c r="P54">
        <v>4003</v>
      </c>
      <c r="Q54">
        <v>272</v>
      </c>
      <c r="R54">
        <v>405</v>
      </c>
      <c r="S54">
        <v>398</v>
      </c>
      <c r="T54">
        <v>29</v>
      </c>
    </row>
    <row r="55" spans="1:20" x14ac:dyDescent="0.35">
      <c r="A55" s="1">
        <v>45888</v>
      </c>
      <c r="B55" s="2">
        <v>0.83816158564814802</v>
      </c>
      <c r="C55">
        <v>79</v>
      </c>
      <c r="D55">
        <v>248</v>
      </c>
      <c r="E55">
        <v>0</v>
      </c>
      <c r="F55">
        <v>0</v>
      </c>
      <c r="G55">
        <v>0</v>
      </c>
      <c r="H55">
        <v>2368</v>
      </c>
      <c r="I55">
        <v>1784</v>
      </c>
      <c r="J55">
        <v>0</v>
      </c>
      <c r="K55">
        <v>100</v>
      </c>
      <c r="L55">
        <v>4011</v>
      </c>
      <c r="M55">
        <v>3948</v>
      </c>
      <c r="N55">
        <v>157</v>
      </c>
      <c r="O55">
        <v>4012</v>
      </c>
      <c r="P55">
        <v>4007</v>
      </c>
      <c r="Q55">
        <v>291</v>
      </c>
      <c r="R55">
        <v>405</v>
      </c>
      <c r="S55">
        <v>398</v>
      </c>
      <c r="T55">
        <v>132</v>
      </c>
    </row>
    <row r="56" spans="1:20" x14ac:dyDescent="0.35">
      <c r="A56" s="1">
        <v>45888</v>
      </c>
      <c r="B56" s="2">
        <v>0.83817738425925925</v>
      </c>
      <c r="C56">
        <v>79</v>
      </c>
      <c r="D56">
        <v>253</v>
      </c>
      <c r="E56">
        <v>0</v>
      </c>
      <c r="F56">
        <v>0</v>
      </c>
      <c r="G56">
        <v>0</v>
      </c>
      <c r="H56">
        <v>2368</v>
      </c>
      <c r="I56">
        <v>1784</v>
      </c>
      <c r="J56">
        <v>0</v>
      </c>
      <c r="K56">
        <v>100</v>
      </c>
      <c r="L56">
        <v>4011</v>
      </c>
      <c r="M56">
        <v>3951</v>
      </c>
      <c r="N56">
        <v>161</v>
      </c>
      <c r="O56">
        <v>4012</v>
      </c>
      <c r="P56">
        <v>4008</v>
      </c>
      <c r="Q56">
        <v>312</v>
      </c>
      <c r="R56">
        <v>405</v>
      </c>
      <c r="S56">
        <v>398</v>
      </c>
      <c r="T56">
        <v>23</v>
      </c>
    </row>
    <row r="57" spans="1:20" x14ac:dyDescent="0.35">
      <c r="A57" s="1">
        <v>45888</v>
      </c>
      <c r="B57" s="2">
        <v>0.83819327546296307</v>
      </c>
      <c r="C57">
        <v>79</v>
      </c>
      <c r="D57">
        <v>2</v>
      </c>
      <c r="E57">
        <v>0</v>
      </c>
      <c r="F57">
        <v>0</v>
      </c>
      <c r="G57">
        <v>0</v>
      </c>
      <c r="H57">
        <v>2368</v>
      </c>
      <c r="I57">
        <v>1784</v>
      </c>
      <c r="J57">
        <v>0</v>
      </c>
      <c r="K57">
        <v>100</v>
      </c>
      <c r="L57">
        <v>4011</v>
      </c>
      <c r="M57">
        <v>3955</v>
      </c>
      <c r="N57">
        <v>164</v>
      </c>
      <c r="O57">
        <v>4012</v>
      </c>
      <c r="P57">
        <v>4009</v>
      </c>
      <c r="Q57">
        <v>342</v>
      </c>
      <c r="R57">
        <v>404</v>
      </c>
      <c r="S57">
        <v>398</v>
      </c>
      <c r="T57">
        <v>34</v>
      </c>
    </row>
    <row r="58" spans="1:20" x14ac:dyDescent="0.35">
      <c r="A58" s="1">
        <v>45888</v>
      </c>
      <c r="B58" s="2">
        <v>0.8382095833333334</v>
      </c>
      <c r="C58">
        <v>79</v>
      </c>
      <c r="D58">
        <v>7</v>
      </c>
      <c r="E58">
        <v>0</v>
      </c>
      <c r="F58">
        <v>0</v>
      </c>
      <c r="G58">
        <v>0</v>
      </c>
      <c r="H58">
        <v>2368</v>
      </c>
      <c r="I58">
        <v>1784</v>
      </c>
      <c r="J58">
        <v>0</v>
      </c>
      <c r="K58">
        <v>100</v>
      </c>
      <c r="L58">
        <v>4010</v>
      </c>
      <c r="M58">
        <v>3956</v>
      </c>
      <c r="N58">
        <v>167</v>
      </c>
      <c r="O58">
        <v>4012</v>
      </c>
      <c r="P58">
        <v>4008</v>
      </c>
      <c r="Q58">
        <v>374</v>
      </c>
      <c r="R58">
        <v>405</v>
      </c>
      <c r="S58">
        <v>398</v>
      </c>
      <c r="T58">
        <v>69</v>
      </c>
    </row>
    <row r="59" spans="1:20" x14ac:dyDescent="0.35">
      <c r="A59" s="1">
        <v>45888</v>
      </c>
      <c r="B59" s="2">
        <v>0.83822539351851855</v>
      </c>
      <c r="C59">
        <v>79</v>
      </c>
      <c r="D59">
        <v>12</v>
      </c>
      <c r="E59">
        <v>0</v>
      </c>
      <c r="F59">
        <v>0</v>
      </c>
      <c r="G59">
        <v>0</v>
      </c>
      <c r="H59">
        <v>2368</v>
      </c>
      <c r="I59">
        <v>1784</v>
      </c>
      <c r="J59">
        <v>0</v>
      </c>
      <c r="K59">
        <v>100</v>
      </c>
      <c r="L59">
        <v>4010</v>
      </c>
      <c r="M59">
        <v>3959</v>
      </c>
      <c r="N59">
        <v>170</v>
      </c>
      <c r="O59">
        <v>4012</v>
      </c>
      <c r="P59">
        <v>4008</v>
      </c>
      <c r="Q59">
        <v>406</v>
      </c>
      <c r="R59">
        <v>405</v>
      </c>
      <c r="S59">
        <v>399</v>
      </c>
      <c r="T59">
        <v>236</v>
      </c>
    </row>
    <row r="60" spans="1:20" x14ac:dyDescent="0.35">
      <c r="A60" s="1">
        <v>45888</v>
      </c>
      <c r="B60" s="2">
        <v>0.83824119212962966</v>
      </c>
      <c r="C60">
        <v>79</v>
      </c>
      <c r="D60">
        <v>17</v>
      </c>
      <c r="E60">
        <v>0</v>
      </c>
      <c r="F60">
        <v>0</v>
      </c>
      <c r="G60">
        <v>0</v>
      </c>
      <c r="H60">
        <v>2368</v>
      </c>
      <c r="I60">
        <v>1784</v>
      </c>
      <c r="J60">
        <v>0</v>
      </c>
      <c r="K60">
        <v>100</v>
      </c>
      <c r="L60">
        <v>4011</v>
      </c>
      <c r="M60">
        <v>3963</v>
      </c>
      <c r="N60">
        <v>173</v>
      </c>
      <c r="O60">
        <v>4012</v>
      </c>
      <c r="P60">
        <v>4008</v>
      </c>
      <c r="Q60">
        <v>429</v>
      </c>
      <c r="R60">
        <v>405</v>
      </c>
      <c r="S60">
        <v>398</v>
      </c>
      <c r="T60">
        <v>208</v>
      </c>
    </row>
    <row r="61" spans="1:20" x14ac:dyDescent="0.35">
      <c r="A61" s="1">
        <v>45888</v>
      </c>
      <c r="B61" s="2">
        <v>0.83825717592592586</v>
      </c>
      <c r="C61">
        <v>79</v>
      </c>
      <c r="D61">
        <v>22</v>
      </c>
      <c r="E61">
        <v>0</v>
      </c>
      <c r="F61">
        <v>0</v>
      </c>
      <c r="G61">
        <v>0</v>
      </c>
      <c r="H61">
        <v>2368</v>
      </c>
      <c r="I61">
        <v>1784</v>
      </c>
      <c r="J61">
        <v>0</v>
      </c>
      <c r="K61">
        <v>100</v>
      </c>
      <c r="L61">
        <v>4010</v>
      </c>
      <c r="M61">
        <v>3964</v>
      </c>
      <c r="N61">
        <v>174</v>
      </c>
      <c r="O61">
        <v>4012</v>
      </c>
      <c r="P61">
        <v>4008</v>
      </c>
      <c r="Q61">
        <v>440</v>
      </c>
      <c r="R61">
        <v>404</v>
      </c>
      <c r="S61">
        <v>398</v>
      </c>
      <c r="T61">
        <v>175</v>
      </c>
    </row>
    <row r="62" spans="1:20" x14ac:dyDescent="0.35">
      <c r="A62" s="1">
        <v>45888</v>
      </c>
      <c r="B62" s="2">
        <v>0.83827312499999995</v>
      </c>
      <c r="C62">
        <v>79</v>
      </c>
      <c r="D62">
        <v>27</v>
      </c>
      <c r="E62">
        <v>0</v>
      </c>
      <c r="F62">
        <v>0</v>
      </c>
      <c r="G62">
        <v>0</v>
      </c>
      <c r="H62">
        <v>2368</v>
      </c>
      <c r="I62">
        <v>1784</v>
      </c>
      <c r="J62">
        <v>0</v>
      </c>
      <c r="K62">
        <v>100</v>
      </c>
      <c r="L62">
        <v>4009</v>
      </c>
      <c r="M62">
        <v>3966</v>
      </c>
      <c r="N62">
        <v>178</v>
      </c>
      <c r="O62">
        <v>4012</v>
      </c>
      <c r="P62">
        <v>4008</v>
      </c>
      <c r="Q62">
        <v>446</v>
      </c>
      <c r="R62">
        <v>404</v>
      </c>
      <c r="S62">
        <v>399</v>
      </c>
      <c r="T62">
        <v>86</v>
      </c>
    </row>
    <row r="63" spans="1:20" x14ac:dyDescent="0.35">
      <c r="A63" s="1">
        <v>45888</v>
      </c>
      <c r="B63" s="2">
        <v>0.83828895833333328</v>
      </c>
      <c r="C63">
        <v>79</v>
      </c>
      <c r="D63">
        <v>32</v>
      </c>
      <c r="E63">
        <v>0</v>
      </c>
      <c r="F63">
        <v>0</v>
      </c>
      <c r="G63">
        <v>0</v>
      </c>
      <c r="H63">
        <v>2368</v>
      </c>
      <c r="I63">
        <v>1784</v>
      </c>
      <c r="J63">
        <v>0</v>
      </c>
      <c r="K63">
        <v>100</v>
      </c>
      <c r="L63">
        <v>4009</v>
      </c>
      <c r="M63">
        <v>3969</v>
      </c>
      <c r="N63">
        <v>180</v>
      </c>
      <c r="O63">
        <v>4012</v>
      </c>
      <c r="P63">
        <v>4008</v>
      </c>
      <c r="Q63">
        <v>448</v>
      </c>
      <c r="R63">
        <v>405</v>
      </c>
      <c r="S63">
        <v>398</v>
      </c>
      <c r="T63">
        <v>239</v>
      </c>
    </row>
    <row r="64" spans="1:20" x14ac:dyDescent="0.35">
      <c r="A64" s="1">
        <v>45888</v>
      </c>
      <c r="B64" s="2">
        <v>0.83830489583333334</v>
      </c>
      <c r="C64">
        <v>79</v>
      </c>
      <c r="D64">
        <v>37</v>
      </c>
      <c r="E64">
        <v>0</v>
      </c>
      <c r="F64">
        <v>0</v>
      </c>
      <c r="G64">
        <v>0</v>
      </c>
      <c r="H64">
        <v>2368</v>
      </c>
      <c r="I64">
        <v>1784</v>
      </c>
      <c r="J64">
        <v>0</v>
      </c>
      <c r="K64">
        <v>100</v>
      </c>
      <c r="L64">
        <v>4010</v>
      </c>
      <c r="M64">
        <v>3970</v>
      </c>
      <c r="N64">
        <v>182</v>
      </c>
      <c r="O64">
        <v>4012</v>
      </c>
      <c r="P64">
        <v>4008</v>
      </c>
      <c r="Q64">
        <v>449</v>
      </c>
      <c r="R64">
        <v>405</v>
      </c>
      <c r="S64">
        <v>398</v>
      </c>
      <c r="T64">
        <v>22</v>
      </c>
    </row>
    <row r="65" spans="1:20" x14ac:dyDescent="0.35">
      <c r="A65" s="1">
        <v>45888</v>
      </c>
      <c r="B65" s="2">
        <v>0.8383206134259259</v>
      </c>
      <c r="C65">
        <v>79</v>
      </c>
      <c r="D65">
        <v>42</v>
      </c>
      <c r="E65">
        <v>0</v>
      </c>
      <c r="F65">
        <v>0</v>
      </c>
      <c r="G65">
        <v>0</v>
      </c>
      <c r="H65">
        <v>2368</v>
      </c>
      <c r="I65">
        <v>1784</v>
      </c>
      <c r="J65">
        <v>0</v>
      </c>
      <c r="K65">
        <v>100</v>
      </c>
      <c r="L65">
        <v>4010</v>
      </c>
      <c r="M65">
        <v>3972</v>
      </c>
      <c r="N65">
        <v>186</v>
      </c>
      <c r="O65">
        <v>4011</v>
      </c>
      <c r="P65">
        <v>4008</v>
      </c>
      <c r="Q65">
        <v>450</v>
      </c>
      <c r="R65">
        <v>404</v>
      </c>
      <c r="S65">
        <v>399</v>
      </c>
      <c r="T65">
        <v>12</v>
      </c>
    </row>
    <row r="66" spans="1:20" x14ac:dyDescent="0.35">
      <c r="A66" s="1">
        <v>45888</v>
      </c>
      <c r="B66" s="2">
        <v>0.83833637731481492</v>
      </c>
      <c r="C66">
        <v>79</v>
      </c>
      <c r="D66">
        <v>47</v>
      </c>
      <c r="E66">
        <v>0</v>
      </c>
      <c r="F66">
        <v>0</v>
      </c>
      <c r="G66">
        <v>0</v>
      </c>
      <c r="H66">
        <v>2368</v>
      </c>
      <c r="I66">
        <v>1784</v>
      </c>
      <c r="J66">
        <v>0</v>
      </c>
      <c r="K66">
        <v>100</v>
      </c>
      <c r="L66">
        <v>4010</v>
      </c>
      <c r="M66">
        <v>3974</v>
      </c>
      <c r="N66">
        <v>188</v>
      </c>
      <c r="O66">
        <v>4012</v>
      </c>
      <c r="P66">
        <v>4008</v>
      </c>
      <c r="Q66">
        <v>451</v>
      </c>
      <c r="R66">
        <v>405</v>
      </c>
      <c r="S66">
        <v>399</v>
      </c>
      <c r="T66">
        <v>198</v>
      </c>
    </row>
    <row r="67" spans="1:20" x14ac:dyDescent="0.35">
      <c r="A67" s="1">
        <v>45888</v>
      </c>
      <c r="B67" s="2">
        <v>0.83835214120370372</v>
      </c>
      <c r="C67">
        <v>79</v>
      </c>
      <c r="D67">
        <v>52</v>
      </c>
      <c r="E67">
        <v>0</v>
      </c>
      <c r="F67">
        <v>0</v>
      </c>
      <c r="G67">
        <v>0</v>
      </c>
      <c r="H67">
        <v>2368</v>
      </c>
      <c r="I67">
        <v>1784</v>
      </c>
      <c r="J67">
        <v>0</v>
      </c>
      <c r="K67">
        <v>100</v>
      </c>
      <c r="L67">
        <v>4011</v>
      </c>
      <c r="M67">
        <v>3976</v>
      </c>
      <c r="N67">
        <v>192</v>
      </c>
      <c r="O67">
        <v>4012</v>
      </c>
      <c r="P67">
        <v>4008</v>
      </c>
      <c r="Q67">
        <v>452</v>
      </c>
      <c r="R67">
        <v>404</v>
      </c>
      <c r="S67">
        <v>399</v>
      </c>
      <c r="T67">
        <v>239</v>
      </c>
    </row>
    <row r="68" spans="1:20" x14ac:dyDescent="0.35">
      <c r="A68" s="1">
        <v>45888</v>
      </c>
      <c r="B68" s="2">
        <v>0.83836787037037031</v>
      </c>
      <c r="C68">
        <v>79</v>
      </c>
      <c r="D68">
        <v>57</v>
      </c>
      <c r="E68">
        <v>0</v>
      </c>
      <c r="F68">
        <v>0</v>
      </c>
      <c r="G68">
        <v>0</v>
      </c>
      <c r="H68">
        <v>2368</v>
      </c>
      <c r="I68">
        <v>1784</v>
      </c>
      <c r="J68">
        <v>0</v>
      </c>
      <c r="K68">
        <v>100</v>
      </c>
      <c r="L68">
        <v>4011</v>
      </c>
      <c r="M68">
        <v>3977</v>
      </c>
      <c r="N68">
        <v>194</v>
      </c>
      <c r="O68">
        <v>4011</v>
      </c>
      <c r="P68">
        <v>4008</v>
      </c>
      <c r="Q68">
        <v>455</v>
      </c>
      <c r="R68">
        <v>405</v>
      </c>
      <c r="S68">
        <v>398</v>
      </c>
      <c r="T68">
        <v>214</v>
      </c>
    </row>
    <row r="69" spans="1:20" x14ac:dyDescent="0.35">
      <c r="A69" s="1">
        <v>45888</v>
      </c>
      <c r="B69" s="2">
        <v>0.83838364583333325</v>
      </c>
      <c r="C69">
        <v>79</v>
      </c>
      <c r="D69">
        <v>62</v>
      </c>
      <c r="E69">
        <v>0</v>
      </c>
      <c r="F69">
        <v>0</v>
      </c>
      <c r="G69">
        <v>0</v>
      </c>
      <c r="H69">
        <v>2368</v>
      </c>
      <c r="I69">
        <v>1784</v>
      </c>
      <c r="J69">
        <v>0</v>
      </c>
      <c r="K69">
        <v>100</v>
      </c>
      <c r="L69">
        <v>4009</v>
      </c>
      <c r="M69">
        <v>3980</v>
      </c>
      <c r="N69">
        <v>198</v>
      </c>
      <c r="O69">
        <v>4012</v>
      </c>
      <c r="P69">
        <v>4008</v>
      </c>
      <c r="Q69">
        <v>453</v>
      </c>
      <c r="R69">
        <v>405</v>
      </c>
      <c r="S69">
        <v>398</v>
      </c>
      <c r="T69">
        <v>27</v>
      </c>
    </row>
    <row r="70" spans="1:20" x14ac:dyDescent="0.35">
      <c r="A70" s="1">
        <v>45888</v>
      </c>
      <c r="B70" s="2">
        <v>0.83839935185185188</v>
      </c>
      <c r="C70">
        <v>79</v>
      </c>
      <c r="D70">
        <v>67</v>
      </c>
      <c r="E70">
        <v>0</v>
      </c>
      <c r="F70">
        <v>0</v>
      </c>
      <c r="G70">
        <v>0</v>
      </c>
      <c r="H70">
        <v>2368</v>
      </c>
      <c r="I70">
        <v>1784</v>
      </c>
      <c r="J70">
        <v>0</v>
      </c>
      <c r="K70">
        <v>100</v>
      </c>
      <c r="L70">
        <v>4011</v>
      </c>
      <c r="M70">
        <v>3983</v>
      </c>
      <c r="N70">
        <v>200</v>
      </c>
      <c r="O70">
        <v>4012</v>
      </c>
      <c r="P70">
        <v>4008</v>
      </c>
      <c r="Q70">
        <v>450</v>
      </c>
      <c r="R70">
        <v>404</v>
      </c>
      <c r="S70">
        <v>399</v>
      </c>
      <c r="T70">
        <v>146</v>
      </c>
    </row>
    <row r="71" spans="1:20" x14ac:dyDescent="0.35">
      <c r="A71" s="1">
        <v>45888</v>
      </c>
      <c r="B71" s="2">
        <v>0.83841506944444455</v>
      </c>
      <c r="C71">
        <v>79</v>
      </c>
      <c r="D71">
        <v>72</v>
      </c>
      <c r="E71">
        <v>0</v>
      </c>
      <c r="F71">
        <v>0</v>
      </c>
      <c r="G71">
        <v>0</v>
      </c>
      <c r="H71">
        <v>2368</v>
      </c>
      <c r="I71">
        <v>1784</v>
      </c>
      <c r="J71">
        <v>0</v>
      </c>
      <c r="K71">
        <v>100</v>
      </c>
      <c r="L71">
        <v>4010</v>
      </c>
      <c r="M71">
        <v>3982</v>
      </c>
      <c r="N71">
        <v>203</v>
      </c>
      <c r="O71">
        <v>4012</v>
      </c>
      <c r="P71">
        <v>4008</v>
      </c>
      <c r="Q71">
        <v>445</v>
      </c>
      <c r="R71">
        <v>404</v>
      </c>
      <c r="S71">
        <v>398</v>
      </c>
      <c r="T71">
        <v>142</v>
      </c>
    </row>
    <row r="72" spans="1:20" x14ac:dyDescent="0.35">
      <c r="A72" s="1">
        <v>45888</v>
      </c>
      <c r="B72" s="2">
        <v>0.83843081018518528</v>
      </c>
      <c r="C72">
        <v>79</v>
      </c>
      <c r="D72">
        <v>77</v>
      </c>
      <c r="E72">
        <v>0</v>
      </c>
      <c r="F72">
        <v>0</v>
      </c>
      <c r="G72">
        <v>0</v>
      </c>
      <c r="H72">
        <v>2368</v>
      </c>
      <c r="I72">
        <v>1784</v>
      </c>
      <c r="J72">
        <v>0</v>
      </c>
      <c r="K72">
        <v>100</v>
      </c>
      <c r="L72">
        <v>4011</v>
      </c>
      <c r="M72">
        <v>3983</v>
      </c>
      <c r="N72">
        <v>206</v>
      </c>
      <c r="O72">
        <v>4011</v>
      </c>
      <c r="P72">
        <v>4008</v>
      </c>
      <c r="Q72">
        <v>440</v>
      </c>
      <c r="R72">
        <v>404</v>
      </c>
      <c r="S72">
        <v>398</v>
      </c>
      <c r="T72">
        <v>143</v>
      </c>
    </row>
    <row r="73" spans="1:20" x14ac:dyDescent="0.35">
      <c r="A73" s="1">
        <v>45888</v>
      </c>
      <c r="B73" s="2">
        <v>0.83844659722222215</v>
      </c>
      <c r="C73">
        <v>79</v>
      </c>
      <c r="D73">
        <v>82</v>
      </c>
      <c r="E73">
        <v>0</v>
      </c>
      <c r="F73">
        <v>0</v>
      </c>
      <c r="G73">
        <v>0</v>
      </c>
      <c r="H73">
        <v>2368</v>
      </c>
      <c r="I73">
        <v>1784</v>
      </c>
      <c r="J73">
        <v>0</v>
      </c>
      <c r="K73">
        <v>100</v>
      </c>
      <c r="L73">
        <v>4010</v>
      </c>
      <c r="M73">
        <v>3984</v>
      </c>
      <c r="N73">
        <v>208</v>
      </c>
      <c r="O73">
        <v>4011</v>
      </c>
      <c r="P73">
        <v>4009</v>
      </c>
      <c r="Q73">
        <v>434</v>
      </c>
      <c r="R73">
        <v>405</v>
      </c>
      <c r="S73">
        <v>398</v>
      </c>
      <c r="T73">
        <v>156</v>
      </c>
    </row>
    <row r="74" spans="1:20" x14ac:dyDescent="0.35">
      <c r="A74" s="1">
        <v>45888</v>
      </c>
      <c r="B74" s="2">
        <v>0.83846232638888896</v>
      </c>
      <c r="C74">
        <v>79</v>
      </c>
      <c r="D74">
        <v>87</v>
      </c>
      <c r="E74">
        <v>0</v>
      </c>
      <c r="F74">
        <v>0</v>
      </c>
      <c r="G74">
        <v>0</v>
      </c>
      <c r="H74">
        <v>2368</v>
      </c>
      <c r="I74">
        <v>1784</v>
      </c>
      <c r="J74">
        <v>0</v>
      </c>
      <c r="K74">
        <v>100</v>
      </c>
      <c r="L74">
        <v>4010</v>
      </c>
      <c r="M74">
        <v>3986</v>
      </c>
      <c r="N74">
        <v>211</v>
      </c>
      <c r="O74">
        <v>4012</v>
      </c>
      <c r="P74">
        <v>4008</v>
      </c>
      <c r="Q74">
        <v>428</v>
      </c>
      <c r="R74">
        <v>405</v>
      </c>
      <c r="S74">
        <v>398</v>
      </c>
      <c r="T74">
        <v>131</v>
      </c>
    </row>
    <row r="75" spans="1:20" x14ac:dyDescent="0.35">
      <c r="A75" s="1">
        <v>45888</v>
      </c>
      <c r="B75" s="2">
        <v>0.83847805555555555</v>
      </c>
      <c r="C75">
        <v>79</v>
      </c>
      <c r="D75">
        <v>92</v>
      </c>
      <c r="E75">
        <v>0</v>
      </c>
      <c r="F75">
        <v>0</v>
      </c>
      <c r="G75">
        <v>0</v>
      </c>
      <c r="H75">
        <v>2368</v>
      </c>
      <c r="I75">
        <v>1784</v>
      </c>
      <c r="J75">
        <v>0</v>
      </c>
      <c r="K75">
        <v>100</v>
      </c>
      <c r="L75">
        <v>4011</v>
      </c>
      <c r="M75">
        <v>3988</v>
      </c>
      <c r="N75">
        <v>215</v>
      </c>
      <c r="O75">
        <v>4012</v>
      </c>
      <c r="P75">
        <v>4008</v>
      </c>
      <c r="Q75">
        <v>427</v>
      </c>
      <c r="R75">
        <v>404</v>
      </c>
      <c r="S75">
        <v>398</v>
      </c>
      <c r="T75">
        <v>204</v>
      </c>
    </row>
    <row r="76" spans="1:20" x14ac:dyDescent="0.35">
      <c r="A76" s="1">
        <v>45888</v>
      </c>
      <c r="B76" s="2">
        <v>0.83849383101851849</v>
      </c>
      <c r="C76">
        <v>79</v>
      </c>
      <c r="D76">
        <v>97</v>
      </c>
      <c r="E76">
        <v>0</v>
      </c>
      <c r="F76">
        <v>0</v>
      </c>
      <c r="G76">
        <v>0</v>
      </c>
      <c r="H76">
        <v>2368</v>
      </c>
      <c r="I76">
        <v>1784</v>
      </c>
      <c r="J76">
        <v>0</v>
      </c>
      <c r="K76">
        <v>100</v>
      </c>
      <c r="L76">
        <v>4011</v>
      </c>
      <c r="M76">
        <v>3990</v>
      </c>
      <c r="N76">
        <v>219</v>
      </c>
      <c r="O76">
        <v>4012</v>
      </c>
      <c r="P76">
        <v>4009</v>
      </c>
      <c r="Q76">
        <v>427</v>
      </c>
      <c r="R76">
        <v>405</v>
      </c>
      <c r="S76">
        <v>398</v>
      </c>
      <c r="T76">
        <v>222</v>
      </c>
    </row>
    <row r="77" spans="1:20" x14ac:dyDescent="0.35">
      <c r="A77" s="1">
        <v>45888</v>
      </c>
      <c r="B77" s="2">
        <v>0.83850958333333336</v>
      </c>
      <c r="C77">
        <v>79</v>
      </c>
      <c r="D77">
        <v>102</v>
      </c>
      <c r="E77">
        <v>0</v>
      </c>
      <c r="F77">
        <v>0</v>
      </c>
      <c r="G77">
        <v>0</v>
      </c>
      <c r="H77">
        <v>2368</v>
      </c>
      <c r="I77">
        <v>1784</v>
      </c>
      <c r="J77">
        <v>0</v>
      </c>
      <c r="K77">
        <v>100</v>
      </c>
      <c r="L77">
        <v>4011</v>
      </c>
      <c r="M77">
        <v>3992</v>
      </c>
      <c r="N77">
        <v>228</v>
      </c>
      <c r="O77">
        <v>4012</v>
      </c>
      <c r="P77">
        <v>4008</v>
      </c>
      <c r="Q77">
        <v>424</v>
      </c>
      <c r="R77">
        <v>405</v>
      </c>
      <c r="S77">
        <v>398</v>
      </c>
      <c r="T77">
        <v>107</v>
      </c>
    </row>
    <row r="78" spans="1:20" x14ac:dyDescent="0.35">
      <c r="A78" s="1">
        <v>45888</v>
      </c>
      <c r="B78" s="2">
        <v>0.83852528935185189</v>
      </c>
      <c r="C78">
        <v>79</v>
      </c>
      <c r="D78">
        <v>107</v>
      </c>
      <c r="E78">
        <v>0</v>
      </c>
      <c r="F78">
        <v>0</v>
      </c>
      <c r="G78">
        <v>0</v>
      </c>
      <c r="H78">
        <v>2368</v>
      </c>
      <c r="I78">
        <v>1784</v>
      </c>
      <c r="J78">
        <v>0</v>
      </c>
      <c r="K78">
        <v>100</v>
      </c>
      <c r="L78">
        <v>4011</v>
      </c>
      <c r="M78">
        <v>3995</v>
      </c>
      <c r="N78">
        <v>232</v>
      </c>
      <c r="O78">
        <v>4012</v>
      </c>
      <c r="P78">
        <v>4008</v>
      </c>
      <c r="Q78">
        <v>419</v>
      </c>
      <c r="R78">
        <v>404</v>
      </c>
      <c r="S78">
        <v>399</v>
      </c>
      <c r="T78">
        <v>182</v>
      </c>
    </row>
    <row r="79" spans="1:20" x14ac:dyDescent="0.35">
      <c r="A79" s="1">
        <v>45888</v>
      </c>
      <c r="B79" s="2">
        <v>0.83854100694444444</v>
      </c>
      <c r="C79">
        <v>79</v>
      </c>
      <c r="D79">
        <v>112</v>
      </c>
      <c r="E79">
        <v>0</v>
      </c>
      <c r="F79">
        <v>0</v>
      </c>
      <c r="G79">
        <v>0</v>
      </c>
      <c r="H79">
        <v>2368</v>
      </c>
      <c r="I79">
        <v>1784</v>
      </c>
      <c r="J79">
        <v>0</v>
      </c>
      <c r="K79">
        <v>100</v>
      </c>
      <c r="L79">
        <v>4010</v>
      </c>
      <c r="M79">
        <v>3996</v>
      </c>
      <c r="N79">
        <v>236</v>
      </c>
      <c r="O79">
        <v>4012</v>
      </c>
      <c r="P79">
        <v>4008</v>
      </c>
      <c r="Q79">
        <v>415</v>
      </c>
      <c r="R79">
        <v>404</v>
      </c>
      <c r="S79">
        <v>398</v>
      </c>
      <c r="T79">
        <v>1</v>
      </c>
    </row>
    <row r="80" spans="1:20" x14ac:dyDescent="0.35">
      <c r="A80" s="1">
        <v>45888</v>
      </c>
      <c r="B80" s="2">
        <v>0.83855700231481478</v>
      </c>
      <c r="C80">
        <v>79</v>
      </c>
      <c r="D80">
        <v>117</v>
      </c>
      <c r="E80">
        <v>0</v>
      </c>
      <c r="F80">
        <v>0</v>
      </c>
      <c r="G80">
        <v>0</v>
      </c>
      <c r="H80">
        <v>2368</v>
      </c>
      <c r="I80">
        <v>1784</v>
      </c>
      <c r="J80">
        <v>0</v>
      </c>
      <c r="K80">
        <v>100</v>
      </c>
      <c r="L80">
        <v>4011</v>
      </c>
      <c r="M80">
        <v>3996</v>
      </c>
      <c r="N80">
        <v>235</v>
      </c>
      <c r="O80">
        <v>4011</v>
      </c>
      <c r="P80">
        <v>4008</v>
      </c>
      <c r="Q80">
        <v>415</v>
      </c>
      <c r="R80">
        <v>405</v>
      </c>
      <c r="S80">
        <v>398</v>
      </c>
      <c r="T80">
        <v>44</v>
      </c>
    </row>
    <row r="81" spans="1:20" x14ac:dyDescent="0.35">
      <c r="A81" s="1">
        <v>45888</v>
      </c>
      <c r="B81" s="2">
        <v>0.83857271990740745</v>
      </c>
      <c r="C81">
        <v>79</v>
      </c>
      <c r="D81">
        <v>122</v>
      </c>
      <c r="E81">
        <v>0</v>
      </c>
      <c r="F81">
        <v>0</v>
      </c>
      <c r="G81">
        <v>0</v>
      </c>
      <c r="H81">
        <v>2368</v>
      </c>
      <c r="I81">
        <v>1784</v>
      </c>
      <c r="J81">
        <v>0</v>
      </c>
      <c r="K81">
        <v>100</v>
      </c>
      <c r="L81">
        <v>4011</v>
      </c>
      <c r="M81">
        <v>3996</v>
      </c>
      <c r="N81">
        <v>237</v>
      </c>
      <c r="O81">
        <v>4012</v>
      </c>
      <c r="P81">
        <v>4008</v>
      </c>
      <c r="Q81">
        <v>414</v>
      </c>
      <c r="R81">
        <v>405</v>
      </c>
      <c r="S81">
        <v>398</v>
      </c>
      <c r="T81">
        <v>41</v>
      </c>
    </row>
    <row r="82" spans="1:20" x14ac:dyDescent="0.35">
      <c r="A82" s="1">
        <v>45888</v>
      </c>
      <c r="B82" s="2">
        <v>0.83858842592592586</v>
      </c>
      <c r="C82">
        <v>79</v>
      </c>
      <c r="D82">
        <v>127</v>
      </c>
      <c r="E82">
        <v>0</v>
      </c>
      <c r="F82">
        <v>0</v>
      </c>
      <c r="G82">
        <v>0</v>
      </c>
      <c r="H82">
        <v>2368</v>
      </c>
      <c r="I82">
        <v>1784</v>
      </c>
      <c r="J82">
        <v>0</v>
      </c>
      <c r="K82">
        <v>100</v>
      </c>
      <c r="L82">
        <v>4010</v>
      </c>
      <c r="M82">
        <v>3998</v>
      </c>
      <c r="N82">
        <v>241</v>
      </c>
      <c r="O82">
        <v>4011</v>
      </c>
      <c r="P82">
        <v>4008</v>
      </c>
      <c r="Q82">
        <v>406</v>
      </c>
      <c r="R82">
        <v>405</v>
      </c>
      <c r="S82">
        <v>398</v>
      </c>
      <c r="T82">
        <v>119</v>
      </c>
    </row>
    <row r="83" spans="1:20" x14ac:dyDescent="0.35">
      <c r="A83" s="1">
        <v>45888</v>
      </c>
      <c r="B83" s="2">
        <v>0.83860418981481488</v>
      </c>
      <c r="C83">
        <v>79</v>
      </c>
      <c r="D83">
        <v>132</v>
      </c>
      <c r="E83">
        <v>0</v>
      </c>
      <c r="F83">
        <v>0</v>
      </c>
      <c r="G83">
        <v>0</v>
      </c>
      <c r="H83">
        <v>2368</v>
      </c>
      <c r="I83">
        <v>1784</v>
      </c>
      <c r="J83">
        <v>0</v>
      </c>
      <c r="K83">
        <v>100</v>
      </c>
      <c r="L83">
        <v>4011</v>
      </c>
      <c r="M83">
        <v>3999</v>
      </c>
      <c r="N83">
        <v>244</v>
      </c>
      <c r="O83">
        <v>4012</v>
      </c>
      <c r="P83">
        <v>4008</v>
      </c>
      <c r="Q83">
        <v>398</v>
      </c>
      <c r="R83">
        <v>404</v>
      </c>
      <c r="S83">
        <v>398</v>
      </c>
      <c r="T83">
        <v>100</v>
      </c>
    </row>
    <row r="84" spans="1:20" x14ac:dyDescent="0.35">
      <c r="A84" s="1">
        <v>45888</v>
      </c>
      <c r="B84" s="2">
        <v>0.83861989583333341</v>
      </c>
      <c r="C84">
        <v>79</v>
      </c>
      <c r="D84">
        <v>137</v>
      </c>
      <c r="E84">
        <v>0</v>
      </c>
      <c r="F84">
        <v>0</v>
      </c>
      <c r="G84">
        <v>0</v>
      </c>
      <c r="H84">
        <v>2368</v>
      </c>
      <c r="I84">
        <v>1784</v>
      </c>
      <c r="J84">
        <v>0</v>
      </c>
      <c r="K84">
        <v>100</v>
      </c>
      <c r="L84">
        <v>4010</v>
      </c>
      <c r="M84">
        <v>4000</v>
      </c>
      <c r="N84">
        <v>247</v>
      </c>
      <c r="O84">
        <v>4012</v>
      </c>
      <c r="P84">
        <v>4008</v>
      </c>
      <c r="Q84">
        <v>388</v>
      </c>
      <c r="R84">
        <v>404</v>
      </c>
      <c r="S84">
        <v>398</v>
      </c>
      <c r="T84">
        <v>196</v>
      </c>
    </row>
    <row r="85" spans="1:20" x14ac:dyDescent="0.35">
      <c r="A85" s="1">
        <v>45888</v>
      </c>
      <c r="B85" s="2">
        <v>0.8386358796296296</v>
      </c>
      <c r="C85">
        <v>79</v>
      </c>
      <c r="D85">
        <v>142</v>
      </c>
      <c r="E85">
        <v>0</v>
      </c>
      <c r="F85">
        <v>0</v>
      </c>
      <c r="G85">
        <v>0</v>
      </c>
      <c r="H85">
        <v>2368</v>
      </c>
      <c r="I85">
        <v>1784</v>
      </c>
      <c r="J85">
        <v>0</v>
      </c>
      <c r="K85">
        <v>100</v>
      </c>
      <c r="L85">
        <v>4011</v>
      </c>
      <c r="M85">
        <v>4000</v>
      </c>
      <c r="N85">
        <v>250</v>
      </c>
      <c r="O85">
        <v>4012</v>
      </c>
      <c r="P85">
        <v>4008</v>
      </c>
      <c r="Q85">
        <v>386</v>
      </c>
      <c r="R85">
        <v>404</v>
      </c>
      <c r="S85">
        <v>398</v>
      </c>
      <c r="T85">
        <v>27</v>
      </c>
    </row>
    <row r="86" spans="1:20" x14ac:dyDescent="0.35">
      <c r="A86" s="1">
        <v>45888</v>
      </c>
      <c r="B86" s="2">
        <v>0.83865158564814823</v>
      </c>
      <c r="C86">
        <v>79</v>
      </c>
      <c r="D86">
        <v>147</v>
      </c>
      <c r="E86">
        <v>0</v>
      </c>
      <c r="F86">
        <v>0</v>
      </c>
      <c r="G86">
        <v>0</v>
      </c>
      <c r="H86">
        <v>2368</v>
      </c>
      <c r="I86">
        <v>1784</v>
      </c>
      <c r="J86">
        <v>0</v>
      </c>
      <c r="K86">
        <v>100</v>
      </c>
      <c r="L86">
        <v>4011</v>
      </c>
      <c r="M86">
        <v>4002</v>
      </c>
      <c r="N86">
        <v>252</v>
      </c>
      <c r="O86">
        <v>4012</v>
      </c>
      <c r="P86">
        <v>4008</v>
      </c>
      <c r="Q86">
        <v>388</v>
      </c>
      <c r="R86">
        <v>404</v>
      </c>
      <c r="S86">
        <v>399</v>
      </c>
      <c r="T86">
        <v>226</v>
      </c>
    </row>
    <row r="87" spans="1:20" x14ac:dyDescent="0.35">
      <c r="A87" s="1">
        <v>45888</v>
      </c>
      <c r="B87" s="2">
        <v>0.83866739583333327</v>
      </c>
      <c r="C87">
        <v>79</v>
      </c>
      <c r="D87">
        <v>152</v>
      </c>
      <c r="E87">
        <v>0</v>
      </c>
      <c r="F87">
        <v>0</v>
      </c>
      <c r="G87">
        <v>0</v>
      </c>
      <c r="H87">
        <v>2368</v>
      </c>
      <c r="I87">
        <v>1784</v>
      </c>
      <c r="J87">
        <v>0</v>
      </c>
      <c r="K87">
        <v>100</v>
      </c>
      <c r="L87">
        <v>4010</v>
      </c>
      <c r="M87">
        <v>4002</v>
      </c>
      <c r="N87">
        <v>255</v>
      </c>
      <c r="O87">
        <v>4012</v>
      </c>
      <c r="P87">
        <v>4008</v>
      </c>
      <c r="Q87">
        <v>390</v>
      </c>
      <c r="R87">
        <v>404</v>
      </c>
      <c r="S87">
        <v>398</v>
      </c>
      <c r="T87">
        <v>0</v>
      </c>
    </row>
    <row r="88" spans="1:20" x14ac:dyDescent="0.35">
      <c r="A88" s="1">
        <v>45888</v>
      </c>
      <c r="B88" s="2">
        <v>0.83868334490740737</v>
      </c>
      <c r="C88">
        <v>79</v>
      </c>
      <c r="D88">
        <v>157</v>
      </c>
      <c r="E88">
        <v>0</v>
      </c>
      <c r="F88">
        <v>0</v>
      </c>
      <c r="G88">
        <v>0</v>
      </c>
      <c r="H88">
        <v>2368</v>
      </c>
      <c r="I88">
        <v>1784</v>
      </c>
      <c r="J88">
        <v>0</v>
      </c>
      <c r="K88">
        <v>100</v>
      </c>
      <c r="L88">
        <v>4010</v>
      </c>
      <c r="M88">
        <v>4003</v>
      </c>
      <c r="N88">
        <v>258</v>
      </c>
      <c r="O88">
        <v>4012</v>
      </c>
      <c r="P88">
        <v>4008</v>
      </c>
      <c r="Q88">
        <v>392</v>
      </c>
      <c r="R88">
        <v>405</v>
      </c>
      <c r="S88">
        <v>398</v>
      </c>
      <c r="T88">
        <v>203</v>
      </c>
    </row>
    <row r="89" spans="1:20" x14ac:dyDescent="0.35">
      <c r="A89" s="1">
        <v>45888</v>
      </c>
      <c r="B89" s="2">
        <v>0.83869912037037042</v>
      </c>
      <c r="C89">
        <v>79</v>
      </c>
      <c r="D89">
        <v>162</v>
      </c>
      <c r="E89">
        <v>0</v>
      </c>
      <c r="F89">
        <v>0</v>
      </c>
      <c r="G89">
        <v>0</v>
      </c>
      <c r="H89">
        <v>2368</v>
      </c>
      <c r="I89">
        <v>1784</v>
      </c>
      <c r="J89">
        <v>0</v>
      </c>
      <c r="K89">
        <v>100</v>
      </c>
      <c r="L89">
        <v>4009</v>
      </c>
      <c r="M89">
        <v>4004</v>
      </c>
      <c r="N89">
        <v>262</v>
      </c>
      <c r="O89">
        <v>4012</v>
      </c>
      <c r="P89">
        <v>4008</v>
      </c>
      <c r="Q89">
        <v>392</v>
      </c>
      <c r="R89">
        <v>404</v>
      </c>
      <c r="S89">
        <v>398</v>
      </c>
      <c r="T89">
        <v>144</v>
      </c>
    </row>
    <row r="90" spans="1:20" x14ac:dyDescent="0.35">
      <c r="A90" s="1">
        <v>45888</v>
      </c>
      <c r="B90" s="2">
        <v>0.83871487268518519</v>
      </c>
      <c r="C90">
        <v>79</v>
      </c>
      <c r="D90">
        <v>167</v>
      </c>
      <c r="E90">
        <v>0</v>
      </c>
      <c r="F90">
        <v>0</v>
      </c>
      <c r="G90">
        <v>0</v>
      </c>
      <c r="H90">
        <v>2368</v>
      </c>
      <c r="I90">
        <v>1784</v>
      </c>
      <c r="J90">
        <v>0</v>
      </c>
      <c r="K90">
        <v>100</v>
      </c>
      <c r="L90">
        <v>4010</v>
      </c>
      <c r="M90">
        <v>4006</v>
      </c>
      <c r="N90">
        <v>265</v>
      </c>
      <c r="O90">
        <v>4012</v>
      </c>
      <c r="P90">
        <v>4008</v>
      </c>
      <c r="Q90">
        <v>396</v>
      </c>
      <c r="R90">
        <v>405</v>
      </c>
      <c r="S90">
        <v>398</v>
      </c>
      <c r="T90">
        <v>224</v>
      </c>
    </row>
    <row r="91" spans="1:20" x14ac:dyDescent="0.35">
      <c r="A91" s="1">
        <v>45888</v>
      </c>
      <c r="B91" s="2">
        <v>0.83873086805555552</v>
      </c>
      <c r="C91">
        <v>79</v>
      </c>
      <c r="D91">
        <v>172</v>
      </c>
      <c r="E91">
        <v>0</v>
      </c>
      <c r="F91">
        <v>0</v>
      </c>
      <c r="G91">
        <v>0</v>
      </c>
      <c r="H91">
        <v>2368</v>
      </c>
      <c r="I91">
        <v>1784</v>
      </c>
      <c r="J91">
        <v>0</v>
      </c>
      <c r="K91">
        <v>100</v>
      </c>
      <c r="L91">
        <v>4010</v>
      </c>
      <c r="M91">
        <v>4006</v>
      </c>
      <c r="N91">
        <v>269</v>
      </c>
      <c r="O91">
        <v>4012</v>
      </c>
      <c r="P91">
        <v>4008</v>
      </c>
      <c r="Q91">
        <v>398</v>
      </c>
      <c r="R91">
        <v>405</v>
      </c>
      <c r="S91">
        <v>399</v>
      </c>
      <c r="T91">
        <v>234</v>
      </c>
    </row>
    <row r="92" spans="1:20" x14ac:dyDescent="0.35">
      <c r="A92" s="1">
        <v>45888</v>
      </c>
      <c r="B92" s="2">
        <v>0.83874675925925923</v>
      </c>
      <c r="C92">
        <v>79</v>
      </c>
      <c r="D92">
        <v>177</v>
      </c>
      <c r="E92">
        <v>0</v>
      </c>
      <c r="F92">
        <v>0</v>
      </c>
      <c r="G92">
        <v>0</v>
      </c>
      <c r="H92">
        <v>2368</v>
      </c>
      <c r="I92">
        <v>1784</v>
      </c>
      <c r="J92">
        <v>0</v>
      </c>
      <c r="K92">
        <v>100</v>
      </c>
      <c r="L92">
        <v>4011</v>
      </c>
      <c r="M92">
        <v>4007</v>
      </c>
      <c r="N92">
        <v>272</v>
      </c>
      <c r="O92">
        <v>4012</v>
      </c>
      <c r="P92">
        <v>4008</v>
      </c>
      <c r="Q92">
        <v>402</v>
      </c>
      <c r="R92">
        <v>405</v>
      </c>
      <c r="S92">
        <v>399</v>
      </c>
      <c r="T92">
        <v>219</v>
      </c>
    </row>
    <row r="93" spans="1:20" x14ac:dyDescent="0.35">
      <c r="A93" s="1">
        <v>45888</v>
      </c>
      <c r="B93" s="2">
        <v>0.83876248842592593</v>
      </c>
      <c r="C93">
        <v>79</v>
      </c>
      <c r="D93">
        <v>182</v>
      </c>
      <c r="E93">
        <v>0</v>
      </c>
      <c r="F93">
        <v>0</v>
      </c>
      <c r="G93">
        <v>0</v>
      </c>
      <c r="H93">
        <v>2368</v>
      </c>
      <c r="I93">
        <v>1784</v>
      </c>
      <c r="J93">
        <v>0</v>
      </c>
      <c r="K93">
        <v>100</v>
      </c>
      <c r="L93">
        <v>4010</v>
      </c>
      <c r="M93">
        <v>4007</v>
      </c>
      <c r="N93">
        <v>274</v>
      </c>
      <c r="O93">
        <v>4012</v>
      </c>
      <c r="P93">
        <v>4008</v>
      </c>
      <c r="Q93">
        <v>404</v>
      </c>
      <c r="R93">
        <v>404</v>
      </c>
      <c r="S93">
        <v>398</v>
      </c>
      <c r="T93">
        <v>205</v>
      </c>
    </row>
    <row r="94" spans="1:20" x14ac:dyDescent="0.35">
      <c r="A94" s="1">
        <v>45888</v>
      </c>
      <c r="B94" s="2">
        <v>0.83877840277777771</v>
      </c>
      <c r="C94">
        <v>79</v>
      </c>
      <c r="D94">
        <v>187</v>
      </c>
      <c r="E94">
        <v>0</v>
      </c>
      <c r="F94">
        <v>0</v>
      </c>
      <c r="G94">
        <v>0</v>
      </c>
      <c r="H94">
        <v>2368</v>
      </c>
      <c r="I94">
        <v>1784</v>
      </c>
      <c r="J94">
        <v>0</v>
      </c>
      <c r="K94">
        <v>100</v>
      </c>
      <c r="L94">
        <v>4010</v>
      </c>
      <c r="M94">
        <v>4008</v>
      </c>
      <c r="N94">
        <v>277</v>
      </c>
      <c r="O94">
        <v>4011</v>
      </c>
      <c r="P94">
        <v>4008</v>
      </c>
      <c r="Q94">
        <v>404</v>
      </c>
      <c r="R94">
        <v>404</v>
      </c>
      <c r="S94">
        <v>399</v>
      </c>
      <c r="T94">
        <v>151</v>
      </c>
    </row>
    <row r="95" spans="1:20" x14ac:dyDescent="0.35">
      <c r="A95" s="1">
        <v>45888</v>
      </c>
      <c r="B95" s="2">
        <v>0.83879430555555545</v>
      </c>
      <c r="C95">
        <v>79</v>
      </c>
      <c r="D95">
        <v>192</v>
      </c>
      <c r="E95">
        <v>0</v>
      </c>
      <c r="F95">
        <v>0</v>
      </c>
      <c r="G95">
        <v>0</v>
      </c>
      <c r="H95">
        <v>2368</v>
      </c>
      <c r="I95">
        <v>1784</v>
      </c>
      <c r="J95">
        <v>0</v>
      </c>
      <c r="K95">
        <v>100</v>
      </c>
      <c r="L95">
        <v>4010</v>
      </c>
      <c r="M95">
        <v>4009</v>
      </c>
      <c r="N95">
        <v>280</v>
      </c>
      <c r="O95">
        <v>4011</v>
      </c>
      <c r="P95">
        <v>4009</v>
      </c>
      <c r="Q95">
        <v>408</v>
      </c>
      <c r="R95">
        <v>404</v>
      </c>
      <c r="S95">
        <v>398</v>
      </c>
      <c r="T95">
        <v>242</v>
      </c>
    </row>
    <row r="96" spans="1:20" x14ac:dyDescent="0.35">
      <c r="A96" s="1">
        <v>45888</v>
      </c>
      <c r="B96" s="2">
        <v>0.83881012731481486</v>
      </c>
      <c r="C96">
        <v>79</v>
      </c>
      <c r="D96">
        <v>197</v>
      </c>
      <c r="E96">
        <v>0</v>
      </c>
      <c r="F96">
        <v>0</v>
      </c>
      <c r="G96">
        <v>0</v>
      </c>
      <c r="H96">
        <v>2368</v>
      </c>
      <c r="I96">
        <v>1784</v>
      </c>
      <c r="J96">
        <v>0</v>
      </c>
      <c r="K96">
        <v>100</v>
      </c>
      <c r="L96">
        <v>4010</v>
      </c>
      <c r="M96">
        <v>4011</v>
      </c>
      <c r="N96">
        <v>282</v>
      </c>
      <c r="O96">
        <v>4012</v>
      </c>
      <c r="P96">
        <v>4008</v>
      </c>
      <c r="Q96">
        <v>410</v>
      </c>
      <c r="R96">
        <v>405</v>
      </c>
      <c r="S96">
        <v>398</v>
      </c>
      <c r="T96">
        <v>61</v>
      </c>
    </row>
    <row r="97" spans="1:20" x14ac:dyDescent="0.35">
      <c r="A97" s="1">
        <v>45888</v>
      </c>
      <c r="B97" s="2">
        <v>0.83882613425925923</v>
      </c>
      <c r="C97">
        <v>79</v>
      </c>
      <c r="D97">
        <v>202</v>
      </c>
      <c r="E97">
        <v>0</v>
      </c>
      <c r="F97">
        <v>0</v>
      </c>
      <c r="G97">
        <v>0</v>
      </c>
      <c r="H97">
        <v>2368</v>
      </c>
      <c r="I97">
        <v>1784</v>
      </c>
      <c r="J97">
        <v>0</v>
      </c>
      <c r="K97">
        <v>100</v>
      </c>
      <c r="L97">
        <v>4010</v>
      </c>
      <c r="M97">
        <v>4010</v>
      </c>
      <c r="N97">
        <v>283</v>
      </c>
      <c r="O97">
        <v>4012</v>
      </c>
      <c r="P97">
        <v>4008</v>
      </c>
      <c r="Q97">
        <v>412</v>
      </c>
      <c r="R97">
        <v>405</v>
      </c>
      <c r="S97">
        <v>399</v>
      </c>
      <c r="T97">
        <v>183</v>
      </c>
    </row>
    <row r="98" spans="1:20" x14ac:dyDescent="0.35">
      <c r="A98" s="1">
        <v>45888</v>
      </c>
      <c r="B98" s="2">
        <v>0.83884181712962969</v>
      </c>
      <c r="C98">
        <v>79</v>
      </c>
      <c r="D98">
        <v>207</v>
      </c>
      <c r="E98">
        <v>0</v>
      </c>
      <c r="F98">
        <v>0</v>
      </c>
      <c r="G98">
        <v>0</v>
      </c>
      <c r="H98">
        <v>2368</v>
      </c>
      <c r="I98">
        <v>1784</v>
      </c>
      <c r="J98">
        <v>0</v>
      </c>
      <c r="K98">
        <v>100</v>
      </c>
      <c r="L98">
        <v>4010</v>
      </c>
      <c r="M98">
        <v>4010</v>
      </c>
      <c r="N98">
        <v>285</v>
      </c>
      <c r="O98">
        <v>4012</v>
      </c>
      <c r="P98">
        <v>4008</v>
      </c>
      <c r="Q98">
        <v>414</v>
      </c>
      <c r="R98">
        <v>405</v>
      </c>
      <c r="S98">
        <v>399</v>
      </c>
      <c r="T98">
        <v>247</v>
      </c>
    </row>
    <row r="99" spans="1:20" x14ac:dyDescent="0.35">
      <c r="A99" s="1">
        <v>45888</v>
      </c>
      <c r="B99" s="2">
        <v>0.83885761574074069</v>
      </c>
      <c r="C99">
        <v>79</v>
      </c>
      <c r="D99">
        <v>212</v>
      </c>
      <c r="E99">
        <v>0</v>
      </c>
      <c r="F99">
        <v>0</v>
      </c>
      <c r="G99">
        <v>0</v>
      </c>
      <c r="H99">
        <v>2368</v>
      </c>
      <c r="I99">
        <v>1784</v>
      </c>
      <c r="J99">
        <v>0</v>
      </c>
      <c r="K99">
        <v>100</v>
      </c>
      <c r="L99">
        <v>4010</v>
      </c>
      <c r="M99">
        <v>4011</v>
      </c>
      <c r="N99">
        <v>289</v>
      </c>
      <c r="O99">
        <v>4012</v>
      </c>
      <c r="P99">
        <v>4008</v>
      </c>
      <c r="Q99">
        <v>416</v>
      </c>
      <c r="R99">
        <v>405</v>
      </c>
      <c r="S99">
        <v>398</v>
      </c>
      <c r="T99">
        <v>166</v>
      </c>
    </row>
    <row r="100" spans="1:20" x14ac:dyDescent="0.35">
      <c r="A100" s="1">
        <v>45888</v>
      </c>
      <c r="B100" s="2">
        <v>0.83887359953703711</v>
      </c>
      <c r="C100">
        <v>79</v>
      </c>
      <c r="D100">
        <v>217</v>
      </c>
      <c r="E100">
        <v>0</v>
      </c>
      <c r="F100">
        <v>0</v>
      </c>
      <c r="G100">
        <v>0</v>
      </c>
      <c r="H100">
        <v>2368</v>
      </c>
      <c r="I100">
        <v>1784</v>
      </c>
      <c r="J100">
        <v>0</v>
      </c>
      <c r="K100">
        <v>100</v>
      </c>
      <c r="L100">
        <v>4010</v>
      </c>
      <c r="M100">
        <v>4012</v>
      </c>
      <c r="N100">
        <v>293</v>
      </c>
      <c r="O100">
        <v>4011</v>
      </c>
      <c r="P100">
        <v>4008</v>
      </c>
      <c r="Q100">
        <v>419</v>
      </c>
      <c r="R100">
        <v>405</v>
      </c>
      <c r="S100">
        <v>398</v>
      </c>
      <c r="T100">
        <v>192</v>
      </c>
    </row>
    <row r="101" spans="1:20" x14ac:dyDescent="0.35">
      <c r="A101" s="1">
        <v>45888</v>
      </c>
      <c r="B101" s="2">
        <v>0.83888931712962955</v>
      </c>
      <c r="C101">
        <v>79</v>
      </c>
      <c r="D101">
        <v>222</v>
      </c>
      <c r="E101">
        <v>0</v>
      </c>
      <c r="F101">
        <v>0</v>
      </c>
      <c r="G101">
        <v>0</v>
      </c>
      <c r="H101">
        <v>2368</v>
      </c>
      <c r="I101">
        <v>1784</v>
      </c>
      <c r="J101">
        <v>0</v>
      </c>
      <c r="K101">
        <v>100</v>
      </c>
      <c r="L101">
        <v>4010</v>
      </c>
      <c r="M101">
        <v>4012</v>
      </c>
      <c r="N101">
        <v>296</v>
      </c>
      <c r="O101">
        <v>4012</v>
      </c>
      <c r="P101">
        <v>4008</v>
      </c>
      <c r="Q101">
        <v>419</v>
      </c>
      <c r="R101">
        <v>404</v>
      </c>
      <c r="S101">
        <v>398</v>
      </c>
      <c r="T101">
        <v>226</v>
      </c>
    </row>
    <row r="102" spans="1:20" x14ac:dyDescent="0.35">
      <c r="A102" s="1">
        <v>45888</v>
      </c>
      <c r="B102" s="2">
        <v>0.83890511574074078</v>
      </c>
      <c r="C102">
        <v>79</v>
      </c>
      <c r="D102">
        <v>227</v>
      </c>
      <c r="E102">
        <v>0</v>
      </c>
      <c r="F102">
        <v>0</v>
      </c>
      <c r="G102">
        <v>0</v>
      </c>
      <c r="H102">
        <v>2368</v>
      </c>
      <c r="I102">
        <v>1784</v>
      </c>
      <c r="J102">
        <v>0</v>
      </c>
      <c r="K102">
        <v>100</v>
      </c>
      <c r="L102">
        <v>4010</v>
      </c>
      <c r="M102">
        <v>4013</v>
      </c>
      <c r="N102">
        <v>299</v>
      </c>
      <c r="O102">
        <v>4012</v>
      </c>
      <c r="P102">
        <v>4008</v>
      </c>
      <c r="Q102">
        <v>419</v>
      </c>
      <c r="R102">
        <v>405</v>
      </c>
      <c r="S102">
        <v>398</v>
      </c>
      <c r="T102">
        <v>49</v>
      </c>
    </row>
    <row r="103" spans="1:20" x14ac:dyDescent="0.35">
      <c r="A103" s="1">
        <v>45888</v>
      </c>
      <c r="B103" s="2">
        <v>0.83892083333333323</v>
      </c>
      <c r="C103">
        <v>79</v>
      </c>
      <c r="D103">
        <v>232</v>
      </c>
      <c r="E103">
        <v>0</v>
      </c>
      <c r="F103">
        <v>0</v>
      </c>
      <c r="G103">
        <v>0</v>
      </c>
      <c r="H103">
        <v>2368</v>
      </c>
      <c r="I103">
        <v>1784</v>
      </c>
      <c r="J103">
        <v>0</v>
      </c>
      <c r="K103">
        <v>100</v>
      </c>
      <c r="L103">
        <v>4011</v>
      </c>
      <c r="M103">
        <v>4013</v>
      </c>
      <c r="N103">
        <v>301</v>
      </c>
      <c r="O103">
        <v>4012</v>
      </c>
      <c r="P103">
        <v>4008</v>
      </c>
      <c r="Q103">
        <v>418</v>
      </c>
      <c r="R103">
        <v>405</v>
      </c>
      <c r="S103">
        <v>398</v>
      </c>
      <c r="T103">
        <v>17</v>
      </c>
    </row>
    <row r="104" spans="1:20" x14ac:dyDescent="0.35">
      <c r="A104" s="1">
        <v>45888</v>
      </c>
      <c r="B104" s="2">
        <v>0.83893656250000004</v>
      </c>
      <c r="C104">
        <v>79</v>
      </c>
      <c r="D104">
        <v>237</v>
      </c>
      <c r="E104">
        <v>0</v>
      </c>
      <c r="F104">
        <v>0</v>
      </c>
      <c r="G104">
        <v>0</v>
      </c>
      <c r="H104">
        <v>2368</v>
      </c>
      <c r="I104">
        <v>1784</v>
      </c>
      <c r="J104">
        <v>0</v>
      </c>
      <c r="K104">
        <v>100</v>
      </c>
      <c r="L104">
        <v>4010</v>
      </c>
      <c r="M104">
        <v>4012</v>
      </c>
      <c r="N104">
        <v>304</v>
      </c>
      <c r="O104">
        <v>4012</v>
      </c>
      <c r="P104">
        <v>4008</v>
      </c>
      <c r="Q104">
        <v>415</v>
      </c>
      <c r="R104">
        <v>404</v>
      </c>
      <c r="S104">
        <v>398</v>
      </c>
      <c r="T104">
        <v>83</v>
      </c>
    </row>
    <row r="105" spans="1:20" x14ac:dyDescent="0.35">
      <c r="A105" s="1">
        <v>45888</v>
      </c>
      <c r="B105" s="2">
        <v>0.83895226851851845</v>
      </c>
      <c r="C105">
        <v>79</v>
      </c>
      <c r="D105">
        <v>242</v>
      </c>
      <c r="E105">
        <v>0</v>
      </c>
      <c r="F105">
        <v>0</v>
      </c>
      <c r="G105">
        <v>0</v>
      </c>
      <c r="H105">
        <v>2368</v>
      </c>
      <c r="I105">
        <v>1784</v>
      </c>
      <c r="J105">
        <v>0</v>
      </c>
      <c r="K105">
        <v>100</v>
      </c>
      <c r="L105">
        <v>4010</v>
      </c>
      <c r="M105">
        <v>4012</v>
      </c>
      <c r="N105">
        <v>306</v>
      </c>
      <c r="O105">
        <v>4012</v>
      </c>
      <c r="P105">
        <v>4008</v>
      </c>
      <c r="Q105">
        <v>414</v>
      </c>
      <c r="R105">
        <v>404</v>
      </c>
      <c r="S105">
        <v>398</v>
      </c>
      <c r="T105">
        <v>171</v>
      </c>
    </row>
    <row r="106" spans="1:20" x14ac:dyDescent="0.35">
      <c r="A106" s="1">
        <v>45888</v>
      </c>
      <c r="B106" s="2">
        <v>0.83896826388888879</v>
      </c>
      <c r="C106">
        <v>79</v>
      </c>
      <c r="D106">
        <v>247</v>
      </c>
      <c r="E106">
        <v>0</v>
      </c>
      <c r="F106">
        <v>0</v>
      </c>
      <c r="G106">
        <v>0</v>
      </c>
      <c r="H106">
        <v>2368</v>
      </c>
      <c r="I106">
        <v>1784</v>
      </c>
      <c r="J106">
        <v>0</v>
      </c>
      <c r="K106">
        <v>100</v>
      </c>
      <c r="L106">
        <v>4009</v>
      </c>
      <c r="M106">
        <v>4012</v>
      </c>
      <c r="N106">
        <v>310</v>
      </c>
      <c r="O106">
        <v>4012</v>
      </c>
      <c r="P106">
        <v>4007</v>
      </c>
      <c r="Q106">
        <v>410</v>
      </c>
      <c r="R106">
        <v>404</v>
      </c>
      <c r="S106">
        <v>398</v>
      </c>
      <c r="T106">
        <v>191</v>
      </c>
    </row>
    <row r="107" spans="1:20" x14ac:dyDescent="0.35">
      <c r="A107" s="1">
        <v>45888</v>
      </c>
      <c r="B107" s="2">
        <v>0.83898405092592587</v>
      </c>
      <c r="C107">
        <v>79</v>
      </c>
      <c r="D107">
        <v>252</v>
      </c>
      <c r="E107">
        <v>0</v>
      </c>
      <c r="F107">
        <v>0</v>
      </c>
      <c r="G107">
        <v>0</v>
      </c>
      <c r="H107">
        <v>2368</v>
      </c>
      <c r="I107">
        <v>1784</v>
      </c>
      <c r="J107">
        <v>0</v>
      </c>
      <c r="K107">
        <v>100</v>
      </c>
      <c r="L107">
        <v>4010</v>
      </c>
      <c r="M107">
        <v>4013</v>
      </c>
      <c r="N107">
        <v>312</v>
      </c>
      <c r="O107">
        <v>4012</v>
      </c>
      <c r="P107">
        <v>4008</v>
      </c>
      <c r="Q107">
        <v>404</v>
      </c>
      <c r="R107">
        <v>404</v>
      </c>
      <c r="S107">
        <v>399</v>
      </c>
      <c r="T107">
        <v>80</v>
      </c>
    </row>
    <row r="108" spans="1:20" x14ac:dyDescent="0.35">
      <c r="A108" s="1">
        <v>45888</v>
      </c>
      <c r="B108" s="2">
        <v>0.83899976851851854</v>
      </c>
      <c r="C108">
        <v>79</v>
      </c>
      <c r="D108">
        <v>1</v>
      </c>
      <c r="E108">
        <v>0</v>
      </c>
      <c r="F108">
        <v>0</v>
      </c>
      <c r="G108">
        <v>0</v>
      </c>
      <c r="H108">
        <v>2368</v>
      </c>
      <c r="I108">
        <v>1784</v>
      </c>
      <c r="J108">
        <v>0</v>
      </c>
      <c r="K108">
        <v>100</v>
      </c>
      <c r="L108">
        <v>4010</v>
      </c>
      <c r="M108">
        <v>4013</v>
      </c>
      <c r="N108">
        <v>315</v>
      </c>
      <c r="O108">
        <v>4012</v>
      </c>
      <c r="P108">
        <v>4008</v>
      </c>
      <c r="Q108">
        <v>400</v>
      </c>
      <c r="R108">
        <v>405</v>
      </c>
      <c r="S108">
        <v>398</v>
      </c>
      <c r="T108">
        <v>111</v>
      </c>
    </row>
    <row r="109" spans="1:20" x14ac:dyDescent="0.35">
      <c r="A109" s="1">
        <v>45888</v>
      </c>
      <c r="B109" s="2">
        <v>0.83901556712962966</v>
      </c>
      <c r="C109">
        <v>79</v>
      </c>
      <c r="D109">
        <v>6</v>
      </c>
      <c r="E109">
        <v>0</v>
      </c>
      <c r="F109">
        <v>0</v>
      </c>
      <c r="G109">
        <v>0</v>
      </c>
      <c r="H109">
        <v>2368</v>
      </c>
      <c r="I109">
        <v>1784</v>
      </c>
      <c r="J109">
        <v>0</v>
      </c>
      <c r="K109">
        <v>100</v>
      </c>
      <c r="L109">
        <v>4010</v>
      </c>
      <c r="M109">
        <v>4013</v>
      </c>
      <c r="N109">
        <v>320</v>
      </c>
      <c r="O109">
        <v>4011</v>
      </c>
      <c r="P109">
        <v>4009</v>
      </c>
      <c r="Q109">
        <v>394</v>
      </c>
      <c r="R109">
        <v>404</v>
      </c>
      <c r="S109">
        <v>398</v>
      </c>
      <c r="T109">
        <v>244</v>
      </c>
    </row>
    <row r="110" spans="1:20" x14ac:dyDescent="0.35">
      <c r="A110" s="1">
        <v>45888</v>
      </c>
      <c r="B110" s="2">
        <v>0.83903128472222221</v>
      </c>
      <c r="C110">
        <v>79</v>
      </c>
      <c r="D110">
        <v>11</v>
      </c>
      <c r="E110">
        <v>0</v>
      </c>
      <c r="F110">
        <v>0</v>
      </c>
      <c r="G110">
        <v>0</v>
      </c>
      <c r="H110">
        <v>2368</v>
      </c>
      <c r="I110">
        <v>1784</v>
      </c>
      <c r="J110">
        <v>0</v>
      </c>
      <c r="K110">
        <v>100</v>
      </c>
      <c r="L110">
        <v>4010</v>
      </c>
      <c r="M110">
        <v>4012</v>
      </c>
      <c r="N110">
        <v>322</v>
      </c>
      <c r="O110">
        <v>4012</v>
      </c>
      <c r="P110">
        <v>4008</v>
      </c>
      <c r="Q110">
        <v>388</v>
      </c>
      <c r="R110">
        <v>405</v>
      </c>
      <c r="S110">
        <v>398</v>
      </c>
      <c r="T110">
        <v>225</v>
      </c>
    </row>
    <row r="111" spans="1:20" x14ac:dyDescent="0.35">
      <c r="A111" s="1">
        <v>45888</v>
      </c>
      <c r="B111" s="2">
        <v>0.83904702546296295</v>
      </c>
      <c r="C111">
        <v>79</v>
      </c>
      <c r="D111">
        <v>16</v>
      </c>
      <c r="E111">
        <v>0</v>
      </c>
      <c r="F111">
        <v>0</v>
      </c>
      <c r="G111">
        <v>0</v>
      </c>
      <c r="H111">
        <v>2368</v>
      </c>
      <c r="I111">
        <v>1784</v>
      </c>
      <c r="J111">
        <v>0</v>
      </c>
      <c r="K111">
        <v>100</v>
      </c>
      <c r="L111">
        <v>4010</v>
      </c>
      <c r="M111">
        <v>4012</v>
      </c>
      <c r="N111">
        <v>326</v>
      </c>
      <c r="O111">
        <v>4012</v>
      </c>
      <c r="P111">
        <v>4008</v>
      </c>
      <c r="Q111">
        <v>382</v>
      </c>
      <c r="R111">
        <v>404</v>
      </c>
      <c r="S111">
        <v>399</v>
      </c>
      <c r="T111">
        <v>121</v>
      </c>
    </row>
    <row r="112" spans="1:20" x14ac:dyDescent="0.35">
      <c r="A112" s="1">
        <v>45888</v>
      </c>
      <c r="B112" s="2">
        <v>0.83906278935185175</v>
      </c>
      <c r="C112">
        <v>79</v>
      </c>
      <c r="D112">
        <v>21</v>
      </c>
      <c r="E112">
        <v>0</v>
      </c>
      <c r="F112">
        <v>0</v>
      </c>
      <c r="G112">
        <v>0</v>
      </c>
      <c r="H112">
        <v>2368</v>
      </c>
      <c r="I112">
        <v>1784</v>
      </c>
      <c r="J112">
        <v>0</v>
      </c>
      <c r="K112">
        <v>100</v>
      </c>
      <c r="L112">
        <v>4010</v>
      </c>
      <c r="M112">
        <v>4012</v>
      </c>
      <c r="N112">
        <v>328</v>
      </c>
      <c r="O112">
        <v>4011</v>
      </c>
      <c r="P112">
        <v>4008</v>
      </c>
      <c r="Q112">
        <v>377</v>
      </c>
      <c r="R112">
        <v>404</v>
      </c>
      <c r="S112">
        <v>398</v>
      </c>
      <c r="T112">
        <v>67</v>
      </c>
    </row>
    <row r="113" spans="1:20" x14ac:dyDescent="0.35">
      <c r="A113" s="1">
        <v>45888</v>
      </c>
      <c r="B113" s="2">
        <v>0.83907851851851856</v>
      </c>
      <c r="C113">
        <v>79</v>
      </c>
      <c r="D113">
        <v>26</v>
      </c>
      <c r="E113">
        <v>0</v>
      </c>
      <c r="F113">
        <v>0</v>
      </c>
      <c r="G113">
        <v>0</v>
      </c>
      <c r="H113">
        <v>2368</v>
      </c>
      <c r="I113">
        <v>1784</v>
      </c>
      <c r="J113">
        <v>0</v>
      </c>
      <c r="K113">
        <v>100</v>
      </c>
      <c r="L113">
        <v>4010</v>
      </c>
      <c r="M113">
        <v>4012</v>
      </c>
      <c r="N113">
        <v>331</v>
      </c>
      <c r="O113">
        <v>4012</v>
      </c>
      <c r="P113">
        <v>4008</v>
      </c>
      <c r="Q113">
        <v>370</v>
      </c>
      <c r="R113">
        <v>404</v>
      </c>
      <c r="S113">
        <v>398</v>
      </c>
      <c r="T113">
        <v>248</v>
      </c>
    </row>
    <row r="114" spans="1:20" x14ac:dyDescent="0.35">
      <c r="A114" s="1">
        <v>45888</v>
      </c>
      <c r="B114" s="2">
        <v>0.83909427083333332</v>
      </c>
      <c r="C114">
        <v>79</v>
      </c>
      <c r="D114">
        <v>31</v>
      </c>
      <c r="E114">
        <v>0</v>
      </c>
      <c r="F114">
        <v>0</v>
      </c>
      <c r="G114">
        <v>0</v>
      </c>
      <c r="H114">
        <v>2368</v>
      </c>
      <c r="I114">
        <v>1784</v>
      </c>
      <c r="J114">
        <v>0</v>
      </c>
      <c r="K114">
        <v>100</v>
      </c>
      <c r="L114">
        <v>4010</v>
      </c>
      <c r="M114">
        <v>4013</v>
      </c>
      <c r="N114">
        <v>334</v>
      </c>
      <c r="O114">
        <v>4011</v>
      </c>
      <c r="P114">
        <v>4009</v>
      </c>
      <c r="Q114">
        <v>364</v>
      </c>
      <c r="R114">
        <v>404</v>
      </c>
      <c r="S114">
        <v>398</v>
      </c>
      <c r="T114">
        <v>30</v>
      </c>
    </row>
    <row r="115" spans="1:20" x14ac:dyDescent="0.35">
      <c r="A115" s="1">
        <v>45888</v>
      </c>
      <c r="B115" s="2">
        <v>0.83911001157407406</v>
      </c>
      <c r="C115">
        <v>79</v>
      </c>
      <c r="D115">
        <v>36</v>
      </c>
      <c r="E115">
        <v>0</v>
      </c>
      <c r="F115">
        <v>0</v>
      </c>
      <c r="G115">
        <v>0</v>
      </c>
      <c r="H115">
        <v>2368</v>
      </c>
      <c r="I115">
        <v>1784</v>
      </c>
      <c r="J115">
        <v>0</v>
      </c>
      <c r="K115">
        <v>100</v>
      </c>
      <c r="L115">
        <v>4011</v>
      </c>
      <c r="M115">
        <v>4012</v>
      </c>
      <c r="N115">
        <v>336</v>
      </c>
      <c r="O115">
        <v>4012</v>
      </c>
      <c r="P115">
        <v>4008</v>
      </c>
      <c r="Q115">
        <v>358</v>
      </c>
      <c r="R115">
        <v>404</v>
      </c>
      <c r="S115">
        <v>398</v>
      </c>
      <c r="T115">
        <v>145</v>
      </c>
    </row>
    <row r="116" spans="1:20" x14ac:dyDescent="0.35">
      <c r="A116" s="1">
        <v>45888</v>
      </c>
      <c r="B116" s="2">
        <v>0.83912575231481479</v>
      </c>
      <c r="C116">
        <v>79</v>
      </c>
      <c r="D116">
        <v>41</v>
      </c>
      <c r="E116">
        <v>0</v>
      </c>
      <c r="F116">
        <v>0</v>
      </c>
      <c r="G116">
        <v>0</v>
      </c>
      <c r="H116">
        <v>2368</v>
      </c>
      <c r="I116">
        <v>1784</v>
      </c>
      <c r="J116">
        <v>0</v>
      </c>
      <c r="K116">
        <v>100</v>
      </c>
      <c r="L116">
        <v>4011</v>
      </c>
      <c r="M116">
        <v>4013</v>
      </c>
      <c r="N116">
        <v>338</v>
      </c>
      <c r="O116">
        <v>4011</v>
      </c>
      <c r="P116">
        <v>4008</v>
      </c>
      <c r="Q116">
        <v>351</v>
      </c>
      <c r="R116">
        <v>404</v>
      </c>
      <c r="S116">
        <v>399</v>
      </c>
      <c r="T116">
        <v>72</v>
      </c>
    </row>
    <row r="117" spans="1:20" x14ac:dyDescent="0.35">
      <c r="A117" s="1">
        <v>45888</v>
      </c>
      <c r="B117" s="2">
        <v>0.83914144675925917</v>
      </c>
      <c r="C117">
        <v>79</v>
      </c>
      <c r="D117">
        <v>46</v>
      </c>
      <c r="E117">
        <v>0</v>
      </c>
      <c r="F117">
        <v>0</v>
      </c>
      <c r="G117">
        <v>0</v>
      </c>
      <c r="H117">
        <v>2368</v>
      </c>
      <c r="I117">
        <v>1784</v>
      </c>
      <c r="J117">
        <v>0</v>
      </c>
      <c r="K117">
        <v>100</v>
      </c>
      <c r="L117">
        <v>4011</v>
      </c>
      <c r="M117">
        <v>4012</v>
      </c>
      <c r="N117">
        <v>340</v>
      </c>
      <c r="O117">
        <v>4011</v>
      </c>
      <c r="P117">
        <v>4008</v>
      </c>
      <c r="Q117">
        <v>344</v>
      </c>
      <c r="R117">
        <v>404</v>
      </c>
      <c r="S117">
        <v>398</v>
      </c>
      <c r="T117">
        <v>10</v>
      </c>
    </row>
    <row r="118" spans="1:20" x14ac:dyDescent="0.35">
      <c r="A118" s="1">
        <v>45888</v>
      </c>
      <c r="B118" s="2">
        <v>0.83915722222222211</v>
      </c>
      <c r="C118">
        <v>79</v>
      </c>
      <c r="D118">
        <v>51</v>
      </c>
      <c r="E118">
        <v>0</v>
      </c>
      <c r="F118">
        <v>0</v>
      </c>
      <c r="G118">
        <v>0</v>
      </c>
      <c r="H118">
        <v>2368</v>
      </c>
      <c r="I118">
        <v>1784</v>
      </c>
      <c r="J118">
        <v>0</v>
      </c>
      <c r="K118">
        <v>100</v>
      </c>
      <c r="L118">
        <v>4010</v>
      </c>
      <c r="M118">
        <v>4012</v>
      </c>
      <c r="N118">
        <v>343</v>
      </c>
      <c r="O118">
        <v>4012</v>
      </c>
      <c r="P118">
        <v>4008</v>
      </c>
      <c r="Q118">
        <v>333</v>
      </c>
      <c r="R118">
        <v>404</v>
      </c>
      <c r="S118">
        <v>398</v>
      </c>
      <c r="T118">
        <v>241</v>
      </c>
    </row>
    <row r="119" spans="1:20" x14ac:dyDescent="0.35">
      <c r="A119" s="1">
        <v>45888</v>
      </c>
      <c r="B119" s="2">
        <v>0.83917297453703699</v>
      </c>
      <c r="C119">
        <v>79</v>
      </c>
      <c r="D119">
        <v>56</v>
      </c>
      <c r="E119">
        <v>0</v>
      </c>
      <c r="F119">
        <v>0</v>
      </c>
      <c r="G119">
        <v>0</v>
      </c>
      <c r="H119">
        <v>2368</v>
      </c>
      <c r="I119">
        <v>1784</v>
      </c>
      <c r="J119">
        <v>0</v>
      </c>
      <c r="K119">
        <v>100</v>
      </c>
      <c r="L119">
        <v>4010</v>
      </c>
      <c r="M119">
        <v>4012</v>
      </c>
      <c r="N119">
        <v>346</v>
      </c>
      <c r="O119">
        <v>4012</v>
      </c>
      <c r="P119">
        <v>4008</v>
      </c>
      <c r="Q119">
        <v>319</v>
      </c>
      <c r="R119">
        <v>404</v>
      </c>
      <c r="S119">
        <v>398</v>
      </c>
      <c r="T119">
        <v>133</v>
      </c>
    </row>
    <row r="120" spans="1:20" x14ac:dyDescent="0.35">
      <c r="A120" s="1">
        <v>45888</v>
      </c>
      <c r="B120" s="2">
        <v>0.83918877314814821</v>
      </c>
      <c r="C120">
        <v>79</v>
      </c>
      <c r="D120">
        <v>61</v>
      </c>
      <c r="E120">
        <v>0</v>
      </c>
      <c r="F120">
        <v>0</v>
      </c>
      <c r="G120">
        <v>0</v>
      </c>
      <c r="H120">
        <v>2368</v>
      </c>
      <c r="I120">
        <v>1784</v>
      </c>
      <c r="J120">
        <v>0</v>
      </c>
      <c r="K120">
        <v>100</v>
      </c>
      <c r="L120">
        <v>4010</v>
      </c>
      <c r="M120">
        <v>4012</v>
      </c>
      <c r="N120">
        <v>350</v>
      </c>
      <c r="O120">
        <v>4012</v>
      </c>
      <c r="P120">
        <v>4007</v>
      </c>
      <c r="Q120">
        <v>301</v>
      </c>
      <c r="R120">
        <v>405</v>
      </c>
      <c r="S120">
        <v>398</v>
      </c>
      <c r="T120">
        <v>91</v>
      </c>
    </row>
    <row r="121" spans="1:20" x14ac:dyDescent="0.35">
      <c r="A121" s="1">
        <v>45888</v>
      </c>
      <c r="B121" s="2">
        <v>0.83920447916666674</v>
      </c>
      <c r="C121">
        <v>79</v>
      </c>
      <c r="D121">
        <v>66</v>
      </c>
      <c r="E121">
        <v>0</v>
      </c>
      <c r="F121">
        <v>0</v>
      </c>
      <c r="G121">
        <v>0</v>
      </c>
      <c r="H121">
        <v>2368</v>
      </c>
      <c r="I121">
        <v>1784</v>
      </c>
      <c r="J121">
        <v>0</v>
      </c>
      <c r="K121">
        <v>100</v>
      </c>
      <c r="L121">
        <v>4011</v>
      </c>
      <c r="M121">
        <v>4013</v>
      </c>
      <c r="N121">
        <v>354</v>
      </c>
      <c r="O121">
        <v>4011</v>
      </c>
      <c r="P121">
        <v>4006</v>
      </c>
      <c r="Q121">
        <v>285</v>
      </c>
      <c r="R121">
        <v>405</v>
      </c>
      <c r="S121">
        <v>398</v>
      </c>
      <c r="T121">
        <v>221</v>
      </c>
    </row>
    <row r="122" spans="1:20" x14ac:dyDescent="0.35">
      <c r="A122" s="1">
        <v>45888</v>
      </c>
      <c r="B122" s="2">
        <v>0.83922020833333333</v>
      </c>
      <c r="C122">
        <v>79</v>
      </c>
      <c r="D122">
        <v>71</v>
      </c>
      <c r="E122">
        <v>0</v>
      </c>
      <c r="F122">
        <v>0</v>
      </c>
      <c r="G122">
        <v>0</v>
      </c>
      <c r="H122">
        <v>2368</v>
      </c>
      <c r="I122">
        <v>1784</v>
      </c>
      <c r="J122">
        <v>0</v>
      </c>
      <c r="K122">
        <v>100</v>
      </c>
      <c r="L122">
        <v>4011</v>
      </c>
      <c r="M122">
        <v>4012</v>
      </c>
      <c r="N122">
        <v>358</v>
      </c>
      <c r="O122">
        <v>4011</v>
      </c>
      <c r="P122">
        <v>4004</v>
      </c>
      <c r="Q122">
        <v>278</v>
      </c>
      <c r="R122">
        <v>404</v>
      </c>
      <c r="S122">
        <v>398</v>
      </c>
      <c r="T122">
        <v>158</v>
      </c>
    </row>
    <row r="123" spans="1:20" x14ac:dyDescent="0.35">
      <c r="A123" s="1">
        <v>45888</v>
      </c>
      <c r="B123" s="2">
        <v>0.83923593750000003</v>
      </c>
      <c r="C123">
        <v>79</v>
      </c>
      <c r="D123">
        <v>76</v>
      </c>
      <c r="E123">
        <v>0</v>
      </c>
      <c r="F123">
        <v>0</v>
      </c>
      <c r="G123">
        <v>0</v>
      </c>
      <c r="H123">
        <v>2368</v>
      </c>
      <c r="I123">
        <v>1784</v>
      </c>
      <c r="J123">
        <v>0</v>
      </c>
      <c r="K123">
        <v>100</v>
      </c>
      <c r="L123">
        <v>4011</v>
      </c>
      <c r="M123">
        <v>4013</v>
      </c>
      <c r="N123">
        <v>360</v>
      </c>
      <c r="O123">
        <v>4012</v>
      </c>
      <c r="P123">
        <v>4004</v>
      </c>
      <c r="Q123">
        <v>275</v>
      </c>
      <c r="R123">
        <v>404</v>
      </c>
      <c r="S123">
        <v>398</v>
      </c>
      <c r="T123">
        <v>128</v>
      </c>
    </row>
    <row r="124" spans="1:20" x14ac:dyDescent="0.35">
      <c r="A124" s="1">
        <v>45888</v>
      </c>
      <c r="B124" s="2">
        <v>0.83925186342592595</v>
      </c>
      <c r="C124">
        <v>79</v>
      </c>
      <c r="D124">
        <v>81</v>
      </c>
      <c r="E124">
        <v>0</v>
      </c>
      <c r="F124">
        <v>0</v>
      </c>
      <c r="G124">
        <v>0</v>
      </c>
      <c r="H124">
        <v>2368</v>
      </c>
      <c r="I124">
        <v>1784</v>
      </c>
      <c r="J124">
        <v>0</v>
      </c>
      <c r="K124">
        <v>100</v>
      </c>
      <c r="L124">
        <v>4010</v>
      </c>
      <c r="M124">
        <v>4013</v>
      </c>
      <c r="N124">
        <v>365</v>
      </c>
      <c r="O124">
        <v>4012</v>
      </c>
      <c r="P124">
        <v>4003</v>
      </c>
      <c r="Q124">
        <v>273</v>
      </c>
      <c r="R124">
        <v>405</v>
      </c>
      <c r="S124">
        <v>398</v>
      </c>
      <c r="T124">
        <v>50</v>
      </c>
    </row>
    <row r="125" spans="1:20" x14ac:dyDescent="0.35">
      <c r="A125" s="1">
        <v>45888</v>
      </c>
      <c r="B125" s="2">
        <v>0.83926756944444436</v>
      </c>
      <c r="C125">
        <v>79</v>
      </c>
      <c r="D125">
        <v>86</v>
      </c>
      <c r="E125">
        <v>0</v>
      </c>
      <c r="F125">
        <v>0</v>
      </c>
      <c r="G125">
        <v>0</v>
      </c>
      <c r="H125">
        <v>2368</v>
      </c>
      <c r="I125">
        <v>1784</v>
      </c>
      <c r="J125">
        <v>0</v>
      </c>
      <c r="K125">
        <v>100</v>
      </c>
      <c r="L125">
        <v>4010</v>
      </c>
      <c r="M125">
        <v>4012</v>
      </c>
      <c r="N125">
        <v>370</v>
      </c>
      <c r="O125">
        <v>4011</v>
      </c>
      <c r="P125">
        <v>4003</v>
      </c>
      <c r="Q125">
        <v>269</v>
      </c>
      <c r="R125">
        <v>405</v>
      </c>
      <c r="S125">
        <v>398</v>
      </c>
      <c r="T125">
        <v>130</v>
      </c>
    </row>
    <row r="126" spans="1:20" x14ac:dyDescent="0.35">
      <c r="A126" s="1">
        <v>45888</v>
      </c>
      <c r="B126" s="2">
        <v>0.83928328703703703</v>
      </c>
      <c r="C126">
        <v>79</v>
      </c>
      <c r="D126">
        <v>91</v>
      </c>
      <c r="E126">
        <v>0</v>
      </c>
      <c r="F126">
        <v>0</v>
      </c>
      <c r="G126">
        <v>0</v>
      </c>
      <c r="H126">
        <v>2368</v>
      </c>
      <c r="I126">
        <v>1784</v>
      </c>
      <c r="J126">
        <v>0</v>
      </c>
      <c r="K126">
        <v>100</v>
      </c>
      <c r="L126">
        <v>4010</v>
      </c>
      <c r="M126">
        <v>4012</v>
      </c>
      <c r="N126">
        <v>375</v>
      </c>
      <c r="O126">
        <v>4012</v>
      </c>
      <c r="P126">
        <v>4000</v>
      </c>
      <c r="Q126">
        <v>262</v>
      </c>
      <c r="R126">
        <v>405</v>
      </c>
      <c r="S126">
        <v>398</v>
      </c>
      <c r="T126">
        <v>97</v>
      </c>
    </row>
    <row r="127" spans="1:20" x14ac:dyDescent="0.35">
      <c r="A127" s="1">
        <v>45888</v>
      </c>
      <c r="B127" s="2">
        <v>0.83929906249999997</v>
      </c>
      <c r="C127">
        <v>79</v>
      </c>
      <c r="D127">
        <v>96</v>
      </c>
      <c r="E127">
        <v>0</v>
      </c>
      <c r="F127">
        <v>0</v>
      </c>
      <c r="G127">
        <v>0</v>
      </c>
      <c r="H127">
        <v>2368</v>
      </c>
      <c r="I127">
        <v>1784</v>
      </c>
      <c r="J127">
        <v>0</v>
      </c>
      <c r="K127">
        <v>100</v>
      </c>
      <c r="L127">
        <v>4010</v>
      </c>
      <c r="M127">
        <v>4012</v>
      </c>
      <c r="N127">
        <v>386</v>
      </c>
      <c r="O127">
        <v>4012</v>
      </c>
      <c r="P127">
        <v>3998</v>
      </c>
      <c r="Q127">
        <v>255</v>
      </c>
      <c r="R127">
        <v>404</v>
      </c>
      <c r="S127">
        <v>398</v>
      </c>
      <c r="T127">
        <v>137</v>
      </c>
    </row>
    <row r="128" spans="1:20" x14ac:dyDescent="0.35">
      <c r="A128" s="1">
        <v>45888</v>
      </c>
      <c r="B128" s="2">
        <v>0.83931487268518512</v>
      </c>
      <c r="C128">
        <v>79</v>
      </c>
      <c r="D128">
        <v>101</v>
      </c>
      <c r="E128">
        <v>0</v>
      </c>
      <c r="F128">
        <v>0</v>
      </c>
      <c r="G128">
        <v>0</v>
      </c>
      <c r="H128">
        <v>2368</v>
      </c>
      <c r="I128">
        <v>1784</v>
      </c>
      <c r="J128">
        <v>0</v>
      </c>
      <c r="K128">
        <v>100</v>
      </c>
      <c r="L128">
        <v>4011</v>
      </c>
      <c r="M128">
        <v>4013</v>
      </c>
      <c r="N128">
        <v>412</v>
      </c>
      <c r="O128">
        <v>4012</v>
      </c>
      <c r="P128">
        <v>3996</v>
      </c>
      <c r="Q128">
        <v>250</v>
      </c>
      <c r="R128">
        <v>404</v>
      </c>
      <c r="S128">
        <v>398</v>
      </c>
      <c r="T128">
        <v>119</v>
      </c>
    </row>
    <row r="129" spans="1:20" x14ac:dyDescent="0.35">
      <c r="A129" s="1">
        <v>45888</v>
      </c>
      <c r="B129" s="2">
        <v>0.83933061342592585</v>
      </c>
      <c r="C129">
        <v>79</v>
      </c>
      <c r="D129">
        <v>106</v>
      </c>
      <c r="E129">
        <v>0</v>
      </c>
      <c r="F129">
        <v>0</v>
      </c>
      <c r="G129">
        <v>0</v>
      </c>
      <c r="H129">
        <v>2368</v>
      </c>
      <c r="I129">
        <v>1784</v>
      </c>
      <c r="J129">
        <v>0</v>
      </c>
      <c r="K129">
        <v>100</v>
      </c>
      <c r="L129">
        <v>4010</v>
      </c>
      <c r="M129">
        <v>4012</v>
      </c>
      <c r="N129">
        <v>464</v>
      </c>
      <c r="O129">
        <v>4012</v>
      </c>
      <c r="P129">
        <v>3998</v>
      </c>
      <c r="Q129">
        <v>255</v>
      </c>
      <c r="R129">
        <v>404</v>
      </c>
      <c r="S129">
        <v>398</v>
      </c>
      <c r="T129">
        <v>30</v>
      </c>
    </row>
    <row r="130" spans="1:20" x14ac:dyDescent="0.35">
      <c r="A130" s="1">
        <v>45888</v>
      </c>
      <c r="B130" s="2">
        <v>0.83934648148148139</v>
      </c>
      <c r="C130">
        <v>79</v>
      </c>
      <c r="D130">
        <v>111</v>
      </c>
      <c r="E130">
        <v>0</v>
      </c>
      <c r="F130">
        <v>0</v>
      </c>
      <c r="G130">
        <v>0</v>
      </c>
      <c r="H130">
        <v>2368</v>
      </c>
      <c r="I130">
        <v>1784</v>
      </c>
      <c r="J130">
        <v>0</v>
      </c>
      <c r="K130">
        <v>100</v>
      </c>
      <c r="L130">
        <v>4011</v>
      </c>
      <c r="M130">
        <v>4012</v>
      </c>
      <c r="N130">
        <v>478</v>
      </c>
      <c r="O130">
        <v>4011</v>
      </c>
      <c r="P130">
        <v>4003</v>
      </c>
      <c r="Q130">
        <v>269</v>
      </c>
      <c r="R130">
        <v>404</v>
      </c>
      <c r="S130">
        <v>398</v>
      </c>
      <c r="T130">
        <v>105</v>
      </c>
    </row>
    <row r="131" spans="1:20" x14ac:dyDescent="0.35">
      <c r="A131" s="1">
        <v>45888</v>
      </c>
      <c r="B131" s="2">
        <v>0.83936222222222212</v>
      </c>
      <c r="C131">
        <v>79</v>
      </c>
      <c r="D131">
        <v>116</v>
      </c>
      <c r="E131">
        <v>0</v>
      </c>
      <c r="F131">
        <v>0</v>
      </c>
      <c r="G131">
        <v>0</v>
      </c>
      <c r="H131">
        <v>2368</v>
      </c>
      <c r="I131">
        <v>1784</v>
      </c>
      <c r="J131">
        <v>0</v>
      </c>
      <c r="K131">
        <v>100</v>
      </c>
      <c r="L131">
        <v>4010</v>
      </c>
      <c r="M131">
        <v>4013</v>
      </c>
      <c r="N131">
        <v>451</v>
      </c>
      <c r="O131">
        <v>4012</v>
      </c>
      <c r="P131">
        <v>4006</v>
      </c>
      <c r="Q131">
        <v>283</v>
      </c>
      <c r="R131">
        <v>405</v>
      </c>
      <c r="S131">
        <v>398</v>
      </c>
      <c r="T131">
        <v>168</v>
      </c>
    </row>
    <row r="132" spans="1:20" x14ac:dyDescent="0.35">
      <c r="A132" s="1">
        <v>45888</v>
      </c>
      <c r="B132" s="2">
        <v>0.83937795138888893</v>
      </c>
      <c r="C132">
        <v>79</v>
      </c>
      <c r="D132">
        <v>121</v>
      </c>
      <c r="E132">
        <v>0</v>
      </c>
      <c r="F132">
        <v>0</v>
      </c>
      <c r="G132">
        <v>0</v>
      </c>
      <c r="H132">
        <v>2368</v>
      </c>
      <c r="I132">
        <v>1784</v>
      </c>
      <c r="J132">
        <v>0</v>
      </c>
      <c r="K132">
        <v>100</v>
      </c>
      <c r="L132">
        <v>4011</v>
      </c>
      <c r="M132">
        <v>4012</v>
      </c>
      <c r="N132">
        <v>402</v>
      </c>
      <c r="O132">
        <v>4012</v>
      </c>
      <c r="P132">
        <v>4007</v>
      </c>
      <c r="Q132">
        <v>292</v>
      </c>
      <c r="R132">
        <v>404</v>
      </c>
      <c r="S132">
        <v>399</v>
      </c>
      <c r="T132">
        <v>80</v>
      </c>
    </row>
    <row r="133" spans="1:20" x14ac:dyDescent="0.35">
      <c r="A133" s="1">
        <v>45888</v>
      </c>
      <c r="B133" s="2">
        <v>0.83939386574074082</v>
      </c>
      <c r="C133">
        <v>79</v>
      </c>
      <c r="D133">
        <v>126</v>
      </c>
      <c r="E133">
        <v>0</v>
      </c>
      <c r="F133">
        <v>0</v>
      </c>
      <c r="G133">
        <v>0</v>
      </c>
      <c r="H133">
        <v>2368</v>
      </c>
      <c r="I133">
        <v>1784</v>
      </c>
      <c r="J133">
        <v>0</v>
      </c>
      <c r="K133">
        <v>100</v>
      </c>
      <c r="L133">
        <v>4009</v>
      </c>
      <c r="M133">
        <v>4013</v>
      </c>
      <c r="N133">
        <v>400</v>
      </c>
      <c r="O133">
        <v>4012</v>
      </c>
      <c r="P133">
        <v>4008</v>
      </c>
      <c r="Q133">
        <v>293</v>
      </c>
      <c r="R133">
        <v>405</v>
      </c>
      <c r="S133">
        <v>398</v>
      </c>
      <c r="T133">
        <v>218</v>
      </c>
    </row>
    <row r="134" spans="1:20" x14ac:dyDescent="0.35">
      <c r="A134" s="1">
        <v>45888</v>
      </c>
      <c r="B134" s="2">
        <v>0.83940960648148155</v>
      </c>
      <c r="C134">
        <v>79</v>
      </c>
      <c r="D134">
        <v>131</v>
      </c>
      <c r="E134">
        <v>0</v>
      </c>
      <c r="F134">
        <v>0</v>
      </c>
      <c r="G134">
        <v>0</v>
      </c>
      <c r="H134">
        <v>2368</v>
      </c>
      <c r="I134">
        <v>1784</v>
      </c>
      <c r="J134">
        <v>0</v>
      </c>
      <c r="K134">
        <v>100</v>
      </c>
      <c r="L134">
        <v>4010</v>
      </c>
      <c r="M134">
        <v>4012</v>
      </c>
      <c r="N134">
        <v>404</v>
      </c>
      <c r="O134">
        <v>4012</v>
      </c>
      <c r="P134">
        <v>4008</v>
      </c>
      <c r="Q134">
        <v>292</v>
      </c>
      <c r="R134">
        <v>404</v>
      </c>
      <c r="S134">
        <v>398</v>
      </c>
      <c r="T134">
        <v>30</v>
      </c>
    </row>
    <row r="135" spans="1:20" x14ac:dyDescent="0.35">
      <c r="A135" s="1">
        <v>45888</v>
      </c>
      <c r="B135" s="2">
        <v>0.83942538194444449</v>
      </c>
      <c r="C135">
        <v>79</v>
      </c>
      <c r="D135">
        <v>136</v>
      </c>
      <c r="E135">
        <v>0</v>
      </c>
      <c r="F135">
        <v>0</v>
      </c>
      <c r="G135">
        <v>0</v>
      </c>
      <c r="H135">
        <v>2368</v>
      </c>
      <c r="I135">
        <v>1784</v>
      </c>
      <c r="J135">
        <v>0</v>
      </c>
      <c r="K135">
        <v>100</v>
      </c>
      <c r="L135">
        <v>4010</v>
      </c>
      <c r="M135">
        <v>4013</v>
      </c>
      <c r="N135">
        <v>407</v>
      </c>
      <c r="O135">
        <v>4012</v>
      </c>
      <c r="P135">
        <v>4007</v>
      </c>
      <c r="Q135">
        <v>291</v>
      </c>
      <c r="R135">
        <v>404</v>
      </c>
      <c r="S135">
        <v>398</v>
      </c>
      <c r="T135">
        <v>206</v>
      </c>
    </row>
    <row r="136" spans="1:20" x14ac:dyDescent="0.35">
      <c r="A136" s="1">
        <v>45888</v>
      </c>
      <c r="B136" s="2">
        <v>0.83944111111111108</v>
      </c>
      <c r="C136">
        <v>79</v>
      </c>
      <c r="D136">
        <v>141</v>
      </c>
      <c r="E136">
        <v>0</v>
      </c>
      <c r="F136">
        <v>0</v>
      </c>
      <c r="G136">
        <v>0</v>
      </c>
      <c r="H136">
        <v>2368</v>
      </c>
      <c r="I136">
        <v>1784</v>
      </c>
      <c r="J136">
        <v>0</v>
      </c>
      <c r="K136">
        <v>100</v>
      </c>
      <c r="L136">
        <v>4010</v>
      </c>
      <c r="M136">
        <v>4012</v>
      </c>
      <c r="N136">
        <v>410</v>
      </c>
      <c r="O136">
        <v>4011</v>
      </c>
      <c r="P136">
        <v>4007</v>
      </c>
      <c r="Q136">
        <v>287</v>
      </c>
      <c r="R136">
        <v>405</v>
      </c>
      <c r="S136">
        <v>398</v>
      </c>
      <c r="T136">
        <v>196</v>
      </c>
    </row>
    <row r="137" spans="1:20" x14ac:dyDescent="0.35">
      <c r="A137" s="1">
        <v>45888</v>
      </c>
      <c r="B137" s="2">
        <v>0.83945688657407402</v>
      </c>
      <c r="C137">
        <v>79</v>
      </c>
      <c r="D137">
        <v>146</v>
      </c>
      <c r="E137">
        <v>0</v>
      </c>
      <c r="F137">
        <v>0</v>
      </c>
      <c r="G137">
        <v>0</v>
      </c>
      <c r="H137">
        <v>2368</v>
      </c>
      <c r="I137">
        <v>1784</v>
      </c>
      <c r="J137">
        <v>0</v>
      </c>
      <c r="K137">
        <v>100</v>
      </c>
      <c r="L137">
        <v>4011</v>
      </c>
      <c r="M137">
        <v>4012</v>
      </c>
      <c r="N137">
        <v>415</v>
      </c>
      <c r="O137">
        <v>4012</v>
      </c>
      <c r="P137">
        <v>4006</v>
      </c>
      <c r="Q137">
        <v>283</v>
      </c>
      <c r="R137">
        <v>405</v>
      </c>
      <c r="S137">
        <v>398</v>
      </c>
      <c r="T137">
        <v>142</v>
      </c>
    </row>
    <row r="138" spans="1:20" x14ac:dyDescent="0.35">
      <c r="A138" s="1">
        <v>45888</v>
      </c>
      <c r="B138" s="2">
        <v>0.8394726388888889</v>
      </c>
      <c r="C138">
        <v>79</v>
      </c>
      <c r="D138">
        <v>151</v>
      </c>
      <c r="E138">
        <v>0</v>
      </c>
      <c r="F138">
        <v>0</v>
      </c>
      <c r="G138">
        <v>0</v>
      </c>
      <c r="H138">
        <v>2368</v>
      </c>
      <c r="I138">
        <v>1784</v>
      </c>
      <c r="J138">
        <v>0</v>
      </c>
      <c r="K138">
        <v>100</v>
      </c>
      <c r="L138">
        <v>4010</v>
      </c>
      <c r="M138">
        <v>4013</v>
      </c>
      <c r="N138">
        <v>419</v>
      </c>
      <c r="O138">
        <v>4011</v>
      </c>
      <c r="P138">
        <v>4006</v>
      </c>
      <c r="Q138">
        <v>280</v>
      </c>
      <c r="R138">
        <v>405</v>
      </c>
      <c r="S138">
        <v>398</v>
      </c>
      <c r="T138">
        <v>61</v>
      </c>
    </row>
    <row r="139" spans="1:20" x14ac:dyDescent="0.35">
      <c r="A139" s="1">
        <v>45888</v>
      </c>
      <c r="B139" s="2">
        <v>0.83948834490740742</v>
      </c>
      <c r="C139">
        <v>79</v>
      </c>
      <c r="D139">
        <v>156</v>
      </c>
      <c r="E139">
        <v>0</v>
      </c>
      <c r="F139">
        <v>0</v>
      </c>
      <c r="G139">
        <v>0</v>
      </c>
      <c r="H139">
        <v>2368</v>
      </c>
      <c r="I139">
        <v>1784</v>
      </c>
      <c r="J139">
        <v>0</v>
      </c>
      <c r="K139">
        <v>100</v>
      </c>
      <c r="L139">
        <v>4010</v>
      </c>
      <c r="M139">
        <v>4013</v>
      </c>
      <c r="N139">
        <v>422</v>
      </c>
      <c r="O139">
        <v>4012</v>
      </c>
      <c r="P139">
        <v>4004</v>
      </c>
      <c r="Q139">
        <v>275</v>
      </c>
      <c r="R139">
        <v>405</v>
      </c>
      <c r="S139">
        <v>398</v>
      </c>
      <c r="T139">
        <v>133</v>
      </c>
    </row>
    <row r="140" spans="1:20" x14ac:dyDescent="0.35">
      <c r="A140" s="1">
        <v>45888</v>
      </c>
      <c r="B140" s="2">
        <v>0.83950407407407412</v>
      </c>
      <c r="C140">
        <v>79</v>
      </c>
      <c r="D140">
        <v>161</v>
      </c>
      <c r="E140">
        <v>0</v>
      </c>
      <c r="F140">
        <v>0</v>
      </c>
      <c r="G140">
        <v>0</v>
      </c>
      <c r="H140">
        <v>2368</v>
      </c>
      <c r="I140">
        <v>1784</v>
      </c>
      <c r="J140">
        <v>0</v>
      </c>
      <c r="K140">
        <v>100</v>
      </c>
      <c r="L140">
        <v>4010</v>
      </c>
      <c r="M140">
        <v>4012</v>
      </c>
      <c r="N140">
        <v>424</v>
      </c>
      <c r="O140">
        <v>4012</v>
      </c>
      <c r="P140">
        <v>4002</v>
      </c>
      <c r="Q140">
        <v>269</v>
      </c>
      <c r="R140">
        <v>405</v>
      </c>
      <c r="S140">
        <v>398</v>
      </c>
      <c r="T140">
        <v>10</v>
      </c>
    </row>
    <row r="141" spans="1:20" x14ac:dyDescent="0.35">
      <c r="A141" s="1">
        <v>45888</v>
      </c>
      <c r="B141" s="2">
        <v>0.83951980324074071</v>
      </c>
      <c r="C141">
        <v>79</v>
      </c>
      <c r="D141">
        <v>166</v>
      </c>
      <c r="E141">
        <v>0</v>
      </c>
      <c r="F141">
        <v>0</v>
      </c>
      <c r="G141">
        <v>0</v>
      </c>
      <c r="H141">
        <v>2368</v>
      </c>
      <c r="I141">
        <v>1784</v>
      </c>
      <c r="J141">
        <v>0</v>
      </c>
      <c r="K141">
        <v>100</v>
      </c>
      <c r="L141">
        <v>4010</v>
      </c>
      <c r="M141">
        <v>4013</v>
      </c>
      <c r="N141">
        <v>426</v>
      </c>
      <c r="O141">
        <v>4012</v>
      </c>
      <c r="P141">
        <v>4002</v>
      </c>
      <c r="Q141">
        <v>264</v>
      </c>
      <c r="R141">
        <v>404</v>
      </c>
      <c r="S141">
        <v>398</v>
      </c>
      <c r="T141">
        <v>156</v>
      </c>
    </row>
    <row r="142" spans="1:20" x14ac:dyDescent="0.35">
      <c r="A142" s="1">
        <v>45888</v>
      </c>
      <c r="B142" s="2">
        <v>0.83953552083333338</v>
      </c>
      <c r="C142">
        <v>79</v>
      </c>
      <c r="D142">
        <v>171</v>
      </c>
      <c r="E142">
        <v>0</v>
      </c>
      <c r="F142">
        <v>0</v>
      </c>
      <c r="G142">
        <v>0</v>
      </c>
      <c r="H142">
        <v>2368</v>
      </c>
      <c r="I142">
        <v>1784</v>
      </c>
      <c r="J142">
        <v>0</v>
      </c>
      <c r="K142">
        <v>100</v>
      </c>
      <c r="L142">
        <v>4011</v>
      </c>
      <c r="M142">
        <v>4012</v>
      </c>
      <c r="N142">
        <v>427</v>
      </c>
      <c r="O142">
        <v>4012</v>
      </c>
      <c r="P142">
        <v>3999</v>
      </c>
      <c r="Q142">
        <v>259</v>
      </c>
      <c r="R142">
        <v>405</v>
      </c>
      <c r="S142">
        <v>398</v>
      </c>
      <c r="T142">
        <v>117</v>
      </c>
    </row>
    <row r="143" spans="1:20" x14ac:dyDescent="0.35">
      <c r="A143" s="1">
        <v>45888</v>
      </c>
      <c r="B143" s="2">
        <v>0.83955143518518527</v>
      </c>
      <c r="C143">
        <v>79</v>
      </c>
      <c r="D143">
        <v>176</v>
      </c>
      <c r="E143">
        <v>0</v>
      </c>
      <c r="F143">
        <v>0</v>
      </c>
      <c r="G143">
        <v>0</v>
      </c>
      <c r="H143">
        <v>2368</v>
      </c>
      <c r="I143">
        <v>1784</v>
      </c>
      <c r="J143">
        <v>0</v>
      </c>
      <c r="K143">
        <v>100</v>
      </c>
      <c r="L143">
        <v>4010</v>
      </c>
      <c r="M143">
        <v>4013</v>
      </c>
      <c r="N143">
        <v>428</v>
      </c>
      <c r="O143">
        <v>4012</v>
      </c>
      <c r="P143">
        <v>3998</v>
      </c>
      <c r="Q143">
        <v>253</v>
      </c>
      <c r="R143">
        <v>405</v>
      </c>
      <c r="S143">
        <v>398</v>
      </c>
      <c r="T143">
        <v>248</v>
      </c>
    </row>
    <row r="144" spans="1:20" x14ac:dyDescent="0.35">
      <c r="A144" s="1">
        <v>45888</v>
      </c>
      <c r="B144" s="2">
        <v>0.83956723379629628</v>
      </c>
      <c r="C144">
        <v>79</v>
      </c>
      <c r="D144">
        <v>181</v>
      </c>
      <c r="E144">
        <v>0</v>
      </c>
      <c r="F144">
        <v>0</v>
      </c>
      <c r="G144">
        <v>0</v>
      </c>
      <c r="H144">
        <v>2368</v>
      </c>
      <c r="I144">
        <v>1784</v>
      </c>
      <c r="J144">
        <v>0</v>
      </c>
      <c r="K144">
        <v>100</v>
      </c>
      <c r="L144">
        <v>4010</v>
      </c>
      <c r="M144">
        <v>4012</v>
      </c>
      <c r="N144">
        <v>430</v>
      </c>
      <c r="O144">
        <v>4011</v>
      </c>
      <c r="P144">
        <v>3996</v>
      </c>
      <c r="Q144">
        <v>250</v>
      </c>
      <c r="R144">
        <v>405</v>
      </c>
      <c r="S144">
        <v>398</v>
      </c>
      <c r="T144">
        <v>108</v>
      </c>
    </row>
    <row r="145" spans="1:20" x14ac:dyDescent="0.35">
      <c r="A145" s="1">
        <v>45888</v>
      </c>
      <c r="B145" s="2">
        <v>0.83958302083333336</v>
      </c>
      <c r="C145">
        <v>79</v>
      </c>
      <c r="D145">
        <v>186</v>
      </c>
      <c r="E145">
        <v>0</v>
      </c>
      <c r="F145">
        <v>0</v>
      </c>
      <c r="G145">
        <v>0</v>
      </c>
      <c r="H145">
        <v>2368</v>
      </c>
      <c r="I145">
        <v>1784</v>
      </c>
      <c r="J145">
        <v>0</v>
      </c>
      <c r="K145">
        <v>100</v>
      </c>
      <c r="L145">
        <v>4010</v>
      </c>
      <c r="M145">
        <v>4013</v>
      </c>
      <c r="N145">
        <v>430</v>
      </c>
      <c r="O145">
        <v>4011</v>
      </c>
      <c r="P145">
        <v>3995</v>
      </c>
      <c r="Q145">
        <v>246</v>
      </c>
      <c r="R145">
        <v>405</v>
      </c>
      <c r="S145">
        <v>398</v>
      </c>
      <c r="T145">
        <v>48</v>
      </c>
    </row>
    <row r="146" spans="1:20" x14ac:dyDescent="0.35">
      <c r="A146" s="1">
        <v>45888</v>
      </c>
      <c r="B146" s="2">
        <v>0.8395990162037037</v>
      </c>
      <c r="C146">
        <v>79</v>
      </c>
      <c r="D146">
        <v>191</v>
      </c>
      <c r="E146">
        <v>0</v>
      </c>
      <c r="F146">
        <v>0</v>
      </c>
      <c r="G146">
        <v>0</v>
      </c>
      <c r="H146">
        <v>2368</v>
      </c>
      <c r="I146">
        <v>1784</v>
      </c>
      <c r="J146">
        <v>0</v>
      </c>
      <c r="K146">
        <v>100</v>
      </c>
      <c r="L146">
        <v>4010</v>
      </c>
      <c r="M146">
        <v>4013</v>
      </c>
      <c r="N146">
        <v>430</v>
      </c>
      <c r="O146">
        <v>4012</v>
      </c>
      <c r="P146">
        <v>3995</v>
      </c>
      <c r="Q146">
        <v>242</v>
      </c>
      <c r="R146">
        <v>404</v>
      </c>
      <c r="S146">
        <v>398</v>
      </c>
      <c r="T146">
        <v>122</v>
      </c>
    </row>
    <row r="147" spans="1:20" x14ac:dyDescent="0.35">
      <c r="A147" s="1">
        <v>45888</v>
      </c>
      <c r="B147" s="2">
        <v>0.83961497685185182</v>
      </c>
      <c r="C147">
        <v>79</v>
      </c>
      <c r="D147">
        <v>196</v>
      </c>
      <c r="E147">
        <v>0</v>
      </c>
      <c r="F147">
        <v>0</v>
      </c>
      <c r="G147">
        <v>0</v>
      </c>
      <c r="H147">
        <v>2368</v>
      </c>
      <c r="I147">
        <v>1784</v>
      </c>
      <c r="J147">
        <v>0</v>
      </c>
      <c r="K147">
        <v>100</v>
      </c>
      <c r="L147">
        <v>4010</v>
      </c>
      <c r="M147">
        <v>4013</v>
      </c>
      <c r="N147">
        <v>432</v>
      </c>
      <c r="O147">
        <v>4011</v>
      </c>
      <c r="P147">
        <v>3993</v>
      </c>
      <c r="Q147">
        <v>238</v>
      </c>
      <c r="R147">
        <v>404</v>
      </c>
      <c r="S147">
        <v>398</v>
      </c>
      <c r="T147">
        <v>102</v>
      </c>
    </row>
    <row r="148" spans="1:20" x14ac:dyDescent="0.35">
      <c r="A148" s="1">
        <v>45888</v>
      </c>
      <c r="B148" s="2">
        <v>0.83963070601851841</v>
      </c>
      <c r="C148">
        <v>79</v>
      </c>
      <c r="D148">
        <v>201</v>
      </c>
      <c r="E148">
        <v>0</v>
      </c>
      <c r="F148">
        <v>0</v>
      </c>
      <c r="G148">
        <v>0</v>
      </c>
      <c r="H148">
        <v>2368</v>
      </c>
      <c r="I148">
        <v>1784</v>
      </c>
      <c r="J148">
        <v>0</v>
      </c>
      <c r="K148">
        <v>100</v>
      </c>
      <c r="L148">
        <v>4010</v>
      </c>
      <c r="M148">
        <v>4013</v>
      </c>
      <c r="N148">
        <v>432</v>
      </c>
      <c r="O148">
        <v>4011</v>
      </c>
      <c r="P148">
        <v>3991</v>
      </c>
      <c r="Q148">
        <v>234</v>
      </c>
      <c r="R148">
        <v>404</v>
      </c>
      <c r="S148">
        <v>399</v>
      </c>
      <c r="T148">
        <v>249</v>
      </c>
    </row>
    <row r="149" spans="1:20" x14ac:dyDescent="0.35">
      <c r="A149" s="1">
        <v>45888</v>
      </c>
      <c r="B149" s="2">
        <v>0.8396464930555555</v>
      </c>
      <c r="C149">
        <v>79</v>
      </c>
      <c r="D149">
        <v>206</v>
      </c>
      <c r="E149">
        <v>0</v>
      </c>
      <c r="F149">
        <v>0</v>
      </c>
      <c r="G149">
        <v>0</v>
      </c>
      <c r="H149">
        <v>2368</v>
      </c>
      <c r="I149">
        <v>1784</v>
      </c>
      <c r="J149">
        <v>0</v>
      </c>
      <c r="K149">
        <v>100</v>
      </c>
      <c r="L149">
        <v>4011</v>
      </c>
      <c r="M149">
        <v>4012</v>
      </c>
      <c r="N149">
        <v>432</v>
      </c>
      <c r="O149">
        <v>4012</v>
      </c>
      <c r="P149">
        <v>3989</v>
      </c>
      <c r="Q149">
        <v>228</v>
      </c>
      <c r="R149">
        <v>404</v>
      </c>
      <c r="S149">
        <v>398</v>
      </c>
      <c r="T149">
        <v>230</v>
      </c>
    </row>
    <row r="150" spans="1:20" x14ac:dyDescent="0.35">
      <c r="A150" s="1">
        <v>45888</v>
      </c>
      <c r="B150" s="2">
        <v>0.83966223379629623</v>
      </c>
      <c r="C150">
        <v>79</v>
      </c>
      <c r="D150">
        <v>211</v>
      </c>
      <c r="E150">
        <v>0</v>
      </c>
      <c r="F150">
        <v>0</v>
      </c>
      <c r="G150">
        <v>0</v>
      </c>
      <c r="H150">
        <v>2368</v>
      </c>
      <c r="I150">
        <v>1784</v>
      </c>
      <c r="J150">
        <v>0</v>
      </c>
      <c r="K150">
        <v>100</v>
      </c>
      <c r="L150">
        <v>4011</v>
      </c>
      <c r="M150">
        <v>4013</v>
      </c>
      <c r="N150">
        <v>434</v>
      </c>
      <c r="O150">
        <v>4012</v>
      </c>
      <c r="P150">
        <v>3987</v>
      </c>
      <c r="Q150">
        <v>221</v>
      </c>
      <c r="R150">
        <v>404</v>
      </c>
      <c r="S150">
        <v>398</v>
      </c>
      <c r="T150">
        <v>117</v>
      </c>
    </row>
    <row r="151" spans="1:20" x14ac:dyDescent="0.35">
      <c r="A151" s="1">
        <v>45888</v>
      </c>
      <c r="B151" s="2">
        <v>0.83967802083333332</v>
      </c>
      <c r="C151">
        <v>79</v>
      </c>
      <c r="D151">
        <v>216</v>
      </c>
      <c r="E151">
        <v>0</v>
      </c>
      <c r="F151">
        <v>0</v>
      </c>
      <c r="G151">
        <v>0</v>
      </c>
      <c r="H151">
        <v>2368</v>
      </c>
      <c r="I151">
        <v>1784</v>
      </c>
      <c r="J151">
        <v>0</v>
      </c>
      <c r="K151">
        <v>100</v>
      </c>
      <c r="L151">
        <v>4010</v>
      </c>
      <c r="M151">
        <v>4013</v>
      </c>
      <c r="N151">
        <v>434</v>
      </c>
      <c r="O151">
        <v>4011</v>
      </c>
      <c r="P151">
        <v>3985</v>
      </c>
      <c r="Q151">
        <v>215</v>
      </c>
      <c r="R151">
        <v>405</v>
      </c>
      <c r="S151">
        <v>398</v>
      </c>
      <c r="T151">
        <v>18</v>
      </c>
    </row>
    <row r="152" spans="1:20" x14ac:dyDescent="0.35">
      <c r="A152" s="1">
        <v>45888</v>
      </c>
      <c r="B152" s="2">
        <v>0.83969374999999991</v>
      </c>
      <c r="C152">
        <v>79</v>
      </c>
      <c r="D152">
        <v>221</v>
      </c>
      <c r="E152">
        <v>0</v>
      </c>
      <c r="F152">
        <v>0</v>
      </c>
      <c r="G152">
        <v>0</v>
      </c>
      <c r="H152">
        <v>2368</v>
      </c>
      <c r="I152">
        <v>1784</v>
      </c>
      <c r="J152">
        <v>0</v>
      </c>
      <c r="K152">
        <v>100</v>
      </c>
      <c r="L152">
        <v>4010</v>
      </c>
      <c r="M152">
        <v>4012</v>
      </c>
      <c r="N152">
        <v>435</v>
      </c>
      <c r="O152">
        <v>4012</v>
      </c>
      <c r="P152">
        <v>3982</v>
      </c>
      <c r="Q152">
        <v>208</v>
      </c>
      <c r="R152">
        <v>404</v>
      </c>
      <c r="S152">
        <v>398</v>
      </c>
      <c r="T152">
        <v>95</v>
      </c>
    </row>
    <row r="153" spans="1:20" x14ac:dyDescent="0.35">
      <c r="A153" s="1">
        <v>45888</v>
      </c>
      <c r="B153" s="2">
        <v>0.83970954861111113</v>
      </c>
      <c r="C153">
        <v>79</v>
      </c>
      <c r="D153">
        <v>226</v>
      </c>
      <c r="E153">
        <v>0</v>
      </c>
      <c r="F153">
        <v>0</v>
      </c>
      <c r="G153">
        <v>0</v>
      </c>
      <c r="H153">
        <v>2368</v>
      </c>
      <c r="I153">
        <v>1784</v>
      </c>
      <c r="J153">
        <v>0</v>
      </c>
      <c r="K153">
        <v>100</v>
      </c>
      <c r="L153">
        <v>4010</v>
      </c>
      <c r="M153">
        <v>4012</v>
      </c>
      <c r="N153">
        <v>435</v>
      </c>
      <c r="O153">
        <v>4012</v>
      </c>
      <c r="P153">
        <v>3977</v>
      </c>
      <c r="Q153">
        <v>200</v>
      </c>
      <c r="R153">
        <v>405</v>
      </c>
      <c r="S153">
        <v>398</v>
      </c>
      <c r="T153">
        <v>125</v>
      </c>
    </row>
    <row r="154" spans="1:20" x14ac:dyDescent="0.35">
      <c r="A154" s="1">
        <v>45888</v>
      </c>
      <c r="B154" s="2">
        <v>0.83972552083333341</v>
      </c>
      <c r="C154">
        <v>79</v>
      </c>
      <c r="D154">
        <v>231</v>
      </c>
      <c r="E154">
        <v>0</v>
      </c>
      <c r="F154">
        <v>0</v>
      </c>
      <c r="G154">
        <v>0</v>
      </c>
      <c r="H154">
        <v>2368</v>
      </c>
      <c r="I154">
        <v>1784</v>
      </c>
      <c r="J154">
        <v>0</v>
      </c>
      <c r="K154">
        <v>100</v>
      </c>
      <c r="L154">
        <v>4010</v>
      </c>
      <c r="M154">
        <v>4012</v>
      </c>
      <c r="N154">
        <v>436</v>
      </c>
      <c r="O154">
        <v>4012</v>
      </c>
      <c r="P154">
        <v>3973</v>
      </c>
      <c r="Q154">
        <v>192</v>
      </c>
      <c r="R154">
        <v>404</v>
      </c>
      <c r="S154">
        <v>398</v>
      </c>
      <c r="T154">
        <v>11</v>
      </c>
    </row>
    <row r="155" spans="1:20" x14ac:dyDescent="0.35">
      <c r="A155" s="1">
        <v>45888</v>
      </c>
      <c r="B155" s="2">
        <v>0.83974131944444441</v>
      </c>
      <c r="C155">
        <v>79</v>
      </c>
      <c r="D155">
        <v>236</v>
      </c>
      <c r="E155">
        <v>0</v>
      </c>
      <c r="F155">
        <v>0</v>
      </c>
      <c r="G155">
        <v>0</v>
      </c>
      <c r="H155">
        <v>2368</v>
      </c>
      <c r="I155">
        <v>1784</v>
      </c>
      <c r="J155">
        <v>0</v>
      </c>
      <c r="K155">
        <v>100</v>
      </c>
      <c r="L155">
        <v>4011</v>
      </c>
      <c r="M155">
        <v>4012</v>
      </c>
      <c r="N155">
        <v>436</v>
      </c>
      <c r="O155">
        <v>4012</v>
      </c>
      <c r="P155">
        <v>3969</v>
      </c>
      <c r="Q155">
        <v>186</v>
      </c>
      <c r="R155">
        <v>404</v>
      </c>
      <c r="S155">
        <v>398</v>
      </c>
      <c r="T155">
        <v>61</v>
      </c>
    </row>
    <row r="156" spans="1:20" x14ac:dyDescent="0.35">
      <c r="A156" s="1">
        <v>45888</v>
      </c>
      <c r="B156" s="2">
        <v>0.83975701388888879</v>
      </c>
      <c r="C156">
        <v>79</v>
      </c>
      <c r="D156">
        <v>241</v>
      </c>
      <c r="E156">
        <v>0</v>
      </c>
      <c r="F156">
        <v>0</v>
      </c>
      <c r="G156">
        <v>0</v>
      </c>
      <c r="H156">
        <v>2368</v>
      </c>
      <c r="I156">
        <v>1784</v>
      </c>
      <c r="J156">
        <v>0</v>
      </c>
      <c r="K156">
        <v>100</v>
      </c>
      <c r="L156">
        <v>4010</v>
      </c>
      <c r="M156">
        <v>4012</v>
      </c>
      <c r="N156">
        <v>435</v>
      </c>
      <c r="O156">
        <v>4012</v>
      </c>
      <c r="P156">
        <v>3964</v>
      </c>
      <c r="Q156">
        <v>179</v>
      </c>
      <c r="R156">
        <v>405</v>
      </c>
      <c r="S156">
        <v>399</v>
      </c>
      <c r="T156">
        <v>231</v>
      </c>
    </row>
    <row r="157" spans="1:20" x14ac:dyDescent="0.35">
      <c r="A157" s="1">
        <v>45888</v>
      </c>
      <c r="B157" s="2">
        <v>0.8397728356481482</v>
      </c>
      <c r="C157">
        <v>79</v>
      </c>
      <c r="D157">
        <v>246</v>
      </c>
      <c r="E157">
        <v>0</v>
      </c>
      <c r="F157">
        <v>0</v>
      </c>
      <c r="G157">
        <v>0</v>
      </c>
      <c r="H157">
        <v>2368</v>
      </c>
      <c r="I157">
        <v>1784</v>
      </c>
      <c r="J157">
        <v>0</v>
      </c>
      <c r="K157">
        <v>100</v>
      </c>
      <c r="L157">
        <v>4010</v>
      </c>
      <c r="M157">
        <v>4013</v>
      </c>
      <c r="N157">
        <v>435</v>
      </c>
      <c r="O157">
        <v>4011</v>
      </c>
      <c r="P157">
        <v>3958</v>
      </c>
      <c r="Q157">
        <v>171</v>
      </c>
      <c r="R157">
        <v>404</v>
      </c>
      <c r="S157">
        <v>398</v>
      </c>
      <c r="T157">
        <v>181</v>
      </c>
    </row>
    <row r="158" spans="1:20" x14ac:dyDescent="0.35">
      <c r="A158" s="1">
        <v>45888</v>
      </c>
      <c r="B158" s="2">
        <v>0.83978855324074075</v>
      </c>
      <c r="C158">
        <v>79</v>
      </c>
      <c r="D158">
        <v>251</v>
      </c>
      <c r="E158">
        <v>0</v>
      </c>
      <c r="F158">
        <v>0</v>
      </c>
      <c r="G158">
        <v>0</v>
      </c>
      <c r="H158">
        <v>2368</v>
      </c>
      <c r="I158">
        <v>1784</v>
      </c>
      <c r="J158">
        <v>0</v>
      </c>
      <c r="K158">
        <v>100</v>
      </c>
      <c r="L158">
        <v>4010</v>
      </c>
      <c r="M158">
        <v>4012</v>
      </c>
      <c r="N158">
        <v>435</v>
      </c>
      <c r="O158">
        <v>4012</v>
      </c>
      <c r="P158">
        <v>3947</v>
      </c>
      <c r="Q158">
        <v>159</v>
      </c>
      <c r="R158">
        <v>404</v>
      </c>
      <c r="S158">
        <v>398</v>
      </c>
      <c r="T158">
        <v>50</v>
      </c>
    </row>
    <row r="159" spans="1:20" x14ac:dyDescent="0.35">
      <c r="A159" s="1">
        <v>45888</v>
      </c>
      <c r="B159" s="2">
        <v>0.83980429398148149</v>
      </c>
      <c r="C159">
        <v>79</v>
      </c>
      <c r="D159">
        <v>0</v>
      </c>
      <c r="E159">
        <v>0</v>
      </c>
      <c r="F159">
        <v>0</v>
      </c>
      <c r="G159">
        <v>0</v>
      </c>
      <c r="H159">
        <v>2368</v>
      </c>
      <c r="I159">
        <v>1784</v>
      </c>
      <c r="J159">
        <v>0</v>
      </c>
      <c r="K159">
        <v>100</v>
      </c>
      <c r="L159">
        <v>4011</v>
      </c>
      <c r="M159">
        <v>4013</v>
      </c>
      <c r="N159">
        <v>435</v>
      </c>
      <c r="O159">
        <v>4011</v>
      </c>
      <c r="P159">
        <v>3927</v>
      </c>
      <c r="Q159">
        <v>146</v>
      </c>
      <c r="R159">
        <v>405</v>
      </c>
      <c r="S159">
        <v>399</v>
      </c>
      <c r="T159">
        <v>119</v>
      </c>
    </row>
    <row r="160" spans="1:20" x14ac:dyDescent="0.35">
      <c r="A160" s="1">
        <v>45888</v>
      </c>
      <c r="B160" s="2">
        <v>0.83982006944444443</v>
      </c>
      <c r="C160">
        <v>79</v>
      </c>
      <c r="D160">
        <v>5</v>
      </c>
      <c r="E160">
        <v>0</v>
      </c>
      <c r="F160">
        <v>0</v>
      </c>
      <c r="G160">
        <v>0</v>
      </c>
      <c r="H160">
        <v>2368</v>
      </c>
      <c r="I160">
        <v>1784</v>
      </c>
      <c r="J160">
        <v>0</v>
      </c>
      <c r="K160">
        <v>100</v>
      </c>
      <c r="L160">
        <v>4011</v>
      </c>
      <c r="M160">
        <v>4012</v>
      </c>
      <c r="N160">
        <v>435</v>
      </c>
      <c r="O160">
        <v>4011</v>
      </c>
      <c r="P160">
        <v>3859</v>
      </c>
      <c r="Q160">
        <v>133</v>
      </c>
      <c r="R160">
        <v>404</v>
      </c>
      <c r="S160">
        <v>398</v>
      </c>
      <c r="T160">
        <v>98</v>
      </c>
    </row>
    <row r="161" spans="1:20" x14ac:dyDescent="0.35">
      <c r="A161" s="1">
        <v>45888</v>
      </c>
      <c r="B161" s="2">
        <v>0.83983605324074084</v>
      </c>
      <c r="C161">
        <v>79</v>
      </c>
      <c r="D161">
        <v>10</v>
      </c>
      <c r="E161">
        <v>0</v>
      </c>
      <c r="F161">
        <v>0</v>
      </c>
      <c r="G161">
        <v>0</v>
      </c>
      <c r="H161">
        <v>2368</v>
      </c>
      <c r="I161">
        <v>1784</v>
      </c>
      <c r="J161">
        <v>0</v>
      </c>
      <c r="K161">
        <v>100</v>
      </c>
      <c r="L161">
        <v>4010</v>
      </c>
      <c r="M161">
        <v>4013</v>
      </c>
      <c r="N161">
        <v>432</v>
      </c>
      <c r="O161">
        <v>4012</v>
      </c>
      <c r="P161">
        <v>3431</v>
      </c>
      <c r="Q161">
        <v>118</v>
      </c>
      <c r="R161">
        <v>404</v>
      </c>
      <c r="S161">
        <v>398</v>
      </c>
      <c r="T161">
        <v>140</v>
      </c>
    </row>
    <row r="162" spans="1:20" x14ac:dyDescent="0.35">
      <c r="A162" s="1">
        <v>45888</v>
      </c>
      <c r="B162" s="2">
        <v>0.83985184027777771</v>
      </c>
      <c r="C162">
        <v>79</v>
      </c>
      <c r="D162">
        <v>15</v>
      </c>
      <c r="E162">
        <v>0</v>
      </c>
      <c r="F162">
        <v>0</v>
      </c>
      <c r="G162">
        <v>0</v>
      </c>
      <c r="H162">
        <v>2368</v>
      </c>
      <c r="I162">
        <v>1784</v>
      </c>
      <c r="J162">
        <v>0</v>
      </c>
      <c r="K162">
        <v>100</v>
      </c>
      <c r="L162">
        <v>4011</v>
      </c>
      <c r="M162">
        <v>4013</v>
      </c>
      <c r="N162">
        <v>430</v>
      </c>
      <c r="O162">
        <v>4012</v>
      </c>
      <c r="P162">
        <v>2961</v>
      </c>
      <c r="Q162">
        <v>102</v>
      </c>
      <c r="R162">
        <v>405</v>
      </c>
      <c r="S162">
        <v>398</v>
      </c>
      <c r="T162">
        <v>240</v>
      </c>
    </row>
    <row r="163" spans="1:20" x14ac:dyDescent="0.35">
      <c r="A163" s="1">
        <v>45888</v>
      </c>
      <c r="B163" s="2">
        <v>0.83986780092592583</v>
      </c>
      <c r="C163">
        <v>79</v>
      </c>
      <c r="D163">
        <v>20</v>
      </c>
      <c r="E163">
        <v>0</v>
      </c>
      <c r="F163">
        <v>0</v>
      </c>
      <c r="G163">
        <v>0</v>
      </c>
      <c r="H163">
        <v>2368</v>
      </c>
      <c r="I163">
        <v>1784</v>
      </c>
      <c r="J163">
        <v>0</v>
      </c>
      <c r="K163">
        <v>100</v>
      </c>
      <c r="L163">
        <v>4010</v>
      </c>
      <c r="M163">
        <v>4013</v>
      </c>
      <c r="N163">
        <v>425</v>
      </c>
      <c r="O163">
        <v>4012</v>
      </c>
      <c r="P163">
        <v>2529</v>
      </c>
      <c r="Q163">
        <v>86</v>
      </c>
      <c r="R163">
        <v>405</v>
      </c>
      <c r="S163">
        <v>398</v>
      </c>
      <c r="T163">
        <v>3</v>
      </c>
    </row>
    <row r="164" spans="1:20" x14ac:dyDescent="0.35">
      <c r="A164" s="1">
        <v>45888</v>
      </c>
      <c r="B164" s="2">
        <v>0.83988379629629639</v>
      </c>
      <c r="C164">
        <v>79</v>
      </c>
      <c r="D164">
        <v>25</v>
      </c>
      <c r="E164">
        <v>0</v>
      </c>
      <c r="F164">
        <v>0</v>
      </c>
      <c r="G164">
        <v>0</v>
      </c>
      <c r="H164">
        <v>2368</v>
      </c>
      <c r="I164">
        <v>1784</v>
      </c>
      <c r="J164">
        <v>0</v>
      </c>
      <c r="K164">
        <v>100</v>
      </c>
      <c r="L164">
        <v>4010</v>
      </c>
      <c r="M164">
        <v>4012</v>
      </c>
      <c r="N164">
        <v>418</v>
      </c>
      <c r="O164">
        <v>4012</v>
      </c>
      <c r="P164">
        <v>2140</v>
      </c>
      <c r="Q164">
        <v>73</v>
      </c>
      <c r="R164">
        <v>405</v>
      </c>
      <c r="S164">
        <v>398</v>
      </c>
      <c r="T164">
        <v>214</v>
      </c>
    </row>
    <row r="165" spans="1:20" x14ac:dyDescent="0.35">
      <c r="A165" s="1">
        <v>45888</v>
      </c>
      <c r="B165" s="2">
        <v>0.83989958333333326</v>
      </c>
      <c r="C165">
        <v>79</v>
      </c>
      <c r="D165">
        <v>30</v>
      </c>
      <c r="E165">
        <v>0</v>
      </c>
      <c r="F165">
        <v>0</v>
      </c>
      <c r="G165">
        <v>0</v>
      </c>
      <c r="H165">
        <v>2368</v>
      </c>
      <c r="I165">
        <v>1784</v>
      </c>
      <c r="J165">
        <v>0</v>
      </c>
      <c r="K165">
        <v>100</v>
      </c>
      <c r="L165">
        <v>4010</v>
      </c>
      <c r="M165">
        <v>4013</v>
      </c>
      <c r="N165">
        <v>412</v>
      </c>
      <c r="O165">
        <v>4011</v>
      </c>
      <c r="P165">
        <v>1830</v>
      </c>
      <c r="Q165">
        <v>62</v>
      </c>
      <c r="R165">
        <v>404</v>
      </c>
      <c r="S165">
        <v>398</v>
      </c>
      <c r="T165">
        <v>109</v>
      </c>
    </row>
    <row r="166" spans="1:20" x14ac:dyDescent="0.35">
      <c r="A166" s="1">
        <v>45888</v>
      </c>
      <c r="B166" s="2">
        <v>0.83991549768518514</v>
      </c>
      <c r="C166">
        <v>79</v>
      </c>
      <c r="D166">
        <v>35</v>
      </c>
      <c r="E166">
        <v>0</v>
      </c>
      <c r="F166">
        <v>0</v>
      </c>
      <c r="G166">
        <v>0</v>
      </c>
      <c r="H166">
        <v>2368</v>
      </c>
      <c r="I166">
        <v>1784</v>
      </c>
      <c r="J166">
        <v>0</v>
      </c>
      <c r="K166">
        <v>100</v>
      </c>
      <c r="L166">
        <v>4010</v>
      </c>
      <c r="M166">
        <v>4012</v>
      </c>
      <c r="N166">
        <v>410</v>
      </c>
      <c r="O166">
        <v>4012</v>
      </c>
      <c r="P166">
        <v>1572</v>
      </c>
      <c r="Q166">
        <v>54</v>
      </c>
      <c r="R166">
        <v>404</v>
      </c>
      <c r="S166">
        <v>398</v>
      </c>
      <c r="T166">
        <v>109</v>
      </c>
    </row>
    <row r="167" spans="1:20" x14ac:dyDescent="0.35">
      <c r="A167" s="1">
        <v>45888</v>
      </c>
      <c r="B167" s="2">
        <v>0.83993127314814819</v>
      </c>
      <c r="C167">
        <v>79</v>
      </c>
      <c r="D167">
        <v>40</v>
      </c>
      <c r="E167">
        <v>0</v>
      </c>
      <c r="F167">
        <v>0</v>
      </c>
      <c r="G167">
        <v>0</v>
      </c>
      <c r="H167">
        <v>2368</v>
      </c>
      <c r="I167">
        <v>1784</v>
      </c>
      <c r="J167">
        <v>0</v>
      </c>
      <c r="K167">
        <v>100</v>
      </c>
      <c r="L167">
        <v>4011</v>
      </c>
      <c r="M167">
        <v>4012</v>
      </c>
      <c r="N167">
        <v>411</v>
      </c>
      <c r="O167">
        <v>4011</v>
      </c>
      <c r="P167">
        <v>1380</v>
      </c>
      <c r="Q167">
        <v>48</v>
      </c>
      <c r="R167">
        <v>404</v>
      </c>
      <c r="S167">
        <v>398</v>
      </c>
      <c r="T167">
        <v>33</v>
      </c>
    </row>
    <row r="168" spans="1:20" x14ac:dyDescent="0.35">
      <c r="A168" s="1">
        <v>45888</v>
      </c>
      <c r="B168" s="2">
        <v>0.83994701388888893</v>
      </c>
      <c r="C168">
        <v>79</v>
      </c>
      <c r="D168">
        <v>45</v>
      </c>
      <c r="E168">
        <v>0</v>
      </c>
      <c r="F168">
        <v>0</v>
      </c>
      <c r="G168">
        <v>0</v>
      </c>
      <c r="H168">
        <v>2368</v>
      </c>
      <c r="I168">
        <v>1784</v>
      </c>
      <c r="J168">
        <v>0</v>
      </c>
      <c r="K168">
        <v>100</v>
      </c>
      <c r="L168">
        <v>4010</v>
      </c>
      <c r="M168">
        <v>4012</v>
      </c>
      <c r="N168">
        <v>413</v>
      </c>
      <c r="O168">
        <v>4012</v>
      </c>
      <c r="P168">
        <v>1210</v>
      </c>
      <c r="Q168">
        <v>43</v>
      </c>
      <c r="R168">
        <v>404</v>
      </c>
      <c r="S168">
        <v>398</v>
      </c>
      <c r="T168">
        <v>220</v>
      </c>
    </row>
    <row r="169" spans="1:20" x14ac:dyDescent="0.35">
      <c r="A169" s="1">
        <v>45888</v>
      </c>
      <c r="B169" s="2">
        <v>0.83996298611111109</v>
      </c>
      <c r="C169">
        <v>79</v>
      </c>
      <c r="D169">
        <v>50</v>
      </c>
      <c r="E169">
        <v>0</v>
      </c>
      <c r="F169">
        <v>0</v>
      </c>
      <c r="G169">
        <v>0</v>
      </c>
      <c r="H169">
        <v>2368</v>
      </c>
      <c r="I169">
        <v>1784</v>
      </c>
      <c r="J169">
        <v>0</v>
      </c>
      <c r="K169">
        <v>100</v>
      </c>
      <c r="L169">
        <v>4010</v>
      </c>
      <c r="M169">
        <v>4012</v>
      </c>
      <c r="N169">
        <v>416</v>
      </c>
      <c r="O169">
        <v>4012</v>
      </c>
      <c r="P169">
        <v>1068</v>
      </c>
      <c r="Q169">
        <v>36</v>
      </c>
      <c r="R169">
        <v>404</v>
      </c>
      <c r="S169">
        <v>398</v>
      </c>
      <c r="T169">
        <v>88</v>
      </c>
    </row>
    <row r="170" spans="1:20" x14ac:dyDescent="0.35">
      <c r="A170" s="1">
        <v>45888</v>
      </c>
      <c r="B170" s="2">
        <v>0.8399789699074075</v>
      </c>
      <c r="C170">
        <v>79</v>
      </c>
      <c r="D170">
        <v>55</v>
      </c>
      <c r="E170">
        <v>0</v>
      </c>
      <c r="F170">
        <v>0</v>
      </c>
      <c r="G170">
        <v>0</v>
      </c>
      <c r="H170">
        <v>2368</v>
      </c>
      <c r="I170">
        <v>1784</v>
      </c>
      <c r="J170">
        <v>0</v>
      </c>
      <c r="K170">
        <v>100</v>
      </c>
      <c r="L170">
        <v>4010</v>
      </c>
      <c r="M170">
        <v>4012</v>
      </c>
      <c r="N170">
        <v>423</v>
      </c>
      <c r="O170">
        <v>4012</v>
      </c>
      <c r="P170">
        <v>940</v>
      </c>
      <c r="Q170">
        <v>33</v>
      </c>
      <c r="R170">
        <v>404</v>
      </c>
      <c r="S170">
        <v>398</v>
      </c>
      <c r="T170">
        <v>221</v>
      </c>
    </row>
    <row r="171" spans="1:20" x14ac:dyDescent="0.35">
      <c r="A171" s="1">
        <v>45888</v>
      </c>
      <c r="B171" s="2">
        <v>0.8399949537037037</v>
      </c>
      <c r="C171">
        <v>79</v>
      </c>
      <c r="D171">
        <v>60</v>
      </c>
      <c r="E171">
        <v>0</v>
      </c>
      <c r="F171">
        <v>0</v>
      </c>
      <c r="G171">
        <v>0</v>
      </c>
      <c r="H171">
        <v>2368</v>
      </c>
      <c r="I171">
        <v>1784</v>
      </c>
      <c r="J171">
        <v>0</v>
      </c>
      <c r="K171">
        <v>100</v>
      </c>
      <c r="L171">
        <v>4011</v>
      </c>
      <c r="M171">
        <v>4012</v>
      </c>
      <c r="N171">
        <v>422</v>
      </c>
      <c r="O171">
        <v>4012</v>
      </c>
      <c r="P171">
        <v>834</v>
      </c>
      <c r="Q171">
        <v>29</v>
      </c>
      <c r="R171">
        <v>405</v>
      </c>
      <c r="S171">
        <v>398</v>
      </c>
      <c r="T171">
        <v>33</v>
      </c>
    </row>
    <row r="172" spans="1:20" x14ac:dyDescent="0.35">
      <c r="A172" s="1">
        <v>45888</v>
      </c>
      <c r="B172" s="2">
        <v>0.84001085648148144</v>
      </c>
      <c r="C172">
        <v>79</v>
      </c>
      <c r="D172">
        <v>65</v>
      </c>
      <c r="E172">
        <v>0</v>
      </c>
      <c r="F172">
        <v>0</v>
      </c>
      <c r="G172">
        <v>0</v>
      </c>
      <c r="H172">
        <v>2368</v>
      </c>
      <c r="I172">
        <v>1784</v>
      </c>
      <c r="J172">
        <v>0</v>
      </c>
      <c r="K172">
        <v>100</v>
      </c>
      <c r="L172">
        <v>4010</v>
      </c>
      <c r="M172">
        <v>4012</v>
      </c>
      <c r="N172">
        <v>415</v>
      </c>
      <c r="O172">
        <v>4011</v>
      </c>
      <c r="P172">
        <v>738</v>
      </c>
      <c r="Q172">
        <v>26</v>
      </c>
      <c r="R172">
        <v>405</v>
      </c>
      <c r="S172">
        <v>398</v>
      </c>
      <c r="T172">
        <v>180</v>
      </c>
    </row>
    <row r="173" spans="1:20" x14ac:dyDescent="0.35">
      <c r="A173" s="1">
        <v>45888</v>
      </c>
      <c r="B173" s="2">
        <v>0.84002685185185189</v>
      </c>
      <c r="C173">
        <v>79</v>
      </c>
      <c r="D173">
        <v>70</v>
      </c>
      <c r="E173">
        <v>0</v>
      </c>
      <c r="F173">
        <v>0</v>
      </c>
      <c r="G173">
        <v>0</v>
      </c>
      <c r="H173">
        <v>2368</v>
      </c>
      <c r="I173">
        <v>1784</v>
      </c>
      <c r="J173">
        <v>0</v>
      </c>
      <c r="K173">
        <v>100</v>
      </c>
      <c r="L173">
        <v>4010</v>
      </c>
      <c r="M173">
        <v>4012</v>
      </c>
      <c r="N173">
        <v>404</v>
      </c>
      <c r="O173">
        <v>4012</v>
      </c>
      <c r="P173">
        <v>654</v>
      </c>
      <c r="Q173">
        <v>22</v>
      </c>
      <c r="R173">
        <v>405</v>
      </c>
      <c r="S173">
        <v>398</v>
      </c>
      <c r="T173">
        <v>82</v>
      </c>
    </row>
    <row r="174" spans="1:20" x14ac:dyDescent="0.35">
      <c r="A174" s="1">
        <v>45888</v>
      </c>
      <c r="B174" s="2">
        <v>0.8400428703703704</v>
      </c>
      <c r="C174">
        <v>79</v>
      </c>
      <c r="D174">
        <v>75</v>
      </c>
      <c r="E174">
        <v>0</v>
      </c>
      <c r="F174">
        <v>0</v>
      </c>
      <c r="G174">
        <v>0</v>
      </c>
      <c r="H174">
        <v>2368</v>
      </c>
      <c r="I174">
        <v>1784</v>
      </c>
      <c r="J174">
        <v>0</v>
      </c>
      <c r="K174">
        <v>100</v>
      </c>
      <c r="L174">
        <v>4010</v>
      </c>
      <c r="M174">
        <v>4012</v>
      </c>
      <c r="N174">
        <v>390</v>
      </c>
      <c r="O174">
        <v>4011</v>
      </c>
      <c r="P174">
        <v>584</v>
      </c>
      <c r="Q174">
        <v>20</v>
      </c>
      <c r="R174">
        <v>405</v>
      </c>
      <c r="S174">
        <v>398</v>
      </c>
      <c r="T174">
        <v>5</v>
      </c>
    </row>
    <row r="175" spans="1:20" x14ac:dyDescent="0.35">
      <c r="A175" s="1">
        <v>45888</v>
      </c>
      <c r="B175" s="2">
        <v>0.84005866898148152</v>
      </c>
      <c r="C175">
        <v>79</v>
      </c>
      <c r="D175">
        <v>80</v>
      </c>
      <c r="E175">
        <v>0</v>
      </c>
      <c r="F175">
        <v>0</v>
      </c>
      <c r="G175">
        <v>0</v>
      </c>
      <c r="H175">
        <v>2368</v>
      </c>
      <c r="I175">
        <v>1784</v>
      </c>
      <c r="J175">
        <v>0</v>
      </c>
      <c r="K175">
        <v>100</v>
      </c>
      <c r="L175">
        <v>4011</v>
      </c>
      <c r="M175">
        <v>4013</v>
      </c>
      <c r="N175">
        <v>381</v>
      </c>
      <c r="O175">
        <v>4012</v>
      </c>
      <c r="P175">
        <v>528</v>
      </c>
      <c r="Q175">
        <v>18</v>
      </c>
      <c r="R175">
        <v>405</v>
      </c>
      <c r="S175">
        <v>398</v>
      </c>
      <c r="T175">
        <v>152</v>
      </c>
    </row>
    <row r="176" spans="1:20" x14ac:dyDescent="0.35">
      <c r="A176" s="1">
        <v>45888</v>
      </c>
      <c r="B176" s="2">
        <v>0.84007462962962964</v>
      </c>
      <c r="C176">
        <v>79</v>
      </c>
      <c r="D176">
        <v>85</v>
      </c>
      <c r="E176">
        <v>0</v>
      </c>
      <c r="F176">
        <v>0</v>
      </c>
      <c r="G176">
        <v>0</v>
      </c>
      <c r="H176">
        <v>2368</v>
      </c>
      <c r="I176">
        <v>1784</v>
      </c>
      <c r="J176">
        <v>0</v>
      </c>
      <c r="K176">
        <v>100</v>
      </c>
      <c r="L176">
        <v>4010</v>
      </c>
      <c r="M176">
        <v>4012</v>
      </c>
      <c r="N176">
        <v>373</v>
      </c>
      <c r="O176">
        <v>4011</v>
      </c>
      <c r="P176">
        <v>482</v>
      </c>
      <c r="Q176">
        <v>17</v>
      </c>
      <c r="R176">
        <v>404</v>
      </c>
      <c r="S176">
        <v>399</v>
      </c>
      <c r="T176">
        <v>20</v>
      </c>
    </row>
    <row r="177" spans="1:20" x14ac:dyDescent="0.35">
      <c r="A177" s="1">
        <v>45888</v>
      </c>
      <c r="B177" s="2">
        <v>0.84009042824074065</v>
      </c>
      <c r="C177">
        <v>79</v>
      </c>
      <c r="D177">
        <v>90</v>
      </c>
      <c r="E177">
        <v>0</v>
      </c>
      <c r="F177">
        <v>0</v>
      </c>
      <c r="G177">
        <v>0</v>
      </c>
      <c r="H177">
        <v>2368</v>
      </c>
      <c r="I177">
        <v>1784</v>
      </c>
      <c r="J177">
        <v>0</v>
      </c>
      <c r="K177">
        <v>100</v>
      </c>
      <c r="L177">
        <v>4011</v>
      </c>
      <c r="M177">
        <v>4012</v>
      </c>
      <c r="N177">
        <v>373</v>
      </c>
      <c r="O177">
        <v>4011</v>
      </c>
      <c r="P177">
        <v>446</v>
      </c>
      <c r="Q177">
        <v>16</v>
      </c>
      <c r="R177">
        <v>404</v>
      </c>
      <c r="S177">
        <v>398</v>
      </c>
      <c r="T177">
        <v>128</v>
      </c>
    </row>
    <row r="178" spans="1:20" x14ac:dyDescent="0.35">
      <c r="A178" s="1">
        <v>45888</v>
      </c>
      <c r="B178" s="2">
        <v>0.84010638888888889</v>
      </c>
      <c r="C178">
        <v>79</v>
      </c>
      <c r="D178">
        <v>95</v>
      </c>
      <c r="E178">
        <v>0</v>
      </c>
      <c r="F178">
        <v>0</v>
      </c>
      <c r="G178">
        <v>0</v>
      </c>
      <c r="H178">
        <v>2368</v>
      </c>
      <c r="I178">
        <v>1784</v>
      </c>
      <c r="J178">
        <v>0</v>
      </c>
      <c r="K178">
        <v>100</v>
      </c>
      <c r="L178">
        <v>4010</v>
      </c>
      <c r="M178">
        <v>4013</v>
      </c>
      <c r="N178">
        <v>375</v>
      </c>
      <c r="O178">
        <v>4011</v>
      </c>
      <c r="P178">
        <v>417</v>
      </c>
      <c r="Q178">
        <v>14</v>
      </c>
      <c r="R178">
        <v>405</v>
      </c>
      <c r="S178">
        <v>398</v>
      </c>
      <c r="T178">
        <v>120</v>
      </c>
    </row>
    <row r="179" spans="1:20" x14ac:dyDescent="0.35">
      <c r="A179" s="1">
        <v>45888</v>
      </c>
      <c r="B179" s="2">
        <v>0.84012211805555559</v>
      </c>
      <c r="C179">
        <v>79</v>
      </c>
      <c r="D179">
        <v>100</v>
      </c>
      <c r="E179">
        <v>0</v>
      </c>
      <c r="F179">
        <v>0</v>
      </c>
      <c r="G179">
        <v>0</v>
      </c>
      <c r="H179">
        <v>2368</v>
      </c>
      <c r="I179">
        <v>1784</v>
      </c>
      <c r="J179">
        <v>0</v>
      </c>
      <c r="K179">
        <v>100</v>
      </c>
      <c r="L179">
        <v>4010</v>
      </c>
      <c r="M179">
        <v>4013</v>
      </c>
      <c r="N179">
        <v>378</v>
      </c>
      <c r="O179">
        <v>4011</v>
      </c>
      <c r="P179">
        <v>391</v>
      </c>
      <c r="Q179">
        <v>14</v>
      </c>
      <c r="R179">
        <v>404</v>
      </c>
      <c r="S179">
        <v>398</v>
      </c>
      <c r="T179">
        <v>108</v>
      </c>
    </row>
    <row r="180" spans="1:20" x14ac:dyDescent="0.35">
      <c r="A180" s="1">
        <v>45888</v>
      </c>
      <c r="B180" s="2">
        <v>0.84013807870370361</v>
      </c>
      <c r="C180">
        <v>79</v>
      </c>
      <c r="D180">
        <v>105</v>
      </c>
      <c r="E180">
        <v>0</v>
      </c>
      <c r="F180">
        <v>0</v>
      </c>
      <c r="G180">
        <v>0</v>
      </c>
      <c r="H180">
        <v>2368</v>
      </c>
      <c r="I180">
        <v>1784</v>
      </c>
      <c r="J180">
        <v>0</v>
      </c>
      <c r="K180">
        <v>100</v>
      </c>
      <c r="L180">
        <v>4009</v>
      </c>
      <c r="M180">
        <v>4012</v>
      </c>
      <c r="N180">
        <v>382</v>
      </c>
      <c r="O180">
        <v>4011</v>
      </c>
      <c r="P180">
        <v>370</v>
      </c>
      <c r="Q180">
        <v>13</v>
      </c>
      <c r="R180">
        <v>404</v>
      </c>
      <c r="S180">
        <v>398</v>
      </c>
      <c r="T180">
        <v>220</v>
      </c>
    </row>
    <row r="181" spans="1:20" x14ac:dyDescent="0.35">
      <c r="A181" s="1">
        <v>45888</v>
      </c>
      <c r="B181" s="2">
        <v>0.84015387731481483</v>
      </c>
      <c r="C181">
        <v>79</v>
      </c>
      <c r="D181">
        <v>110</v>
      </c>
      <c r="E181">
        <v>0</v>
      </c>
      <c r="F181">
        <v>0</v>
      </c>
      <c r="G181">
        <v>0</v>
      </c>
      <c r="H181">
        <v>2368</v>
      </c>
      <c r="I181">
        <v>1784</v>
      </c>
      <c r="J181">
        <v>0</v>
      </c>
      <c r="K181">
        <v>100</v>
      </c>
      <c r="L181">
        <v>4010</v>
      </c>
      <c r="M181">
        <v>4013</v>
      </c>
      <c r="N181">
        <v>390</v>
      </c>
      <c r="O181">
        <v>4011</v>
      </c>
      <c r="P181">
        <v>349</v>
      </c>
      <c r="Q181">
        <v>13</v>
      </c>
      <c r="R181">
        <v>405</v>
      </c>
      <c r="S181">
        <v>398</v>
      </c>
      <c r="T181">
        <v>135</v>
      </c>
    </row>
    <row r="182" spans="1:20" x14ac:dyDescent="0.35">
      <c r="A182" s="1">
        <v>45888</v>
      </c>
      <c r="B182" s="2">
        <v>0.84016965277777778</v>
      </c>
      <c r="C182">
        <v>79</v>
      </c>
      <c r="D182">
        <v>115</v>
      </c>
      <c r="E182">
        <v>0</v>
      </c>
      <c r="F182">
        <v>0</v>
      </c>
      <c r="G182">
        <v>0</v>
      </c>
      <c r="H182">
        <v>2368</v>
      </c>
      <c r="I182">
        <v>1784</v>
      </c>
      <c r="J182">
        <v>0</v>
      </c>
      <c r="K182">
        <v>100</v>
      </c>
      <c r="L182">
        <v>4010</v>
      </c>
      <c r="M182">
        <v>4013</v>
      </c>
      <c r="N182">
        <v>409</v>
      </c>
      <c r="O182">
        <v>4011</v>
      </c>
      <c r="P182">
        <v>330</v>
      </c>
      <c r="Q182">
        <v>11</v>
      </c>
      <c r="R182">
        <v>405</v>
      </c>
      <c r="S182">
        <v>398</v>
      </c>
      <c r="T182">
        <v>134</v>
      </c>
    </row>
    <row r="183" spans="1:20" x14ac:dyDescent="0.35">
      <c r="A183" s="1">
        <v>45888</v>
      </c>
      <c r="B183" s="2">
        <v>0.84018554398148149</v>
      </c>
      <c r="C183">
        <v>79</v>
      </c>
      <c r="D183">
        <v>120</v>
      </c>
      <c r="E183">
        <v>0</v>
      </c>
      <c r="F183">
        <v>0</v>
      </c>
      <c r="G183">
        <v>0</v>
      </c>
      <c r="H183">
        <v>2368</v>
      </c>
      <c r="I183">
        <v>1784</v>
      </c>
      <c r="J183">
        <v>0</v>
      </c>
      <c r="K183">
        <v>100</v>
      </c>
      <c r="L183">
        <v>4010</v>
      </c>
      <c r="M183">
        <v>4012</v>
      </c>
      <c r="N183">
        <v>432</v>
      </c>
      <c r="O183">
        <v>4011</v>
      </c>
      <c r="P183">
        <v>315</v>
      </c>
      <c r="Q183">
        <v>11</v>
      </c>
      <c r="R183">
        <v>405</v>
      </c>
      <c r="S183">
        <v>398</v>
      </c>
      <c r="T183">
        <v>65</v>
      </c>
    </row>
    <row r="184" spans="1:20" x14ac:dyDescent="0.35">
      <c r="A184" s="1">
        <v>45888</v>
      </c>
      <c r="B184" s="2">
        <v>0.84020129629629636</v>
      </c>
      <c r="C184">
        <v>79</v>
      </c>
      <c r="D184">
        <v>125</v>
      </c>
      <c r="E184">
        <v>0</v>
      </c>
      <c r="F184">
        <v>0</v>
      </c>
      <c r="G184">
        <v>0</v>
      </c>
      <c r="H184">
        <v>2368</v>
      </c>
      <c r="I184">
        <v>1784</v>
      </c>
      <c r="J184">
        <v>0</v>
      </c>
      <c r="K184">
        <v>100</v>
      </c>
      <c r="L184">
        <v>4010</v>
      </c>
      <c r="M184">
        <v>4012</v>
      </c>
      <c r="N184">
        <v>446</v>
      </c>
      <c r="O184">
        <v>4012</v>
      </c>
      <c r="P184">
        <v>302</v>
      </c>
      <c r="Q184">
        <v>11</v>
      </c>
      <c r="R184">
        <v>405</v>
      </c>
      <c r="S184">
        <v>398</v>
      </c>
      <c r="T184">
        <v>44</v>
      </c>
    </row>
    <row r="185" spans="1:20" x14ac:dyDescent="0.35">
      <c r="A185" s="1">
        <v>45888</v>
      </c>
      <c r="B185" s="2">
        <v>0.84021724537037046</v>
      </c>
      <c r="C185">
        <v>79</v>
      </c>
      <c r="D185">
        <v>130</v>
      </c>
      <c r="E185">
        <v>0</v>
      </c>
      <c r="F185">
        <v>0</v>
      </c>
      <c r="G185">
        <v>0</v>
      </c>
      <c r="H185">
        <v>2368</v>
      </c>
      <c r="I185">
        <v>1784</v>
      </c>
      <c r="J185">
        <v>0</v>
      </c>
      <c r="K185">
        <v>100</v>
      </c>
      <c r="L185">
        <v>4011</v>
      </c>
      <c r="M185">
        <v>4012</v>
      </c>
      <c r="N185">
        <v>456</v>
      </c>
      <c r="O185">
        <v>4011</v>
      </c>
      <c r="P185">
        <v>293</v>
      </c>
      <c r="Q185">
        <v>11</v>
      </c>
      <c r="R185">
        <v>405</v>
      </c>
      <c r="S185">
        <v>398</v>
      </c>
      <c r="T185">
        <v>117</v>
      </c>
    </row>
    <row r="186" spans="1:20" x14ac:dyDescent="0.35">
      <c r="A186" s="1">
        <v>45888</v>
      </c>
      <c r="B186" s="2">
        <v>0.84023303240740743</v>
      </c>
      <c r="C186">
        <v>79</v>
      </c>
      <c r="D186">
        <v>135</v>
      </c>
      <c r="E186">
        <v>0</v>
      </c>
      <c r="F186">
        <v>0</v>
      </c>
      <c r="G186">
        <v>0</v>
      </c>
      <c r="H186">
        <v>2368</v>
      </c>
      <c r="I186">
        <v>1784</v>
      </c>
      <c r="J186">
        <v>0</v>
      </c>
      <c r="K186">
        <v>100</v>
      </c>
      <c r="L186">
        <v>4009</v>
      </c>
      <c r="M186">
        <v>4012</v>
      </c>
      <c r="N186">
        <v>464</v>
      </c>
      <c r="O186">
        <v>4009</v>
      </c>
      <c r="P186">
        <v>284</v>
      </c>
      <c r="Q186">
        <v>10</v>
      </c>
      <c r="R186">
        <v>404</v>
      </c>
      <c r="S186">
        <v>398</v>
      </c>
      <c r="T186">
        <v>109</v>
      </c>
    </row>
    <row r="187" spans="1:20" x14ac:dyDescent="0.35">
      <c r="A187" s="1">
        <v>45888</v>
      </c>
      <c r="B187" s="2">
        <v>0.84024884259259258</v>
      </c>
      <c r="C187">
        <v>79</v>
      </c>
      <c r="D187">
        <v>140</v>
      </c>
      <c r="E187">
        <v>0</v>
      </c>
      <c r="F187">
        <v>0</v>
      </c>
      <c r="G187">
        <v>0</v>
      </c>
      <c r="H187">
        <v>2368</v>
      </c>
      <c r="I187">
        <v>1784</v>
      </c>
      <c r="J187">
        <v>0</v>
      </c>
      <c r="K187">
        <v>100</v>
      </c>
      <c r="L187">
        <v>4011</v>
      </c>
      <c r="M187">
        <v>4012</v>
      </c>
      <c r="N187">
        <v>470</v>
      </c>
      <c r="O187">
        <v>4008</v>
      </c>
      <c r="P187">
        <v>278</v>
      </c>
      <c r="Q187">
        <v>11</v>
      </c>
      <c r="R187">
        <v>405</v>
      </c>
      <c r="S187">
        <v>398</v>
      </c>
      <c r="T187">
        <v>212</v>
      </c>
    </row>
    <row r="188" spans="1:20" x14ac:dyDescent="0.35">
      <c r="A188" s="1">
        <v>45888</v>
      </c>
      <c r="B188" s="2">
        <v>0.84026467592592591</v>
      </c>
      <c r="C188">
        <v>79</v>
      </c>
      <c r="D188">
        <v>145</v>
      </c>
      <c r="E188">
        <v>0</v>
      </c>
      <c r="F188">
        <v>0</v>
      </c>
      <c r="G188">
        <v>0</v>
      </c>
      <c r="H188">
        <v>2368</v>
      </c>
      <c r="I188">
        <v>1784</v>
      </c>
      <c r="J188">
        <v>0</v>
      </c>
      <c r="K188">
        <v>100</v>
      </c>
      <c r="L188">
        <v>4010</v>
      </c>
      <c r="M188">
        <v>4013</v>
      </c>
      <c r="N188">
        <v>475</v>
      </c>
      <c r="O188">
        <v>4006</v>
      </c>
      <c r="P188">
        <v>274</v>
      </c>
      <c r="Q188">
        <v>9</v>
      </c>
      <c r="R188">
        <v>405</v>
      </c>
      <c r="S188">
        <v>398</v>
      </c>
      <c r="T188">
        <v>215</v>
      </c>
    </row>
    <row r="189" spans="1:20" x14ac:dyDescent="0.35">
      <c r="A189" s="1">
        <v>45888</v>
      </c>
      <c r="B189" s="2">
        <v>0.84028045138888885</v>
      </c>
      <c r="C189">
        <v>79</v>
      </c>
      <c r="D189">
        <v>150</v>
      </c>
      <c r="E189">
        <v>0</v>
      </c>
      <c r="F189">
        <v>0</v>
      </c>
      <c r="G189">
        <v>0</v>
      </c>
      <c r="H189">
        <v>2368</v>
      </c>
      <c r="I189">
        <v>1784</v>
      </c>
      <c r="J189">
        <v>0</v>
      </c>
      <c r="K189">
        <v>100</v>
      </c>
      <c r="L189">
        <v>4010</v>
      </c>
      <c r="M189">
        <v>4012</v>
      </c>
      <c r="N189">
        <v>479</v>
      </c>
      <c r="O189">
        <v>4006</v>
      </c>
      <c r="P189">
        <v>269</v>
      </c>
      <c r="Q189">
        <v>10</v>
      </c>
      <c r="R189">
        <v>404</v>
      </c>
      <c r="S189">
        <v>398</v>
      </c>
      <c r="T189">
        <v>98</v>
      </c>
    </row>
    <row r="190" spans="1:20" x14ac:dyDescent="0.35">
      <c r="A190" s="1">
        <v>45888</v>
      </c>
      <c r="B190" s="2">
        <v>0.84029643518518515</v>
      </c>
      <c r="C190">
        <v>79</v>
      </c>
      <c r="D190">
        <v>155</v>
      </c>
      <c r="E190">
        <v>0</v>
      </c>
      <c r="F190">
        <v>0</v>
      </c>
      <c r="G190">
        <v>0</v>
      </c>
      <c r="H190">
        <v>2368</v>
      </c>
      <c r="I190">
        <v>1784</v>
      </c>
      <c r="J190">
        <v>0</v>
      </c>
      <c r="K190">
        <v>100</v>
      </c>
      <c r="L190">
        <v>4010</v>
      </c>
      <c r="M190">
        <v>4012</v>
      </c>
      <c r="N190">
        <v>484</v>
      </c>
      <c r="O190">
        <v>4006</v>
      </c>
      <c r="P190">
        <v>267</v>
      </c>
      <c r="Q190">
        <v>10</v>
      </c>
      <c r="R190">
        <v>405</v>
      </c>
      <c r="S190">
        <v>398</v>
      </c>
      <c r="T190">
        <v>51</v>
      </c>
    </row>
    <row r="191" spans="1:20" x14ac:dyDescent="0.35">
      <c r="A191" s="1">
        <v>45888</v>
      </c>
      <c r="B191" s="2">
        <v>0.84031221064814821</v>
      </c>
      <c r="C191">
        <v>79</v>
      </c>
      <c r="D191">
        <v>160</v>
      </c>
      <c r="E191">
        <v>0</v>
      </c>
      <c r="F191">
        <v>0</v>
      </c>
      <c r="G191">
        <v>0</v>
      </c>
      <c r="H191">
        <v>2368</v>
      </c>
      <c r="I191">
        <v>1784</v>
      </c>
      <c r="J191">
        <v>0</v>
      </c>
      <c r="K191">
        <v>100</v>
      </c>
      <c r="L191">
        <v>4010</v>
      </c>
      <c r="M191">
        <v>4012</v>
      </c>
      <c r="N191">
        <v>488</v>
      </c>
      <c r="O191">
        <v>4004</v>
      </c>
      <c r="P191">
        <v>264</v>
      </c>
      <c r="Q191">
        <v>10</v>
      </c>
      <c r="R191">
        <v>404</v>
      </c>
      <c r="S191">
        <v>398</v>
      </c>
      <c r="T191">
        <v>193</v>
      </c>
    </row>
    <row r="192" spans="1:20" x14ac:dyDescent="0.35">
      <c r="A192" s="1">
        <v>45888</v>
      </c>
      <c r="B192" s="2">
        <v>0.84032795138888894</v>
      </c>
      <c r="C192">
        <v>79</v>
      </c>
      <c r="D192">
        <v>165</v>
      </c>
      <c r="E192">
        <v>0</v>
      </c>
      <c r="F192">
        <v>0</v>
      </c>
      <c r="G192">
        <v>0</v>
      </c>
      <c r="H192">
        <v>2368</v>
      </c>
      <c r="I192">
        <v>1784</v>
      </c>
      <c r="J192">
        <v>0</v>
      </c>
      <c r="K192">
        <v>100</v>
      </c>
      <c r="L192">
        <v>4011</v>
      </c>
      <c r="M192">
        <v>4012</v>
      </c>
      <c r="N192">
        <v>493</v>
      </c>
      <c r="O192">
        <v>4004</v>
      </c>
      <c r="P192">
        <v>261</v>
      </c>
      <c r="Q192">
        <v>8</v>
      </c>
      <c r="R192">
        <v>404</v>
      </c>
      <c r="S192">
        <v>398</v>
      </c>
      <c r="T192">
        <v>85</v>
      </c>
    </row>
    <row r="193" spans="1:20" x14ac:dyDescent="0.35">
      <c r="A193" s="1">
        <v>45888</v>
      </c>
      <c r="B193" s="2">
        <v>0.84034390046296303</v>
      </c>
      <c r="C193">
        <v>79</v>
      </c>
      <c r="D193">
        <v>170</v>
      </c>
      <c r="E193">
        <v>0</v>
      </c>
      <c r="F193">
        <v>0</v>
      </c>
      <c r="G193">
        <v>0</v>
      </c>
      <c r="H193">
        <v>2368</v>
      </c>
      <c r="I193">
        <v>1784</v>
      </c>
      <c r="J193">
        <v>0</v>
      </c>
      <c r="K193">
        <v>100</v>
      </c>
      <c r="L193">
        <v>4011</v>
      </c>
      <c r="M193">
        <v>4012</v>
      </c>
      <c r="N193">
        <v>497</v>
      </c>
      <c r="O193">
        <v>4003</v>
      </c>
      <c r="P193">
        <v>259</v>
      </c>
      <c r="Q193">
        <v>10</v>
      </c>
      <c r="R193">
        <v>405</v>
      </c>
      <c r="S193">
        <v>398</v>
      </c>
      <c r="T193">
        <v>96</v>
      </c>
    </row>
    <row r="194" spans="1:20" x14ac:dyDescent="0.35">
      <c r="A194" s="1">
        <v>45888</v>
      </c>
      <c r="B194" s="2">
        <v>0.84035964120370377</v>
      </c>
      <c r="C194">
        <v>79</v>
      </c>
      <c r="D194">
        <v>175</v>
      </c>
      <c r="E194">
        <v>0</v>
      </c>
      <c r="F194">
        <v>0</v>
      </c>
      <c r="G194">
        <v>0</v>
      </c>
      <c r="H194">
        <v>2368</v>
      </c>
      <c r="I194">
        <v>1784</v>
      </c>
      <c r="J194">
        <v>0</v>
      </c>
      <c r="K194">
        <v>100</v>
      </c>
      <c r="L194">
        <v>4011</v>
      </c>
      <c r="M194">
        <v>4013</v>
      </c>
      <c r="N194">
        <v>503</v>
      </c>
      <c r="O194">
        <v>4002</v>
      </c>
      <c r="P194">
        <v>258</v>
      </c>
      <c r="Q194">
        <v>8</v>
      </c>
      <c r="R194">
        <v>404</v>
      </c>
      <c r="S194">
        <v>398</v>
      </c>
      <c r="T194">
        <v>121</v>
      </c>
    </row>
    <row r="195" spans="1:20" x14ac:dyDescent="0.35">
      <c r="A195" s="1">
        <v>45888</v>
      </c>
      <c r="B195" s="2">
        <v>0.84037542824074085</v>
      </c>
      <c r="C195">
        <v>79</v>
      </c>
      <c r="D195">
        <v>180</v>
      </c>
      <c r="E195">
        <v>0</v>
      </c>
      <c r="F195">
        <v>0</v>
      </c>
      <c r="G195">
        <v>0</v>
      </c>
      <c r="H195">
        <v>2368</v>
      </c>
      <c r="I195">
        <v>1784</v>
      </c>
      <c r="J195">
        <v>0</v>
      </c>
      <c r="K195">
        <v>100</v>
      </c>
      <c r="L195">
        <v>4010</v>
      </c>
      <c r="M195">
        <v>4012</v>
      </c>
      <c r="N195">
        <v>506</v>
      </c>
      <c r="O195">
        <v>4003</v>
      </c>
      <c r="P195">
        <v>259</v>
      </c>
      <c r="Q195">
        <v>10</v>
      </c>
      <c r="R195">
        <v>405</v>
      </c>
      <c r="S195">
        <v>398</v>
      </c>
      <c r="T195">
        <v>150</v>
      </c>
    </row>
    <row r="196" spans="1:20" x14ac:dyDescent="0.35">
      <c r="A196" s="1">
        <v>45888</v>
      </c>
      <c r="B196" s="2">
        <v>0.84039121527777783</v>
      </c>
      <c r="C196">
        <v>79</v>
      </c>
      <c r="D196">
        <v>185</v>
      </c>
      <c r="E196">
        <v>0</v>
      </c>
      <c r="F196">
        <v>0</v>
      </c>
      <c r="G196">
        <v>0</v>
      </c>
      <c r="H196">
        <v>2368</v>
      </c>
      <c r="I196">
        <v>1784</v>
      </c>
      <c r="J196">
        <v>0</v>
      </c>
      <c r="K196">
        <v>100</v>
      </c>
      <c r="L196">
        <v>4010</v>
      </c>
      <c r="M196">
        <v>4012</v>
      </c>
      <c r="N196">
        <v>510</v>
      </c>
      <c r="O196">
        <v>4002</v>
      </c>
      <c r="P196">
        <v>259</v>
      </c>
      <c r="Q196">
        <v>10</v>
      </c>
      <c r="R196">
        <v>404</v>
      </c>
      <c r="S196">
        <v>399</v>
      </c>
      <c r="T196">
        <v>206</v>
      </c>
    </row>
    <row r="197" spans="1:20" x14ac:dyDescent="0.35">
      <c r="A197" s="1">
        <v>45888</v>
      </c>
      <c r="B197" s="2">
        <v>0.84040699074074077</v>
      </c>
      <c r="C197">
        <v>79</v>
      </c>
      <c r="D197">
        <v>190</v>
      </c>
      <c r="E197">
        <v>0</v>
      </c>
      <c r="F197">
        <v>0</v>
      </c>
      <c r="G197">
        <v>0</v>
      </c>
      <c r="H197">
        <v>2368</v>
      </c>
      <c r="I197">
        <v>1784</v>
      </c>
      <c r="J197">
        <v>0</v>
      </c>
      <c r="K197">
        <v>100</v>
      </c>
      <c r="L197">
        <v>4011</v>
      </c>
      <c r="M197">
        <v>4012</v>
      </c>
      <c r="N197">
        <v>512</v>
      </c>
      <c r="O197">
        <v>4003</v>
      </c>
      <c r="P197">
        <v>260</v>
      </c>
      <c r="Q197">
        <v>10</v>
      </c>
      <c r="R197">
        <v>404</v>
      </c>
      <c r="S197">
        <v>398</v>
      </c>
      <c r="T197">
        <v>151</v>
      </c>
    </row>
    <row r="198" spans="1:20" x14ac:dyDescent="0.35">
      <c r="A198" s="1">
        <v>45888</v>
      </c>
      <c r="B198" s="2">
        <v>0.84042278935185177</v>
      </c>
      <c r="C198">
        <v>79</v>
      </c>
      <c r="D198">
        <v>195</v>
      </c>
      <c r="E198">
        <v>0</v>
      </c>
      <c r="F198">
        <v>0</v>
      </c>
      <c r="G198">
        <v>0</v>
      </c>
      <c r="H198">
        <v>2368</v>
      </c>
      <c r="I198">
        <v>1784</v>
      </c>
      <c r="J198">
        <v>0</v>
      </c>
      <c r="K198">
        <v>100</v>
      </c>
      <c r="L198">
        <v>4009</v>
      </c>
      <c r="M198">
        <v>4012</v>
      </c>
      <c r="N198">
        <v>512</v>
      </c>
      <c r="O198">
        <v>4003</v>
      </c>
      <c r="P198">
        <v>262</v>
      </c>
      <c r="Q198">
        <v>10</v>
      </c>
      <c r="R198">
        <v>404</v>
      </c>
      <c r="S198">
        <v>398</v>
      </c>
      <c r="T198">
        <v>227</v>
      </c>
    </row>
    <row r="199" spans="1:20" x14ac:dyDescent="0.35">
      <c r="A199" s="1">
        <v>45888</v>
      </c>
      <c r="B199" s="2">
        <v>0.84043851851851858</v>
      </c>
      <c r="C199">
        <v>79</v>
      </c>
      <c r="D199">
        <v>200</v>
      </c>
      <c r="E199">
        <v>0</v>
      </c>
      <c r="F199">
        <v>0</v>
      </c>
      <c r="G199">
        <v>0</v>
      </c>
      <c r="H199">
        <v>2368</v>
      </c>
      <c r="I199">
        <v>1784</v>
      </c>
      <c r="J199">
        <v>0</v>
      </c>
      <c r="K199">
        <v>100</v>
      </c>
      <c r="L199">
        <v>4011</v>
      </c>
      <c r="M199">
        <v>4012</v>
      </c>
      <c r="N199">
        <v>515</v>
      </c>
      <c r="O199">
        <v>4004</v>
      </c>
      <c r="P199">
        <v>264</v>
      </c>
      <c r="Q199">
        <v>10</v>
      </c>
      <c r="R199">
        <v>405</v>
      </c>
      <c r="S199">
        <v>398</v>
      </c>
      <c r="T199">
        <v>63</v>
      </c>
    </row>
    <row r="200" spans="1:20" x14ac:dyDescent="0.35">
      <c r="A200" s="1">
        <v>45888</v>
      </c>
      <c r="B200" s="2">
        <v>0.84045424768518517</v>
      </c>
      <c r="C200">
        <v>79</v>
      </c>
      <c r="D200">
        <v>205</v>
      </c>
      <c r="E200">
        <v>0</v>
      </c>
      <c r="F200">
        <v>0</v>
      </c>
      <c r="G200">
        <v>0</v>
      </c>
      <c r="H200">
        <v>2368</v>
      </c>
      <c r="I200">
        <v>1784</v>
      </c>
      <c r="J200">
        <v>0</v>
      </c>
      <c r="K200">
        <v>100</v>
      </c>
      <c r="L200">
        <v>4010</v>
      </c>
      <c r="M200">
        <v>4012</v>
      </c>
      <c r="N200">
        <v>518</v>
      </c>
      <c r="O200">
        <v>4004</v>
      </c>
      <c r="P200">
        <v>266</v>
      </c>
      <c r="Q200">
        <v>10</v>
      </c>
      <c r="R200">
        <v>405</v>
      </c>
      <c r="S200">
        <v>398</v>
      </c>
      <c r="T200">
        <v>150</v>
      </c>
    </row>
    <row r="201" spans="1:20" x14ac:dyDescent="0.35">
      <c r="A201" s="1">
        <v>45888</v>
      </c>
      <c r="B201" s="2">
        <v>0.84046995370370381</v>
      </c>
      <c r="C201">
        <v>79</v>
      </c>
      <c r="D201">
        <v>210</v>
      </c>
      <c r="E201">
        <v>0</v>
      </c>
      <c r="F201">
        <v>0</v>
      </c>
      <c r="G201">
        <v>0</v>
      </c>
      <c r="H201">
        <v>2368</v>
      </c>
      <c r="I201">
        <v>1784</v>
      </c>
      <c r="J201">
        <v>0</v>
      </c>
      <c r="K201">
        <v>100</v>
      </c>
      <c r="L201">
        <v>4010</v>
      </c>
      <c r="M201">
        <v>4012</v>
      </c>
      <c r="N201">
        <v>519</v>
      </c>
      <c r="O201">
        <v>4005</v>
      </c>
      <c r="P201">
        <v>267</v>
      </c>
      <c r="Q201">
        <v>10</v>
      </c>
      <c r="R201">
        <v>405</v>
      </c>
      <c r="S201">
        <v>398</v>
      </c>
      <c r="T201">
        <v>139</v>
      </c>
    </row>
    <row r="202" spans="1:20" x14ac:dyDescent="0.35">
      <c r="A202" s="1">
        <v>45888</v>
      </c>
      <c r="B202" s="2">
        <v>0.84048567129629626</v>
      </c>
      <c r="C202">
        <v>79</v>
      </c>
      <c r="D202">
        <v>215</v>
      </c>
      <c r="E202">
        <v>0</v>
      </c>
      <c r="F202">
        <v>0</v>
      </c>
      <c r="G202">
        <v>0</v>
      </c>
      <c r="H202">
        <v>2368</v>
      </c>
      <c r="I202">
        <v>1784</v>
      </c>
      <c r="J202">
        <v>0</v>
      </c>
      <c r="K202">
        <v>100</v>
      </c>
      <c r="L202">
        <v>4011</v>
      </c>
      <c r="M202">
        <v>4012</v>
      </c>
      <c r="N202">
        <v>520</v>
      </c>
      <c r="O202">
        <v>4006</v>
      </c>
      <c r="P202">
        <v>270</v>
      </c>
      <c r="Q202">
        <v>10</v>
      </c>
      <c r="R202">
        <v>404</v>
      </c>
      <c r="S202">
        <v>398</v>
      </c>
      <c r="T202">
        <v>23</v>
      </c>
    </row>
    <row r="203" spans="1:20" x14ac:dyDescent="0.35">
      <c r="A203" s="1">
        <v>45888</v>
      </c>
      <c r="B203" s="2">
        <v>0.84050138888888892</v>
      </c>
      <c r="C203">
        <v>79</v>
      </c>
      <c r="D203">
        <v>220</v>
      </c>
      <c r="E203">
        <v>0</v>
      </c>
      <c r="F203">
        <v>0</v>
      </c>
      <c r="G203">
        <v>0</v>
      </c>
      <c r="H203">
        <v>2368</v>
      </c>
      <c r="I203">
        <v>1784</v>
      </c>
      <c r="J203">
        <v>0</v>
      </c>
      <c r="K203">
        <v>100</v>
      </c>
      <c r="L203">
        <v>4010</v>
      </c>
      <c r="M203">
        <v>4012</v>
      </c>
      <c r="N203">
        <v>522</v>
      </c>
      <c r="O203">
        <v>4007</v>
      </c>
      <c r="P203">
        <v>274</v>
      </c>
      <c r="Q203">
        <v>11</v>
      </c>
      <c r="R203">
        <v>404</v>
      </c>
      <c r="S203">
        <v>398</v>
      </c>
      <c r="T203">
        <v>126</v>
      </c>
    </row>
    <row r="204" spans="1:20" x14ac:dyDescent="0.35">
      <c r="A204" s="1">
        <v>45888</v>
      </c>
      <c r="B204" s="2">
        <v>0.84051710648148148</v>
      </c>
      <c r="C204">
        <v>79</v>
      </c>
      <c r="D204">
        <v>225</v>
      </c>
      <c r="E204">
        <v>0</v>
      </c>
      <c r="F204">
        <v>0</v>
      </c>
      <c r="G204">
        <v>0</v>
      </c>
      <c r="H204">
        <v>2368</v>
      </c>
      <c r="I204">
        <v>1784</v>
      </c>
      <c r="J204">
        <v>0</v>
      </c>
      <c r="K204">
        <v>100</v>
      </c>
      <c r="L204">
        <v>4010</v>
      </c>
      <c r="M204">
        <v>4012</v>
      </c>
      <c r="N204">
        <v>523</v>
      </c>
      <c r="O204">
        <v>4008</v>
      </c>
      <c r="P204">
        <v>278</v>
      </c>
      <c r="Q204">
        <v>10</v>
      </c>
      <c r="R204">
        <v>405</v>
      </c>
      <c r="S204">
        <v>398</v>
      </c>
      <c r="T204">
        <v>185</v>
      </c>
    </row>
    <row r="205" spans="1:20" x14ac:dyDescent="0.35">
      <c r="A205" s="1">
        <v>45888</v>
      </c>
      <c r="B205" s="2">
        <v>0.84053285879629636</v>
      </c>
      <c r="C205">
        <v>79</v>
      </c>
      <c r="D205">
        <v>230</v>
      </c>
      <c r="E205">
        <v>0</v>
      </c>
      <c r="F205">
        <v>0</v>
      </c>
      <c r="G205">
        <v>0</v>
      </c>
      <c r="H205">
        <v>2368</v>
      </c>
      <c r="I205">
        <v>1784</v>
      </c>
      <c r="J205">
        <v>0</v>
      </c>
      <c r="K205">
        <v>100</v>
      </c>
      <c r="L205">
        <v>4011</v>
      </c>
      <c r="M205">
        <v>4012</v>
      </c>
      <c r="N205">
        <v>523</v>
      </c>
      <c r="O205">
        <v>4011</v>
      </c>
      <c r="P205">
        <v>283</v>
      </c>
      <c r="Q205">
        <v>11</v>
      </c>
      <c r="R205">
        <v>404</v>
      </c>
      <c r="S205">
        <v>398</v>
      </c>
      <c r="T205">
        <v>116</v>
      </c>
    </row>
    <row r="206" spans="1:20" x14ac:dyDescent="0.35">
      <c r="A206" s="1">
        <v>45888</v>
      </c>
      <c r="B206" s="2">
        <v>0.84054859953703709</v>
      </c>
      <c r="C206">
        <v>79</v>
      </c>
      <c r="D206">
        <v>235</v>
      </c>
      <c r="E206">
        <v>0</v>
      </c>
      <c r="F206">
        <v>0</v>
      </c>
      <c r="G206">
        <v>0</v>
      </c>
      <c r="H206">
        <v>2368</v>
      </c>
      <c r="I206">
        <v>1784</v>
      </c>
      <c r="J206">
        <v>0</v>
      </c>
      <c r="K206">
        <v>100</v>
      </c>
      <c r="L206">
        <v>4011</v>
      </c>
      <c r="M206">
        <v>4012</v>
      </c>
      <c r="N206">
        <v>525</v>
      </c>
      <c r="O206">
        <v>4010</v>
      </c>
      <c r="P206">
        <v>289</v>
      </c>
      <c r="Q206">
        <v>10</v>
      </c>
      <c r="R206">
        <v>404</v>
      </c>
      <c r="S206">
        <v>398</v>
      </c>
      <c r="T206">
        <v>61</v>
      </c>
    </row>
    <row r="207" spans="1:20" x14ac:dyDescent="0.35">
      <c r="A207" s="1">
        <v>45888</v>
      </c>
      <c r="B207" s="2">
        <v>0.84056435185185174</v>
      </c>
      <c r="C207">
        <v>79</v>
      </c>
      <c r="D207">
        <v>240</v>
      </c>
      <c r="E207">
        <v>0</v>
      </c>
      <c r="F207">
        <v>0</v>
      </c>
      <c r="G207">
        <v>0</v>
      </c>
      <c r="H207">
        <v>2368</v>
      </c>
      <c r="I207">
        <v>1784</v>
      </c>
      <c r="J207">
        <v>0</v>
      </c>
      <c r="K207">
        <v>100</v>
      </c>
      <c r="L207">
        <v>4010</v>
      </c>
      <c r="M207">
        <v>4012</v>
      </c>
      <c r="N207">
        <v>526</v>
      </c>
      <c r="O207">
        <v>4011</v>
      </c>
      <c r="P207">
        <v>296</v>
      </c>
      <c r="Q207">
        <v>11</v>
      </c>
      <c r="R207">
        <v>405</v>
      </c>
      <c r="S207">
        <v>398</v>
      </c>
      <c r="T207">
        <v>176</v>
      </c>
    </row>
    <row r="208" spans="1:20" x14ac:dyDescent="0.35">
      <c r="A208" s="1">
        <v>45888</v>
      </c>
      <c r="B208" s="2">
        <v>0.84058009259259259</v>
      </c>
      <c r="C208">
        <v>79</v>
      </c>
      <c r="D208">
        <v>245</v>
      </c>
      <c r="E208">
        <v>0</v>
      </c>
      <c r="F208">
        <v>0</v>
      </c>
      <c r="G208">
        <v>0</v>
      </c>
      <c r="H208">
        <v>2368</v>
      </c>
      <c r="I208">
        <v>1784</v>
      </c>
      <c r="J208">
        <v>0</v>
      </c>
      <c r="K208">
        <v>100</v>
      </c>
      <c r="L208">
        <v>4011</v>
      </c>
      <c r="M208">
        <v>4012</v>
      </c>
      <c r="N208">
        <v>526</v>
      </c>
      <c r="O208">
        <v>4012</v>
      </c>
      <c r="P208">
        <v>304</v>
      </c>
      <c r="Q208">
        <v>11</v>
      </c>
      <c r="R208">
        <v>404</v>
      </c>
      <c r="S208">
        <v>398</v>
      </c>
      <c r="T208">
        <v>249</v>
      </c>
    </row>
    <row r="209" spans="1:20" x14ac:dyDescent="0.35">
      <c r="A209" s="1">
        <v>45888</v>
      </c>
      <c r="B209" s="2">
        <v>0.84059590277777785</v>
      </c>
      <c r="C209">
        <v>79</v>
      </c>
      <c r="D209">
        <v>250</v>
      </c>
      <c r="E209">
        <v>0</v>
      </c>
      <c r="F209">
        <v>0</v>
      </c>
      <c r="G209">
        <v>0</v>
      </c>
      <c r="H209">
        <v>2368</v>
      </c>
      <c r="I209">
        <v>1784</v>
      </c>
      <c r="J209">
        <v>0</v>
      </c>
      <c r="K209">
        <v>100</v>
      </c>
      <c r="L209">
        <v>4010</v>
      </c>
      <c r="M209">
        <v>4013</v>
      </c>
      <c r="N209">
        <v>526</v>
      </c>
      <c r="O209">
        <v>4011</v>
      </c>
      <c r="P209">
        <v>311</v>
      </c>
      <c r="Q209">
        <v>11</v>
      </c>
      <c r="R209">
        <v>405</v>
      </c>
      <c r="S209">
        <v>398</v>
      </c>
      <c r="T209">
        <v>133</v>
      </c>
    </row>
    <row r="210" spans="1:20" x14ac:dyDescent="0.35">
      <c r="A210" s="1">
        <v>45888</v>
      </c>
      <c r="B210" s="2">
        <v>0.84061162037037029</v>
      </c>
      <c r="C210">
        <v>79</v>
      </c>
      <c r="D210">
        <v>255</v>
      </c>
      <c r="E210">
        <v>0</v>
      </c>
      <c r="F210">
        <v>0</v>
      </c>
      <c r="G210">
        <v>0</v>
      </c>
      <c r="H210">
        <v>2368</v>
      </c>
      <c r="I210">
        <v>1784</v>
      </c>
      <c r="J210">
        <v>0</v>
      </c>
      <c r="K210">
        <v>100</v>
      </c>
      <c r="L210">
        <v>4011</v>
      </c>
      <c r="M210">
        <v>4013</v>
      </c>
      <c r="N210">
        <v>526</v>
      </c>
      <c r="O210">
        <v>4011</v>
      </c>
      <c r="P210">
        <v>319</v>
      </c>
      <c r="Q210">
        <v>11</v>
      </c>
      <c r="R210">
        <v>405</v>
      </c>
      <c r="S210">
        <v>398</v>
      </c>
      <c r="T210">
        <v>28</v>
      </c>
    </row>
    <row r="211" spans="1:20" x14ac:dyDescent="0.35">
      <c r="A211" s="1">
        <v>45888</v>
      </c>
      <c r="B211" s="2">
        <v>0.84062733796296307</v>
      </c>
      <c r="C211">
        <v>79</v>
      </c>
      <c r="D211">
        <v>4</v>
      </c>
      <c r="E211">
        <v>0</v>
      </c>
      <c r="F211">
        <v>0</v>
      </c>
      <c r="G211">
        <v>0</v>
      </c>
      <c r="H211">
        <v>2368</v>
      </c>
      <c r="I211">
        <v>1784</v>
      </c>
      <c r="J211">
        <v>0</v>
      </c>
      <c r="K211">
        <v>100</v>
      </c>
      <c r="L211">
        <v>4010</v>
      </c>
      <c r="M211">
        <v>4012</v>
      </c>
      <c r="N211">
        <v>527</v>
      </c>
      <c r="O211">
        <v>4011</v>
      </c>
      <c r="P211">
        <v>328</v>
      </c>
      <c r="Q211">
        <v>11</v>
      </c>
      <c r="R211">
        <v>404</v>
      </c>
      <c r="S211">
        <v>398</v>
      </c>
      <c r="T211">
        <v>20</v>
      </c>
    </row>
    <row r="212" spans="1:20" x14ac:dyDescent="0.35">
      <c r="A212" s="1">
        <v>45888</v>
      </c>
      <c r="B212" s="2">
        <v>0.84064313657407397</v>
      </c>
      <c r="C212">
        <v>79</v>
      </c>
      <c r="D212">
        <v>9</v>
      </c>
      <c r="E212">
        <v>0</v>
      </c>
      <c r="F212">
        <v>0</v>
      </c>
      <c r="G212">
        <v>0</v>
      </c>
      <c r="H212">
        <v>2368</v>
      </c>
      <c r="I212">
        <v>1784</v>
      </c>
      <c r="J212">
        <v>0</v>
      </c>
      <c r="K212">
        <v>100</v>
      </c>
      <c r="L212">
        <v>4011</v>
      </c>
      <c r="M212">
        <v>4012</v>
      </c>
      <c r="N212">
        <v>527</v>
      </c>
      <c r="O212">
        <v>4011</v>
      </c>
      <c r="P212">
        <v>338</v>
      </c>
      <c r="Q212">
        <v>12</v>
      </c>
      <c r="R212">
        <v>404</v>
      </c>
      <c r="S212">
        <v>398</v>
      </c>
      <c r="T212">
        <v>57</v>
      </c>
    </row>
    <row r="213" spans="1:20" x14ac:dyDescent="0.35">
      <c r="A213" s="1">
        <v>45888</v>
      </c>
      <c r="B213" s="2">
        <v>0.84065891203703691</v>
      </c>
      <c r="C213">
        <v>79</v>
      </c>
      <c r="D213">
        <v>14</v>
      </c>
      <c r="E213">
        <v>0</v>
      </c>
      <c r="F213">
        <v>0</v>
      </c>
      <c r="G213">
        <v>0</v>
      </c>
      <c r="H213">
        <v>2368</v>
      </c>
      <c r="I213">
        <v>1784</v>
      </c>
      <c r="J213">
        <v>0</v>
      </c>
      <c r="K213">
        <v>100</v>
      </c>
      <c r="L213">
        <v>4011</v>
      </c>
      <c r="M213">
        <v>4012</v>
      </c>
      <c r="N213">
        <v>528</v>
      </c>
      <c r="O213">
        <v>4012</v>
      </c>
      <c r="P213">
        <v>350</v>
      </c>
      <c r="Q213">
        <v>13</v>
      </c>
      <c r="R213">
        <v>405</v>
      </c>
      <c r="S213">
        <v>398</v>
      </c>
      <c r="T213">
        <v>47</v>
      </c>
    </row>
    <row r="214" spans="1:20" x14ac:dyDescent="0.35">
      <c r="A214" s="1">
        <v>45888</v>
      </c>
      <c r="B214" s="2">
        <v>0.84067461805555554</v>
      </c>
      <c r="C214">
        <v>79</v>
      </c>
      <c r="D214">
        <v>19</v>
      </c>
      <c r="E214">
        <v>0</v>
      </c>
      <c r="F214">
        <v>0</v>
      </c>
      <c r="G214">
        <v>0</v>
      </c>
      <c r="H214">
        <v>2368</v>
      </c>
      <c r="I214">
        <v>1784</v>
      </c>
      <c r="J214">
        <v>0</v>
      </c>
      <c r="K214">
        <v>100</v>
      </c>
      <c r="L214">
        <v>4011</v>
      </c>
      <c r="M214">
        <v>4013</v>
      </c>
      <c r="N214">
        <v>530</v>
      </c>
      <c r="O214">
        <v>4012</v>
      </c>
      <c r="P214">
        <v>365</v>
      </c>
      <c r="Q214">
        <v>14</v>
      </c>
      <c r="R214">
        <v>405</v>
      </c>
      <c r="S214">
        <v>398</v>
      </c>
      <c r="T214">
        <v>239</v>
      </c>
    </row>
    <row r="215" spans="1:20" x14ac:dyDescent="0.35">
      <c r="A215" s="1">
        <v>45888</v>
      </c>
      <c r="B215" s="2">
        <v>0.84069037037037042</v>
      </c>
      <c r="C215">
        <v>79</v>
      </c>
      <c r="D215">
        <v>24</v>
      </c>
      <c r="E215">
        <v>0</v>
      </c>
      <c r="F215">
        <v>0</v>
      </c>
      <c r="G215">
        <v>0</v>
      </c>
      <c r="H215">
        <v>2368</v>
      </c>
      <c r="I215">
        <v>1784</v>
      </c>
      <c r="J215">
        <v>0</v>
      </c>
      <c r="K215">
        <v>100</v>
      </c>
      <c r="L215">
        <v>4010</v>
      </c>
      <c r="M215">
        <v>4012</v>
      </c>
      <c r="N215">
        <v>530</v>
      </c>
      <c r="O215">
        <v>4011</v>
      </c>
      <c r="P215">
        <v>381</v>
      </c>
      <c r="Q215">
        <v>14</v>
      </c>
      <c r="R215">
        <v>405</v>
      </c>
      <c r="S215">
        <v>398</v>
      </c>
      <c r="T215">
        <v>192</v>
      </c>
    </row>
    <row r="216" spans="1:20" x14ac:dyDescent="0.35">
      <c r="A216" s="1">
        <v>45888</v>
      </c>
      <c r="B216" s="2">
        <v>0.84070614583333336</v>
      </c>
      <c r="C216">
        <v>79</v>
      </c>
      <c r="D216">
        <v>29</v>
      </c>
      <c r="E216">
        <v>0</v>
      </c>
      <c r="F216">
        <v>0</v>
      </c>
      <c r="G216">
        <v>0</v>
      </c>
      <c r="H216">
        <v>2368</v>
      </c>
      <c r="I216">
        <v>1784</v>
      </c>
      <c r="J216">
        <v>0</v>
      </c>
      <c r="K216">
        <v>100</v>
      </c>
      <c r="L216">
        <v>4010</v>
      </c>
      <c r="M216">
        <v>4013</v>
      </c>
      <c r="N216">
        <v>532</v>
      </c>
      <c r="O216">
        <v>4012</v>
      </c>
      <c r="P216">
        <v>395</v>
      </c>
      <c r="Q216">
        <v>13</v>
      </c>
      <c r="R216">
        <v>405</v>
      </c>
      <c r="S216">
        <v>399</v>
      </c>
      <c r="T216">
        <v>104</v>
      </c>
    </row>
    <row r="217" spans="1:20" x14ac:dyDescent="0.35">
      <c r="A217" s="1">
        <v>45888</v>
      </c>
      <c r="B217" s="2">
        <v>0.8407219560185184</v>
      </c>
      <c r="C217">
        <v>79</v>
      </c>
      <c r="D217">
        <v>34</v>
      </c>
      <c r="E217">
        <v>0</v>
      </c>
      <c r="F217">
        <v>0</v>
      </c>
      <c r="G217">
        <v>0</v>
      </c>
      <c r="H217">
        <v>2368</v>
      </c>
      <c r="I217">
        <v>1784</v>
      </c>
      <c r="J217">
        <v>0</v>
      </c>
      <c r="K217">
        <v>100</v>
      </c>
      <c r="L217">
        <v>4011</v>
      </c>
      <c r="M217">
        <v>4012</v>
      </c>
      <c r="N217">
        <v>534</v>
      </c>
      <c r="O217">
        <v>4012</v>
      </c>
      <c r="P217">
        <v>410</v>
      </c>
      <c r="Q217">
        <v>14</v>
      </c>
      <c r="R217">
        <v>404</v>
      </c>
      <c r="S217">
        <v>399</v>
      </c>
      <c r="T217">
        <v>199</v>
      </c>
    </row>
    <row r="218" spans="1:20" x14ac:dyDescent="0.35">
      <c r="A218" s="1">
        <v>45888</v>
      </c>
      <c r="B218" s="2">
        <v>0.84073769675925913</v>
      </c>
      <c r="C218">
        <v>79</v>
      </c>
      <c r="D218">
        <v>39</v>
      </c>
      <c r="E218">
        <v>0</v>
      </c>
      <c r="F218">
        <v>0</v>
      </c>
      <c r="G218">
        <v>0</v>
      </c>
      <c r="H218">
        <v>2368</v>
      </c>
      <c r="I218">
        <v>1784</v>
      </c>
      <c r="J218">
        <v>0</v>
      </c>
      <c r="K218">
        <v>100</v>
      </c>
      <c r="L218">
        <v>4010</v>
      </c>
      <c r="M218">
        <v>4012</v>
      </c>
      <c r="N218">
        <v>536</v>
      </c>
      <c r="O218">
        <v>4011</v>
      </c>
      <c r="P218">
        <v>426</v>
      </c>
      <c r="Q218">
        <v>16</v>
      </c>
      <c r="R218">
        <v>405</v>
      </c>
      <c r="S218">
        <v>398</v>
      </c>
      <c r="T218">
        <v>24</v>
      </c>
    </row>
    <row r="219" spans="1:20" x14ac:dyDescent="0.35">
      <c r="A219" s="1">
        <v>45888</v>
      </c>
      <c r="B219" s="2">
        <v>0.84075365740740737</v>
      </c>
      <c r="C219">
        <v>79</v>
      </c>
      <c r="D219">
        <v>44</v>
      </c>
      <c r="E219">
        <v>0</v>
      </c>
      <c r="F219">
        <v>0</v>
      </c>
      <c r="G219">
        <v>0</v>
      </c>
      <c r="H219">
        <v>2368</v>
      </c>
      <c r="I219">
        <v>1784</v>
      </c>
      <c r="J219">
        <v>0</v>
      </c>
      <c r="K219">
        <v>100</v>
      </c>
      <c r="L219">
        <v>4010</v>
      </c>
      <c r="M219">
        <v>4013</v>
      </c>
      <c r="N219">
        <v>539</v>
      </c>
      <c r="O219">
        <v>4011</v>
      </c>
      <c r="P219">
        <v>442</v>
      </c>
      <c r="Q219">
        <v>16</v>
      </c>
      <c r="R219">
        <v>404</v>
      </c>
      <c r="S219">
        <v>398</v>
      </c>
      <c r="T219">
        <v>160</v>
      </c>
    </row>
    <row r="220" spans="1:20" x14ac:dyDescent="0.35">
      <c r="A220" s="1">
        <v>45888</v>
      </c>
      <c r="B220" s="2">
        <v>0.84076938657407418</v>
      </c>
      <c r="C220">
        <v>79</v>
      </c>
      <c r="D220">
        <v>49</v>
      </c>
      <c r="E220">
        <v>0</v>
      </c>
      <c r="F220">
        <v>0</v>
      </c>
      <c r="G220">
        <v>0</v>
      </c>
      <c r="H220">
        <v>2368</v>
      </c>
      <c r="I220">
        <v>1784</v>
      </c>
      <c r="J220">
        <v>0</v>
      </c>
      <c r="K220">
        <v>100</v>
      </c>
      <c r="L220">
        <v>4011</v>
      </c>
      <c r="M220">
        <v>4012</v>
      </c>
      <c r="N220">
        <v>539</v>
      </c>
      <c r="O220">
        <v>4012</v>
      </c>
      <c r="P220">
        <v>457</v>
      </c>
      <c r="Q220">
        <v>16</v>
      </c>
      <c r="R220">
        <v>404</v>
      </c>
      <c r="S220">
        <v>398</v>
      </c>
      <c r="T220">
        <v>96</v>
      </c>
    </row>
    <row r="221" spans="1:20" x14ac:dyDescent="0.35">
      <c r="A221" s="1">
        <v>45888</v>
      </c>
      <c r="B221" s="2">
        <v>0.84078534722222231</v>
      </c>
      <c r="C221">
        <v>79</v>
      </c>
      <c r="D221">
        <v>54</v>
      </c>
      <c r="E221">
        <v>0</v>
      </c>
      <c r="F221">
        <v>0</v>
      </c>
      <c r="G221">
        <v>0</v>
      </c>
      <c r="H221">
        <v>2368</v>
      </c>
      <c r="I221">
        <v>1784</v>
      </c>
      <c r="J221">
        <v>0</v>
      </c>
      <c r="K221">
        <v>100</v>
      </c>
      <c r="L221">
        <v>4010</v>
      </c>
      <c r="M221">
        <v>4013</v>
      </c>
      <c r="N221">
        <v>543</v>
      </c>
      <c r="O221">
        <v>4011</v>
      </c>
      <c r="P221">
        <v>472</v>
      </c>
      <c r="Q221">
        <v>16</v>
      </c>
      <c r="R221">
        <v>405</v>
      </c>
      <c r="S221">
        <v>398</v>
      </c>
      <c r="T221">
        <v>136</v>
      </c>
    </row>
    <row r="222" spans="1:20" x14ac:dyDescent="0.35">
      <c r="A222" s="1">
        <v>45888</v>
      </c>
      <c r="B222" s="2">
        <v>0.84080135416666657</v>
      </c>
      <c r="C222">
        <v>79</v>
      </c>
      <c r="D222">
        <v>59</v>
      </c>
      <c r="E222">
        <v>0</v>
      </c>
      <c r="F222">
        <v>0</v>
      </c>
      <c r="G222">
        <v>0</v>
      </c>
      <c r="H222">
        <v>2368</v>
      </c>
      <c r="I222">
        <v>1784</v>
      </c>
      <c r="J222">
        <v>0</v>
      </c>
      <c r="K222">
        <v>100</v>
      </c>
      <c r="L222">
        <v>4011</v>
      </c>
      <c r="M222">
        <v>4012</v>
      </c>
      <c r="N222">
        <v>543</v>
      </c>
      <c r="O222">
        <v>4011</v>
      </c>
      <c r="P222">
        <v>488</v>
      </c>
      <c r="Q222">
        <v>18</v>
      </c>
      <c r="R222">
        <v>404</v>
      </c>
      <c r="S222">
        <v>398</v>
      </c>
      <c r="T222">
        <v>69</v>
      </c>
    </row>
    <row r="223" spans="1:20" x14ac:dyDescent="0.35">
      <c r="A223" s="1">
        <v>45888</v>
      </c>
      <c r="B223" s="2">
        <v>0.84081726851851846</v>
      </c>
      <c r="C223">
        <v>79</v>
      </c>
      <c r="D223">
        <v>64</v>
      </c>
      <c r="E223">
        <v>0</v>
      </c>
      <c r="F223">
        <v>0</v>
      </c>
      <c r="G223">
        <v>0</v>
      </c>
      <c r="H223">
        <v>2368</v>
      </c>
      <c r="I223">
        <v>1784</v>
      </c>
      <c r="J223">
        <v>0</v>
      </c>
      <c r="K223">
        <v>100</v>
      </c>
      <c r="L223">
        <v>4010</v>
      </c>
      <c r="M223">
        <v>4013</v>
      </c>
      <c r="N223">
        <v>547</v>
      </c>
      <c r="O223">
        <v>4012</v>
      </c>
      <c r="P223">
        <v>506</v>
      </c>
      <c r="Q223">
        <v>18</v>
      </c>
      <c r="R223">
        <v>405</v>
      </c>
      <c r="S223">
        <v>398</v>
      </c>
      <c r="T223">
        <v>179</v>
      </c>
    </row>
    <row r="224" spans="1:20" x14ac:dyDescent="0.35">
      <c r="A224" s="1">
        <v>45888</v>
      </c>
      <c r="B224" s="2">
        <v>0.84083322916666658</v>
      </c>
      <c r="C224">
        <v>79</v>
      </c>
      <c r="D224">
        <v>69</v>
      </c>
      <c r="E224">
        <v>0</v>
      </c>
      <c r="F224">
        <v>0</v>
      </c>
      <c r="G224">
        <v>0</v>
      </c>
      <c r="H224">
        <v>2368</v>
      </c>
      <c r="I224">
        <v>1784</v>
      </c>
      <c r="J224">
        <v>0</v>
      </c>
      <c r="K224">
        <v>100</v>
      </c>
      <c r="L224">
        <v>4010</v>
      </c>
      <c r="M224">
        <v>4012</v>
      </c>
      <c r="N224">
        <v>548</v>
      </c>
      <c r="O224">
        <v>4012</v>
      </c>
      <c r="P224">
        <v>523</v>
      </c>
      <c r="Q224">
        <v>18</v>
      </c>
      <c r="R224">
        <v>405</v>
      </c>
      <c r="S224">
        <v>398</v>
      </c>
      <c r="T224">
        <v>235</v>
      </c>
    </row>
    <row r="225" spans="1:20" x14ac:dyDescent="0.35">
      <c r="A225" s="1">
        <v>45888</v>
      </c>
      <c r="B225" s="2">
        <v>0.84084920138888886</v>
      </c>
      <c r="C225">
        <v>79</v>
      </c>
      <c r="D225">
        <v>74</v>
      </c>
      <c r="E225">
        <v>0</v>
      </c>
      <c r="F225">
        <v>0</v>
      </c>
      <c r="G225">
        <v>0</v>
      </c>
      <c r="H225">
        <v>2368</v>
      </c>
      <c r="I225">
        <v>1784</v>
      </c>
      <c r="J225">
        <v>0</v>
      </c>
      <c r="K225">
        <v>100</v>
      </c>
      <c r="L225">
        <v>4011</v>
      </c>
      <c r="M225">
        <v>4012</v>
      </c>
      <c r="N225">
        <v>550</v>
      </c>
      <c r="O225">
        <v>4012</v>
      </c>
      <c r="P225">
        <v>543</v>
      </c>
      <c r="Q225">
        <v>19</v>
      </c>
      <c r="R225">
        <v>404</v>
      </c>
      <c r="S225">
        <v>399</v>
      </c>
      <c r="T225">
        <v>133</v>
      </c>
    </row>
    <row r="226" spans="1:20" x14ac:dyDescent="0.35">
      <c r="A226" s="1">
        <v>45888</v>
      </c>
      <c r="B226" s="2">
        <v>0.8408649768518518</v>
      </c>
      <c r="C226">
        <v>79</v>
      </c>
      <c r="D226">
        <v>79</v>
      </c>
      <c r="E226">
        <v>0</v>
      </c>
      <c r="F226">
        <v>0</v>
      </c>
      <c r="G226">
        <v>0</v>
      </c>
      <c r="H226">
        <v>2368</v>
      </c>
      <c r="I226">
        <v>1784</v>
      </c>
      <c r="J226">
        <v>0</v>
      </c>
      <c r="K226">
        <v>100</v>
      </c>
      <c r="L226">
        <v>4009</v>
      </c>
      <c r="M226">
        <v>4012</v>
      </c>
      <c r="N226">
        <v>552</v>
      </c>
      <c r="O226">
        <v>4011</v>
      </c>
      <c r="P226">
        <v>568</v>
      </c>
      <c r="Q226">
        <v>20</v>
      </c>
      <c r="R226">
        <v>405</v>
      </c>
      <c r="S226">
        <v>399</v>
      </c>
      <c r="T226">
        <v>12</v>
      </c>
    </row>
    <row r="227" spans="1:20" x14ac:dyDescent="0.35">
      <c r="A227" s="1">
        <v>45888</v>
      </c>
      <c r="B227" s="2">
        <v>0.84088078703703706</v>
      </c>
      <c r="C227">
        <v>79</v>
      </c>
      <c r="D227">
        <v>84</v>
      </c>
      <c r="E227">
        <v>0</v>
      </c>
      <c r="F227">
        <v>0</v>
      </c>
      <c r="G227">
        <v>0</v>
      </c>
      <c r="H227">
        <v>2368</v>
      </c>
      <c r="I227">
        <v>1784</v>
      </c>
      <c r="J227">
        <v>0</v>
      </c>
      <c r="K227">
        <v>100</v>
      </c>
      <c r="L227">
        <v>4010</v>
      </c>
      <c r="M227">
        <v>4012</v>
      </c>
      <c r="N227">
        <v>553</v>
      </c>
      <c r="O227">
        <v>4012</v>
      </c>
      <c r="P227">
        <v>592</v>
      </c>
      <c r="Q227">
        <v>21</v>
      </c>
      <c r="R227">
        <v>404</v>
      </c>
      <c r="S227">
        <v>398</v>
      </c>
      <c r="T227">
        <v>255</v>
      </c>
    </row>
    <row r="228" spans="1:20" x14ac:dyDescent="0.35">
      <c r="A228" s="1">
        <v>45888</v>
      </c>
      <c r="B228" s="2">
        <v>0.8408967476851853</v>
      </c>
      <c r="C228">
        <v>79</v>
      </c>
      <c r="D228">
        <v>89</v>
      </c>
      <c r="E228">
        <v>0</v>
      </c>
      <c r="F228">
        <v>0</v>
      </c>
      <c r="G228">
        <v>0</v>
      </c>
      <c r="H228">
        <v>2368</v>
      </c>
      <c r="I228">
        <v>1784</v>
      </c>
      <c r="J228">
        <v>0</v>
      </c>
      <c r="K228">
        <v>100</v>
      </c>
      <c r="L228">
        <v>4010</v>
      </c>
      <c r="M228">
        <v>4013</v>
      </c>
      <c r="N228">
        <v>554</v>
      </c>
      <c r="O228">
        <v>4012</v>
      </c>
      <c r="P228">
        <v>620</v>
      </c>
      <c r="Q228">
        <v>21</v>
      </c>
      <c r="R228">
        <v>405</v>
      </c>
      <c r="S228">
        <v>398</v>
      </c>
      <c r="T228">
        <v>253</v>
      </c>
    </row>
    <row r="229" spans="1:20" x14ac:dyDescent="0.35">
      <c r="A229" s="1">
        <v>45888</v>
      </c>
      <c r="B229" s="2">
        <v>0.84091253472222216</v>
      </c>
      <c r="C229">
        <v>79</v>
      </c>
      <c r="D229">
        <v>94</v>
      </c>
      <c r="E229">
        <v>0</v>
      </c>
      <c r="F229">
        <v>0</v>
      </c>
      <c r="G229">
        <v>0</v>
      </c>
      <c r="H229">
        <v>2368</v>
      </c>
      <c r="I229">
        <v>1784</v>
      </c>
      <c r="J229">
        <v>0</v>
      </c>
      <c r="K229">
        <v>100</v>
      </c>
      <c r="L229">
        <v>4010</v>
      </c>
      <c r="M229">
        <v>4012</v>
      </c>
      <c r="N229">
        <v>554</v>
      </c>
      <c r="O229">
        <v>4012</v>
      </c>
      <c r="P229">
        <v>645</v>
      </c>
      <c r="Q229">
        <v>22</v>
      </c>
      <c r="R229">
        <v>404</v>
      </c>
      <c r="S229">
        <v>399</v>
      </c>
      <c r="T229">
        <v>66</v>
      </c>
    </row>
    <row r="230" spans="1:20" x14ac:dyDescent="0.35">
      <c r="A230" s="1">
        <v>45888</v>
      </c>
      <c r="B230" s="2">
        <v>0.84092827546296289</v>
      </c>
      <c r="C230">
        <v>79</v>
      </c>
      <c r="D230">
        <v>99</v>
      </c>
      <c r="E230">
        <v>0</v>
      </c>
      <c r="F230">
        <v>0</v>
      </c>
      <c r="G230">
        <v>0</v>
      </c>
      <c r="H230">
        <v>2368</v>
      </c>
      <c r="I230">
        <v>1784</v>
      </c>
      <c r="J230">
        <v>0</v>
      </c>
      <c r="K230">
        <v>100</v>
      </c>
      <c r="L230">
        <v>4010</v>
      </c>
      <c r="M230">
        <v>4012</v>
      </c>
      <c r="N230">
        <v>554</v>
      </c>
      <c r="O230">
        <v>4012</v>
      </c>
      <c r="P230">
        <v>672</v>
      </c>
      <c r="Q230">
        <v>24</v>
      </c>
      <c r="R230">
        <v>404</v>
      </c>
      <c r="S230">
        <v>398</v>
      </c>
      <c r="T230">
        <v>17</v>
      </c>
    </row>
    <row r="231" spans="1:20" x14ac:dyDescent="0.35">
      <c r="A231" s="1">
        <v>45888</v>
      </c>
      <c r="B231" s="2">
        <v>0.84094399305555556</v>
      </c>
      <c r="C231">
        <v>79</v>
      </c>
      <c r="D231">
        <v>104</v>
      </c>
      <c r="E231">
        <v>0</v>
      </c>
      <c r="F231">
        <v>0</v>
      </c>
      <c r="G231">
        <v>0</v>
      </c>
      <c r="H231">
        <v>2368</v>
      </c>
      <c r="I231">
        <v>1784</v>
      </c>
      <c r="J231">
        <v>0</v>
      </c>
      <c r="K231">
        <v>100</v>
      </c>
      <c r="L231">
        <v>4010</v>
      </c>
      <c r="M231">
        <v>4012</v>
      </c>
      <c r="N231">
        <v>554</v>
      </c>
      <c r="O231">
        <v>4012</v>
      </c>
      <c r="P231">
        <v>699</v>
      </c>
      <c r="Q231">
        <v>24</v>
      </c>
      <c r="R231">
        <v>405</v>
      </c>
      <c r="S231">
        <v>399</v>
      </c>
      <c r="T231">
        <v>151</v>
      </c>
    </row>
    <row r="232" spans="1:20" x14ac:dyDescent="0.35">
      <c r="A232" s="1">
        <v>45888</v>
      </c>
      <c r="B232" s="2">
        <v>0.84095969907407409</v>
      </c>
      <c r="C232">
        <v>79</v>
      </c>
      <c r="D232">
        <v>109</v>
      </c>
      <c r="E232">
        <v>0</v>
      </c>
      <c r="F232">
        <v>0</v>
      </c>
      <c r="G232">
        <v>0</v>
      </c>
      <c r="H232">
        <v>2368</v>
      </c>
      <c r="I232">
        <v>1784</v>
      </c>
      <c r="J232">
        <v>0</v>
      </c>
      <c r="K232">
        <v>100</v>
      </c>
      <c r="L232">
        <v>4011</v>
      </c>
      <c r="M232">
        <v>4013</v>
      </c>
      <c r="N232">
        <v>554</v>
      </c>
      <c r="O232">
        <v>4012</v>
      </c>
      <c r="P232">
        <v>727</v>
      </c>
      <c r="Q232">
        <v>26</v>
      </c>
      <c r="R232">
        <v>404</v>
      </c>
      <c r="S232">
        <v>398</v>
      </c>
      <c r="T232">
        <v>163</v>
      </c>
    </row>
    <row r="233" spans="1:20" x14ac:dyDescent="0.35">
      <c r="A233" s="1">
        <v>45888</v>
      </c>
      <c r="B233" s="2">
        <v>0.84097550925925924</v>
      </c>
      <c r="C233">
        <v>79</v>
      </c>
      <c r="D233">
        <v>114</v>
      </c>
      <c r="E233">
        <v>0</v>
      </c>
      <c r="F233">
        <v>0</v>
      </c>
      <c r="G233">
        <v>0</v>
      </c>
      <c r="H233">
        <v>2368</v>
      </c>
      <c r="I233">
        <v>1784</v>
      </c>
      <c r="J233">
        <v>0</v>
      </c>
      <c r="K233">
        <v>100</v>
      </c>
      <c r="L233">
        <v>4010</v>
      </c>
      <c r="M233">
        <v>4012</v>
      </c>
      <c r="N233">
        <v>552</v>
      </c>
      <c r="O233">
        <v>4011</v>
      </c>
      <c r="P233">
        <v>760</v>
      </c>
      <c r="Q233">
        <v>26</v>
      </c>
      <c r="R233">
        <v>404</v>
      </c>
      <c r="S233">
        <v>399</v>
      </c>
      <c r="T233">
        <v>47</v>
      </c>
    </row>
    <row r="234" spans="1:20" x14ac:dyDescent="0.35">
      <c r="A234" s="1">
        <v>45888</v>
      </c>
      <c r="B234" s="2">
        <v>0.84099142361111112</v>
      </c>
      <c r="C234">
        <v>79</v>
      </c>
      <c r="D234">
        <v>119</v>
      </c>
      <c r="E234">
        <v>0</v>
      </c>
      <c r="F234">
        <v>0</v>
      </c>
      <c r="G234">
        <v>0</v>
      </c>
      <c r="H234">
        <v>2368</v>
      </c>
      <c r="I234">
        <v>1784</v>
      </c>
      <c r="J234">
        <v>0</v>
      </c>
      <c r="K234">
        <v>100</v>
      </c>
      <c r="L234">
        <v>4010</v>
      </c>
      <c r="M234">
        <v>4012</v>
      </c>
      <c r="N234">
        <v>551</v>
      </c>
      <c r="O234">
        <v>4011</v>
      </c>
      <c r="P234">
        <v>792</v>
      </c>
      <c r="Q234">
        <v>27</v>
      </c>
      <c r="R234">
        <v>405</v>
      </c>
      <c r="S234">
        <v>398</v>
      </c>
      <c r="T234">
        <v>63</v>
      </c>
    </row>
    <row r="235" spans="1:20" x14ac:dyDescent="0.35">
      <c r="A235" s="1">
        <v>45888</v>
      </c>
      <c r="B235" s="2">
        <v>0.84100718749999992</v>
      </c>
      <c r="C235">
        <v>79</v>
      </c>
      <c r="D235">
        <v>124</v>
      </c>
      <c r="E235">
        <v>0</v>
      </c>
      <c r="F235">
        <v>0</v>
      </c>
      <c r="G235">
        <v>0</v>
      </c>
      <c r="H235">
        <v>2368</v>
      </c>
      <c r="I235">
        <v>1784</v>
      </c>
      <c r="J235">
        <v>0</v>
      </c>
      <c r="K235">
        <v>100</v>
      </c>
      <c r="L235">
        <v>4010</v>
      </c>
      <c r="M235">
        <v>4012</v>
      </c>
      <c r="N235">
        <v>550</v>
      </c>
      <c r="O235">
        <v>4011</v>
      </c>
      <c r="P235">
        <v>831</v>
      </c>
      <c r="Q235">
        <v>28</v>
      </c>
      <c r="R235">
        <v>404</v>
      </c>
      <c r="S235">
        <v>399</v>
      </c>
      <c r="T235">
        <v>98</v>
      </c>
    </row>
    <row r="236" spans="1:20" x14ac:dyDescent="0.35">
      <c r="A236" s="1">
        <v>45888</v>
      </c>
      <c r="B236" s="2">
        <v>0.84102298611111115</v>
      </c>
      <c r="C236">
        <v>79</v>
      </c>
      <c r="D236">
        <v>129</v>
      </c>
      <c r="E236">
        <v>0</v>
      </c>
      <c r="F236">
        <v>0</v>
      </c>
      <c r="G236">
        <v>0</v>
      </c>
      <c r="H236">
        <v>2368</v>
      </c>
      <c r="I236">
        <v>1784</v>
      </c>
      <c r="J236">
        <v>0</v>
      </c>
      <c r="K236">
        <v>100</v>
      </c>
      <c r="L236">
        <v>4011</v>
      </c>
      <c r="M236">
        <v>4012</v>
      </c>
      <c r="N236">
        <v>546</v>
      </c>
      <c r="O236">
        <v>4012</v>
      </c>
      <c r="P236">
        <v>869</v>
      </c>
      <c r="Q236">
        <v>29</v>
      </c>
      <c r="R236">
        <v>405</v>
      </c>
      <c r="S236">
        <v>398</v>
      </c>
      <c r="T236">
        <v>245</v>
      </c>
    </row>
    <row r="237" spans="1:20" x14ac:dyDescent="0.35">
      <c r="A237" s="1">
        <v>45888</v>
      </c>
      <c r="B237" s="2">
        <v>0.84103878472222227</v>
      </c>
      <c r="C237">
        <v>79</v>
      </c>
      <c r="D237">
        <v>134</v>
      </c>
      <c r="E237">
        <v>0</v>
      </c>
      <c r="F237">
        <v>0</v>
      </c>
      <c r="G237">
        <v>0</v>
      </c>
      <c r="H237">
        <v>2368</v>
      </c>
      <c r="I237">
        <v>1784</v>
      </c>
      <c r="J237">
        <v>0</v>
      </c>
      <c r="K237">
        <v>100</v>
      </c>
      <c r="L237">
        <v>4010</v>
      </c>
      <c r="M237">
        <v>4012</v>
      </c>
      <c r="N237">
        <v>542</v>
      </c>
      <c r="O237">
        <v>4011</v>
      </c>
      <c r="P237">
        <v>904</v>
      </c>
      <c r="Q237">
        <v>31</v>
      </c>
      <c r="R237">
        <v>404</v>
      </c>
      <c r="S237">
        <v>398</v>
      </c>
      <c r="T237">
        <v>137</v>
      </c>
    </row>
    <row r="238" spans="1:20" x14ac:dyDescent="0.35">
      <c r="A238" s="1">
        <v>45888</v>
      </c>
      <c r="B238" s="2">
        <v>0.84105454861111106</v>
      </c>
      <c r="C238">
        <v>79</v>
      </c>
      <c r="D238">
        <v>139</v>
      </c>
      <c r="E238">
        <v>0</v>
      </c>
      <c r="F238">
        <v>0</v>
      </c>
      <c r="G238">
        <v>0</v>
      </c>
      <c r="H238">
        <v>2368</v>
      </c>
      <c r="I238">
        <v>1784</v>
      </c>
      <c r="J238">
        <v>0</v>
      </c>
      <c r="K238">
        <v>100</v>
      </c>
      <c r="L238">
        <v>4010</v>
      </c>
      <c r="M238">
        <v>4012</v>
      </c>
      <c r="N238">
        <v>539</v>
      </c>
      <c r="O238">
        <v>4012</v>
      </c>
      <c r="P238">
        <v>942</v>
      </c>
      <c r="Q238">
        <v>32</v>
      </c>
      <c r="R238">
        <v>405</v>
      </c>
      <c r="S238">
        <v>398</v>
      </c>
      <c r="T238">
        <v>211</v>
      </c>
    </row>
    <row r="239" spans="1:20" x14ac:dyDescent="0.35">
      <c r="A239" s="1">
        <v>45888</v>
      </c>
      <c r="B239" s="2">
        <v>0.84107027777777776</v>
      </c>
      <c r="C239">
        <v>79</v>
      </c>
      <c r="D239">
        <v>144</v>
      </c>
      <c r="E239">
        <v>0</v>
      </c>
      <c r="F239">
        <v>0</v>
      </c>
      <c r="G239">
        <v>0</v>
      </c>
      <c r="H239">
        <v>2368</v>
      </c>
      <c r="I239">
        <v>1784</v>
      </c>
      <c r="J239">
        <v>0</v>
      </c>
      <c r="K239">
        <v>100</v>
      </c>
      <c r="L239">
        <v>4010</v>
      </c>
      <c r="M239">
        <v>4012</v>
      </c>
      <c r="N239">
        <v>536</v>
      </c>
      <c r="O239">
        <v>4012</v>
      </c>
      <c r="P239">
        <v>975</v>
      </c>
      <c r="Q239">
        <v>35</v>
      </c>
      <c r="R239">
        <v>404</v>
      </c>
      <c r="S239">
        <v>398</v>
      </c>
      <c r="T239">
        <v>88</v>
      </c>
    </row>
    <row r="240" spans="1:20" x14ac:dyDescent="0.35">
      <c r="A240" s="1">
        <v>45888</v>
      </c>
      <c r="B240" s="2">
        <v>0.84108606481481474</v>
      </c>
      <c r="C240">
        <v>79</v>
      </c>
      <c r="D240">
        <v>149</v>
      </c>
      <c r="E240">
        <v>0</v>
      </c>
      <c r="F240">
        <v>0</v>
      </c>
      <c r="G240">
        <v>0</v>
      </c>
      <c r="H240">
        <v>2368</v>
      </c>
      <c r="I240">
        <v>1784</v>
      </c>
      <c r="J240">
        <v>0</v>
      </c>
      <c r="K240">
        <v>100</v>
      </c>
      <c r="L240">
        <v>4010</v>
      </c>
      <c r="M240">
        <v>4012</v>
      </c>
      <c r="N240">
        <v>531</v>
      </c>
      <c r="O240">
        <v>4012</v>
      </c>
      <c r="P240">
        <v>1008</v>
      </c>
      <c r="Q240">
        <v>35</v>
      </c>
      <c r="R240">
        <v>405</v>
      </c>
      <c r="S240">
        <v>398</v>
      </c>
      <c r="T240">
        <v>167</v>
      </c>
    </row>
    <row r="241" spans="1:20" x14ac:dyDescent="0.35">
      <c r="A241" s="1">
        <v>45888</v>
      </c>
      <c r="B241" s="2">
        <v>0.84110245370370362</v>
      </c>
      <c r="C241">
        <v>79</v>
      </c>
      <c r="D241">
        <v>154</v>
      </c>
      <c r="E241">
        <v>0</v>
      </c>
      <c r="F241">
        <v>0</v>
      </c>
      <c r="G241">
        <v>0</v>
      </c>
      <c r="H241">
        <v>2368</v>
      </c>
      <c r="I241">
        <v>1784</v>
      </c>
      <c r="J241">
        <v>0</v>
      </c>
      <c r="K241">
        <v>100</v>
      </c>
      <c r="L241">
        <v>4011</v>
      </c>
      <c r="M241">
        <v>4012</v>
      </c>
      <c r="N241">
        <v>528</v>
      </c>
      <c r="O241">
        <v>4012</v>
      </c>
      <c r="P241">
        <v>1036</v>
      </c>
      <c r="Q241">
        <v>37</v>
      </c>
      <c r="R241">
        <v>404</v>
      </c>
      <c r="S241">
        <v>398</v>
      </c>
      <c r="T241">
        <v>5</v>
      </c>
    </row>
    <row r="242" spans="1:20" x14ac:dyDescent="0.35">
      <c r="A242" s="1">
        <v>45888</v>
      </c>
      <c r="B242" s="2">
        <v>0.84111822916666668</v>
      </c>
      <c r="C242">
        <v>79</v>
      </c>
      <c r="D242">
        <v>159</v>
      </c>
      <c r="E242">
        <v>0</v>
      </c>
      <c r="F242">
        <v>0</v>
      </c>
      <c r="G242">
        <v>0</v>
      </c>
      <c r="H242">
        <v>2368</v>
      </c>
      <c r="I242">
        <v>1784</v>
      </c>
      <c r="J242">
        <v>0</v>
      </c>
      <c r="K242">
        <v>100</v>
      </c>
      <c r="L242">
        <v>4009</v>
      </c>
      <c r="M242">
        <v>4013</v>
      </c>
      <c r="N242">
        <v>523</v>
      </c>
      <c r="O242">
        <v>4011</v>
      </c>
      <c r="P242">
        <v>1066</v>
      </c>
      <c r="Q242">
        <v>38</v>
      </c>
      <c r="R242">
        <v>404</v>
      </c>
      <c r="S242">
        <v>398</v>
      </c>
      <c r="T242">
        <v>183</v>
      </c>
    </row>
    <row r="243" spans="1:20" x14ac:dyDescent="0.35">
      <c r="A243" s="1">
        <v>45888</v>
      </c>
      <c r="B243" s="2">
        <v>0.84113402777777768</v>
      </c>
      <c r="C243">
        <v>79</v>
      </c>
      <c r="D243">
        <v>164</v>
      </c>
      <c r="E243">
        <v>0</v>
      </c>
      <c r="F243">
        <v>0</v>
      </c>
      <c r="G243">
        <v>0</v>
      </c>
      <c r="H243">
        <v>2368</v>
      </c>
      <c r="I243">
        <v>1784</v>
      </c>
      <c r="J243">
        <v>0</v>
      </c>
      <c r="K243">
        <v>100</v>
      </c>
      <c r="L243">
        <v>4010</v>
      </c>
      <c r="M243">
        <v>4012</v>
      </c>
      <c r="N243">
        <v>518</v>
      </c>
      <c r="O243">
        <v>4012</v>
      </c>
      <c r="P243">
        <v>1097</v>
      </c>
      <c r="Q243">
        <v>38</v>
      </c>
      <c r="R243">
        <v>404</v>
      </c>
      <c r="S243">
        <v>398</v>
      </c>
      <c r="T243">
        <v>3</v>
      </c>
    </row>
    <row r="244" spans="1:20" x14ac:dyDescent="0.35">
      <c r="A244" s="1">
        <v>45888</v>
      </c>
      <c r="B244" s="2">
        <v>0.84114982638888891</v>
      </c>
      <c r="C244">
        <v>79</v>
      </c>
      <c r="D244">
        <v>169</v>
      </c>
      <c r="E244">
        <v>0</v>
      </c>
      <c r="F244">
        <v>0</v>
      </c>
      <c r="G244">
        <v>0</v>
      </c>
      <c r="H244">
        <v>2368</v>
      </c>
      <c r="I244">
        <v>1784</v>
      </c>
      <c r="J244">
        <v>0</v>
      </c>
      <c r="K244">
        <v>100</v>
      </c>
      <c r="L244">
        <v>4011</v>
      </c>
      <c r="M244">
        <v>4012</v>
      </c>
      <c r="N244">
        <v>512</v>
      </c>
      <c r="O244">
        <v>4012</v>
      </c>
      <c r="P244">
        <v>1130</v>
      </c>
      <c r="Q244">
        <v>40</v>
      </c>
      <c r="R244">
        <v>405</v>
      </c>
      <c r="S244">
        <v>398</v>
      </c>
      <c r="T244">
        <v>59</v>
      </c>
    </row>
    <row r="245" spans="1:20" x14ac:dyDescent="0.35">
      <c r="A245" s="1">
        <v>45888</v>
      </c>
      <c r="B245" s="2">
        <v>0.841165613425926</v>
      </c>
      <c r="C245">
        <v>79</v>
      </c>
      <c r="D245">
        <v>174</v>
      </c>
      <c r="E245">
        <v>0</v>
      </c>
      <c r="F245">
        <v>0</v>
      </c>
      <c r="G245">
        <v>0</v>
      </c>
      <c r="H245">
        <v>2368</v>
      </c>
      <c r="I245">
        <v>1784</v>
      </c>
      <c r="J245">
        <v>0</v>
      </c>
      <c r="K245">
        <v>100</v>
      </c>
      <c r="L245">
        <v>4011</v>
      </c>
      <c r="M245">
        <v>4012</v>
      </c>
      <c r="N245">
        <v>507</v>
      </c>
      <c r="O245">
        <v>4011</v>
      </c>
      <c r="P245">
        <v>1158</v>
      </c>
      <c r="Q245">
        <v>41</v>
      </c>
      <c r="R245">
        <v>405</v>
      </c>
      <c r="S245">
        <v>398</v>
      </c>
      <c r="T245">
        <v>34</v>
      </c>
    </row>
    <row r="246" spans="1:20" x14ac:dyDescent="0.35">
      <c r="A246" s="1">
        <v>45888</v>
      </c>
      <c r="B246" s="2">
        <v>0.84118140046296297</v>
      </c>
      <c r="C246">
        <v>79</v>
      </c>
      <c r="D246">
        <v>179</v>
      </c>
      <c r="E246">
        <v>0</v>
      </c>
      <c r="F246">
        <v>0</v>
      </c>
      <c r="G246">
        <v>0</v>
      </c>
      <c r="H246">
        <v>2368</v>
      </c>
      <c r="I246">
        <v>1784</v>
      </c>
      <c r="J246">
        <v>0</v>
      </c>
      <c r="K246">
        <v>100</v>
      </c>
      <c r="L246">
        <v>4010</v>
      </c>
      <c r="M246">
        <v>4012</v>
      </c>
      <c r="N246">
        <v>499</v>
      </c>
      <c r="O246">
        <v>4012</v>
      </c>
      <c r="P246">
        <v>1190</v>
      </c>
      <c r="Q246">
        <v>42</v>
      </c>
      <c r="R246">
        <v>405</v>
      </c>
      <c r="S246">
        <v>398</v>
      </c>
      <c r="T246">
        <v>216</v>
      </c>
    </row>
    <row r="247" spans="1:20" x14ac:dyDescent="0.35">
      <c r="A247" s="1">
        <v>45888</v>
      </c>
      <c r="B247" s="2">
        <v>0.84119737268518513</v>
      </c>
      <c r="C247">
        <v>79</v>
      </c>
      <c r="D247">
        <v>184</v>
      </c>
      <c r="E247">
        <v>0</v>
      </c>
      <c r="F247">
        <v>0</v>
      </c>
      <c r="G247">
        <v>0</v>
      </c>
      <c r="H247">
        <v>2368</v>
      </c>
      <c r="I247">
        <v>1784</v>
      </c>
      <c r="J247">
        <v>0</v>
      </c>
      <c r="K247">
        <v>100</v>
      </c>
      <c r="L247">
        <v>4010</v>
      </c>
      <c r="M247">
        <v>4013</v>
      </c>
      <c r="N247">
        <v>488</v>
      </c>
      <c r="O247">
        <v>4011</v>
      </c>
      <c r="P247">
        <v>1224</v>
      </c>
      <c r="Q247">
        <v>41</v>
      </c>
      <c r="R247">
        <v>405</v>
      </c>
      <c r="S247">
        <v>398</v>
      </c>
      <c r="T247">
        <v>219</v>
      </c>
    </row>
    <row r="248" spans="1:20" x14ac:dyDescent="0.35">
      <c r="A248" s="1">
        <v>45888</v>
      </c>
      <c r="B248" s="2">
        <v>0.84121315972222221</v>
      </c>
      <c r="C248">
        <v>79</v>
      </c>
      <c r="D248">
        <v>189</v>
      </c>
      <c r="E248">
        <v>0</v>
      </c>
      <c r="F248">
        <v>0</v>
      </c>
      <c r="G248">
        <v>0</v>
      </c>
      <c r="H248">
        <v>2368</v>
      </c>
      <c r="I248">
        <v>1784</v>
      </c>
      <c r="J248">
        <v>0</v>
      </c>
      <c r="K248">
        <v>100</v>
      </c>
      <c r="L248">
        <v>4010</v>
      </c>
      <c r="M248">
        <v>4013</v>
      </c>
      <c r="N248">
        <v>475</v>
      </c>
      <c r="O248">
        <v>4012</v>
      </c>
      <c r="P248">
        <v>1263</v>
      </c>
      <c r="Q248">
        <v>44</v>
      </c>
      <c r="R248">
        <v>405</v>
      </c>
      <c r="S248">
        <v>399</v>
      </c>
      <c r="T248">
        <v>18</v>
      </c>
    </row>
    <row r="249" spans="1:20" x14ac:dyDescent="0.35">
      <c r="A249" s="1">
        <v>45888</v>
      </c>
      <c r="B249" s="2">
        <v>0.84122910879629642</v>
      </c>
      <c r="C249">
        <v>79</v>
      </c>
      <c r="D249">
        <v>194</v>
      </c>
      <c r="E249">
        <v>0</v>
      </c>
      <c r="F249">
        <v>0</v>
      </c>
      <c r="G249">
        <v>0</v>
      </c>
      <c r="H249">
        <v>2368</v>
      </c>
      <c r="I249">
        <v>1784</v>
      </c>
      <c r="J249">
        <v>0</v>
      </c>
      <c r="K249">
        <v>100</v>
      </c>
      <c r="L249">
        <v>4010</v>
      </c>
      <c r="M249">
        <v>4012</v>
      </c>
      <c r="N249">
        <v>464</v>
      </c>
      <c r="O249">
        <v>4012</v>
      </c>
      <c r="P249">
        <v>1296</v>
      </c>
      <c r="Q249">
        <v>45</v>
      </c>
      <c r="R249">
        <v>405</v>
      </c>
      <c r="S249">
        <v>398</v>
      </c>
      <c r="T249">
        <v>177</v>
      </c>
    </row>
    <row r="250" spans="1:20" x14ac:dyDescent="0.35">
      <c r="A250" s="1">
        <v>45888</v>
      </c>
      <c r="B250" s="2">
        <v>0.84124484953703693</v>
      </c>
      <c r="C250">
        <v>79</v>
      </c>
      <c r="D250">
        <v>199</v>
      </c>
      <c r="E250">
        <v>0</v>
      </c>
      <c r="F250">
        <v>0</v>
      </c>
      <c r="G250">
        <v>0</v>
      </c>
      <c r="H250">
        <v>2368</v>
      </c>
      <c r="I250">
        <v>1784</v>
      </c>
      <c r="J250">
        <v>0</v>
      </c>
      <c r="K250">
        <v>100</v>
      </c>
      <c r="L250">
        <v>4010</v>
      </c>
      <c r="M250">
        <v>4012</v>
      </c>
      <c r="N250">
        <v>450</v>
      </c>
      <c r="O250">
        <v>4011</v>
      </c>
      <c r="P250">
        <v>1330</v>
      </c>
      <c r="Q250">
        <v>47</v>
      </c>
      <c r="R250">
        <v>404</v>
      </c>
      <c r="S250">
        <v>398</v>
      </c>
      <c r="T250">
        <v>97</v>
      </c>
    </row>
    <row r="251" spans="1:20" x14ac:dyDescent="0.35">
      <c r="A251" s="1">
        <v>45888</v>
      </c>
      <c r="B251" s="2">
        <v>0.84126065972222219</v>
      </c>
      <c r="C251">
        <v>79</v>
      </c>
      <c r="D251">
        <v>204</v>
      </c>
      <c r="E251">
        <v>0</v>
      </c>
      <c r="F251">
        <v>0</v>
      </c>
      <c r="G251">
        <v>0</v>
      </c>
      <c r="H251">
        <v>2368</v>
      </c>
      <c r="I251">
        <v>1784</v>
      </c>
      <c r="J251">
        <v>0</v>
      </c>
      <c r="K251">
        <v>100</v>
      </c>
      <c r="L251">
        <v>4010</v>
      </c>
      <c r="M251">
        <v>4012</v>
      </c>
      <c r="N251">
        <v>435</v>
      </c>
      <c r="O251">
        <v>4012</v>
      </c>
      <c r="P251">
        <v>1362</v>
      </c>
      <c r="Q251">
        <v>48</v>
      </c>
      <c r="R251">
        <v>405</v>
      </c>
      <c r="S251">
        <v>398</v>
      </c>
      <c r="T251">
        <v>229</v>
      </c>
    </row>
    <row r="252" spans="1:20" x14ac:dyDescent="0.35">
      <c r="A252" s="1">
        <v>45888</v>
      </c>
      <c r="B252" s="2">
        <v>0.84127635416666668</v>
      </c>
      <c r="C252">
        <v>79</v>
      </c>
      <c r="D252">
        <v>209</v>
      </c>
      <c r="E252">
        <v>0</v>
      </c>
      <c r="F252">
        <v>0</v>
      </c>
      <c r="G252">
        <v>0</v>
      </c>
      <c r="H252">
        <v>2368</v>
      </c>
      <c r="I252">
        <v>1784</v>
      </c>
      <c r="J252">
        <v>0</v>
      </c>
      <c r="K252">
        <v>100</v>
      </c>
      <c r="L252">
        <v>4010</v>
      </c>
      <c r="M252">
        <v>4012</v>
      </c>
      <c r="N252">
        <v>422</v>
      </c>
      <c r="O252">
        <v>4011</v>
      </c>
      <c r="P252">
        <v>1398</v>
      </c>
      <c r="Q252">
        <v>48</v>
      </c>
      <c r="R252">
        <v>404</v>
      </c>
      <c r="S252">
        <v>398</v>
      </c>
      <c r="T252">
        <v>126</v>
      </c>
    </row>
    <row r="253" spans="1:20" x14ac:dyDescent="0.35">
      <c r="A253" s="1">
        <v>45888</v>
      </c>
      <c r="B253" s="2">
        <v>0.84129216435185183</v>
      </c>
      <c r="C253">
        <v>79</v>
      </c>
      <c r="D253">
        <v>214</v>
      </c>
      <c r="E253">
        <v>0</v>
      </c>
      <c r="F253">
        <v>0</v>
      </c>
      <c r="G253">
        <v>0</v>
      </c>
      <c r="H253">
        <v>2368</v>
      </c>
      <c r="I253">
        <v>1784</v>
      </c>
      <c r="J253">
        <v>0</v>
      </c>
      <c r="K253">
        <v>100</v>
      </c>
      <c r="L253">
        <v>4011</v>
      </c>
      <c r="M253">
        <v>4012</v>
      </c>
      <c r="N253">
        <v>406</v>
      </c>
      <c r="O253">
        <v>4011</v>
      </c>
      <c r="P253">
        <v>1432</v>
      </c>
      <c r="Q253">
        <v>50</v>
      </c>
      <c r="R253">
        <v>404</v>
      </c>
      <c r="S253">
        <v>398</v>
      </c>
      <c r="T253">
        <v>227</v>
      </c>
    </row>
    <row r="254" spans="1:20" x14ac:dyDescent="0.35">
      <c r="A254" s="1">
        <v>45888</v>
      </c>
      <c r="B254" s="2">
        <v>0.84130813657407411</v>
      </c>
      <c r="C254">
        <v>79</v>
      </c>
      <c r="D254">
        <v>219</v>
      </c>
      <c r="E254">
        <v>0</v>
      </c>
      <c r="F254">
        <v>0</v>
      </c>
      <c r="G254">
        <v>0</v>
      </c>
      <c r="H254">
        <v>2368</v>
      </c>
      <c r="I254">
        <v>1784</v>
      </c>
      <c r="J254">
        <v>0</v>
      </c>
      <c r="K254">
        <v>100</v>
      </c>
      <c r="L254">
        <v>4010</v>
      </c>
      <c r="M254">
        <v>4012</v>
      </c>
      <c r="N254">
        <v>392</v>
      </c>
      <c r="O254">
        <v>4011</v>
      </c>
      <c r="P254">
        <v>1475</v>
      </c>
      <c r="Q254">
        <v>51</v>
      </c>
      <c r="R254">
        <v>404</v>
      </c>
      <c r="S254">
        <v>399</v>
      </c>
      <c r="T254">
        <v>85</v>
      </c>
    </row>
    <row r="255" spans="1:20" x14ac:dyDescent="0.35">
      <c r="A255" s="1">
        <v>45888</v>
      </c>
      <c r="B255" s="2">
        <v>0.8413238657407407</v>
      </c>
      <c r="C255">
        <v>79</v>
      </c>
      <c r="D255">
        <v>224</v>
      </c>
      <c r="E255">
        <v>0</v>
      </c>
      <c r="F255">
        <v>0</v>
      </c>
      <c r="G255">
        <v>0</v>
      </c>
      <c r="H255">
        <v>2368</v>
      </c>
      <c r="I255">
        <v>1784</v>
      </c>
      <c r="J255">
        <v>0</v>
      </c>
      <c r="K255">
        <v>100</v>
      </c>
      <c r="L255">
        <v>4011</v>
      </c>
      <c r="M255">
        <v>4013</v>
      </c>
      <c r="N255">
        <v>378</v>
      </c>
      <c r="O255">
        <v>4011</v>
      </c>
      <c r="P255">
        <v>1522</v>
      </c>
      <c r="Q255">
        <v>53</v>
      </c>
      <c r="R255">
        <v>404</v>
      </c>
      <c r="S255">
        <v>398</v>
      </c>
      <c r="T255">
        <v>68</v>
      </c>
    </row>
    <row r="256" spans="1:20" x14ac:dyDescent="0.35">
      <c r="A256" s="1">
        <v>45888</v>
      </c>
      <c r="B256" s="2">
        <v>0.84133957175925933</v>
      </c>
      <c r="C256">
        <v>79</v>
      </c>
      <c r="D256">
        <v>229</v>
      </c>
      <c r="E256">
        <v>0</v>
      </c>
      <c r="F256">
        <v>0</v>
      </c>
      <c r="G256">
        <v>0</v>
      </c>
      <c r="H256">
        <v>2368</v>
      </c>
      <c r="I256">
        <v>1784</v>
      </c>
      <c r="J256">
        <v>0</v>
      </c>
      <c r="K256">
        <v>100</v>
      </c>
      <c r="L256">
        <v>4011</v>
      </c>
      <c r="M256">
        <v>4013</v>
      </c>
      <c r="N256">
        <v>363</v>
      </c>
      <c r="O256">
        <v>4012</v>
      </c>
      <c r="P256">
        <v>1569</v>
      </c>
      <c r="Q256">
        <v>54</v>
      </c>
      <c r="R256">
        <v>405</v>
      </c>
      <c r="S256">
        <v>398</v>
      </c>
      <c r="T256">
        <v>128</v>
      </c>
    </row>
    <row r="257" spans="1:20" x14ac:dyDescent="0.35">
      <c r="A257" s="1">
        <v>45888</v>
      </c>
      <c r="B257" s="2">
        <v>0.84135560185185176</v>
      </c>
      <c r="C257">
        <v>79</v>
      </c>
      <c r="D257">
        <v>234</v>
      </c>
      <c r="E257">
        <v>0</v>
      </c>
      <c r="F257">
        <v>0</v>
      </c>
      <c r="G257">
        <v>0</v>
      </c>
      <c r="H257">
        <v>2368</v>
      </c>
      <c r="I257">
        <v>1784</v>
      </c>
      <c r="J257">
        <v>0</v>
      </c>
      <c r="K257">
        <v>100</v>
      </c>
      <c r="L257">
        <v>4011</v>
      </c>
      <c r="M257">
        <v>4012</v>
      </c>
      <c r="N257">
        <v>344</v>
      </c>
      <c r="O257">
        <v>4012</v>
      </c>
      <c r="P257">
        <v>1629</v>
      </c>
      <c r="Q257">
        <v>56</v>
      </c>
      <c r="R257">
        <v>405</v>
      </c>
      <c r="S257">
        <v>398</v>
      </c>
      <c r="T257">
        <v>156</v>
      </c>
    </row>
    <row r="258" spans="1:20" x14ac:dyDescent="0.35">
      <c r="A258" s="1">
        <v>45888</v>
      </c>
      <c r="B258" s="2">
        <v>0.84137148148148144</v>
      </c>
      <c r="C258">
        <v>79</v>
      </c>
      <c r="D258">
        <v>239</v>
      </c>
      <c r="E258">
        <v>0</v>
      </c>
      <c r="F258">
        <v>0</v>
      </c>
      <c r="G258">
        <v>0</v>
      </c>
      <c r="H258">
        <v>2368</v>
      </c>
      <c r="I258">
        <v>1784</v>
      </c>
      <c r="J258">
        <v>0</v>
      </c>
      <c r="K258">
        <v>100</v>
      </c>
      <c r="L258">
        <v>4010</v>
      </c>
      <c r="M258">
        <v>4012</v>
      </c>
      <c r="N258">
        <v>327</v>
      </c>
      <c r="O258">
        <v>4011</v>
      </c>
      <c r="P258">
        <v>1698</v>
      </c>
      <c r="Q258">
        <v>58</v>
      </c>
      <c r="R258">
        <v>404</v>
      </c>
      <c r="S258">
        <v>398</v>
      </c>
      <c r="T258">
        <v>62</v>
      </c>
    </row>
    <row r="259" spans="1:20" x14ac:dyDescent="0.35">
      <c r="A259" s="1">
        <v>45888</v>
      </c>
      <c r="B259" s="2">
        <v>0.84138719907407411</v>
      </c>
      <c r="C259">
        <v>79</v>
      </c>
      <c r="D259">
        <v>244</v>
      </c>
      <c r="E259">
        <v>0</v>
      </c>
      <c r="F259">
        <v>0</v>
      </c>
      <c r="G259">
        <v>0</v>
      </c>
      <c r="H259">
        <v>2368</v>
      </c>
      <c r="I259">
        <v>1784</v>
      </c>
      <c r="J259">
        <v>0</v>
      </c>
      <c r="K259">
        <v>100</v>
      </c>
      <c r="L259">
        <v>4010</v>
      </c>
      <c r="M259">
        <v>4013</v>
      </c>
      <c r="N259">
        <v>312</v>
      </c>
      <c r="O259">
        <v>4011</v>
      </c>
      <c r="P259">
        <v>1770</v>
      </c>
      <c r="Q259">
        <v>62</v>
      </c>
      <c r="R259">
        <v>405</v>
      </c>
      <c r="S259">
        <v>398</v>
      </c>
      <c r="T259">
        <v>211</v>
      </c>
    </row>
    <row r="260" spans="1:20" x14ac:dyDescent="0.35">
      <c r="A260" s="1">
        <v>45888</v>
      </c>
      <c r="B260" s="2">
        <v>0.84140298611111108</v>
      </c>
      <c r="C260">
        <v>79</v>
      </c>
      <c r="D260">
        <v>249</v>
      </c>
      <c r="E260">
        <v>0</v>
      </c>
      <c r="F260">
        <v>0</v>
      </c>
      <c r="G260">
        <v>0</v>
      </c>
      <c r="H260">
        <v>2368</v>
      </c>
      <c r="I260">
        <v>1784</v>
      </c>
      <c r="J260">
        <v>0</v>
      </c>
      <c r="K260">
        <v>100</v>
      </c>
      <c r="L260">
        <v>4010</v>
      </c>
      <c r="M260">
        <v>4012</v>
      </c>
      <c r="N260">
        <v>300</v>
      </c>
      <c r="O260">
        <v>4011</v>
      </c>
      <c r="P260">
        <v>1843</v>
      </c>
      <c r="Q260">
        <v>64</v>
      </c>
      <c r="R260">
        <v>404</v>
      </c>
      <c r="S260">
        <v>398</v>
      </c>
      <c r="T260">
        <v>96</v>
      </c>
    </row>
    <row r="261" spans="1:20" x14ac:dyDescent="0.35">
      <c r="A261" s="1">
        <v>45888</v>
      </c>
      <c r="B261" s="2">
        <v>0.84141877314814806</v>
      </c>
      <c r="C261">
        <v>79</v>
      </c>
      <c r="D261">
        <v>254</v>
      </c>
      <c r="E261">
        <v>0</v>
      </c>
      <c r="F261">
        <v>0</v>
      </c>
      <c r="G261">
        <v>0</v>
      </c>
      <c r="H261">
        <v>2368</v>
      </c>
      <c r="I261">
        <v>1784</v>
      </c>
      <c r="J261">
        <v>0</v>
      </c>
      <c r="K261">
        <v>100</v>
      </c>
      <c r="L261">
        <v>4010</v>
      </c>
      <c r="M261">
        <v>4011</v>
      </c>
      <c r="N261">
        <v>287</v>
      </c>
      <c r="O261">
        <v>4012</v>
      </c>
      <c r="P261">
        <v>1919</v>
      </c>
      <c r="Q261">
        <v>66</v>
      </c>
      <c r="R261">
        <v>404</v>
      </c>
      <c r="S261">
        <v>398</v>
      </c>
      <c r="T261">
        <v>118</v>
      </c>
    </row>
    <row r="262" spans="1:20" x14ac:dyDescent="0.35">
      <c r="A262" s="1">
        <v>45888</v>
      </c>
      <c r="B262" s="2">
        <v>0.84143457175925929</v>
      </c>
      <c r="C262">
        <v>79</v>
      </c>
      <c r="D262">
        <v>3</v>
      </c>
      <c r="E262">
        <v>0</v>
      </c>
      <c r="F262">
        <v>0</v>
      </c>
      <c r="G262">
        <v>0</v>
      </c>
      <c r="H262">
        <v>2368</v>
      </c>
      <c r="I262">
        <v>1784</v>
      </c>
      <c r="J262">
        <v>0</v>
      </c>
      <c r="K262">
        <v>100</v>
      </c>
      <c r="L262">
        <v>4010</v>
      </c>
      <c r="M262">
        <v>4008</v>
      </c>
      <c r="N262">
        <v>278</v>
      </c>
      <c r="O262">
        <v>4011</v>
      </c>
      <c r="P262">
        <v>1989</v>
      </c>
      <c r="Q262">
        <v>68</v>
      </c>
      <c r="R262">
        <v>405</v>
      </c>
      <c r="S262">
        <v>398</v>
      </c>
      <c r="T262">
        <v>52</v>
      </c>
    </row>
    <row r="263" spans="1:20" x14ac:dyDescent="0.35">
      <c r="A263" s="1">
        <v>45888</v>
      </c>
      <c r="B263" s="2">
        <v>0.84145035879629626</v>
      </c>
      <c r="C263">
        <v>79</v>
      </c>
      <c r="D263">
        <v>8</v>
      </c>
      <c r="E263">
        <v>0</v>
      </c>
      <c r="F263">
        <v>0</v>
      </c>
      <c r="G263">
        <v>0</v>
      </c>
      <c r="H263">
        <v>2368</v>
      </c>
      <c r="I263">
        <v>1784</v>
      </c>
      <c r="J263">
        <v>0</v>
      </c>
      <c r="K263">
        <v>100</v>
      </c>
      <c r="L263">
        <v>4010</v>
      </c>
      <c r="M263">
        <v>4006</v>
      </c>
      <c r="N263">
        <v>269</v>
      </c>
      <c r="O263">
        <v>4012</v>
      </c>
      <c r="P263">
        <v>2054</v>
      </c>
      <c r="Q263">
        <v>70</v>
      </c>
      <c r="R263">
        <v>405</v>
      </c>
      <c r="S263">
        <v>399</v>
      </c>
      <c r="T263">
        <v>129</v>
      </c>
    </row>
    <row r="264" spans="1:20" x14ac:dyDescent="0.35">
      <c r="A264" s="1">
        <v>45888</v>
      </c>
      <c r="B264" s="2">
        <v>0.8414661342592592</v>
      </c>
      <c r="C264">
        <v>79</v>
      </c>
      <c r="D264">
        <v>13</v>
      </c>
      <c r="E264">
        <v>0</v>
      </c>
      <c r="F264">
        <v>0</v>
      </c>
      <c r="G264">
        <v>0</v>
      </c>
      <c r="H264">
        <v>2368</v>
      </c>
      <c r="I264">
        <v>1784</v>
      </c>
      <c r="J264">
        <v>0</v>
      </c>
      <c r="K264">
        <v>100</v>
      </c>
      <c r="L264">
        <v>4009</v>
      </c>
      <c r="M264">
        <v>4004</v>
      </c>
      <c r="N264">
        <v>261</v>
      </c>
      <c r="O264">
        <v>4011</v>
      </c>
      <c r="P264">
        <v>2126</v>
      </c>
      <c r="Q264">
        <v>73</v>
      </c>
      <c r="R264">
        <v>405</v>
      </c>
      <c r="S264">
        <v>398</v>
      </c>
      <c r="T264">
        <v>184</v>
      </c>
    </row>
    <row r="265" spans="1:20" x14ac:dyDescent="0.35">
      <c r="A265" s="1">
        <v>45888</v>
      </c>
      <c r="B265" s="2">
        <v>0.84148189814814811</v>
      </c>
      <c r="C265">
        <v>79</v>
      </c>
      <c r="D265">
        <v>18</v>
      </c>
      <c r="E265">
        <v>0</v>
      </c>
      <c r="F265">
        <v>0</v>
      </c>
      <c r="G265">
        <v>0</v>
      </c>
      <c r="H265">
        <v>2368</v>
      </c>
      <c r="I265">
        <v>1784</v>
      </c>
      <c r="J265">
        <v>0</v>
      </c>
      <c r="K265">
        <v>100</v>
      </c>
      <c r="L265">
        <v>4010</v>
      </c>
      <c r="M265">
        <v>4002</v>
      </c>
      <c r="N265">
        <v>254</v>
      </c>
      <c r="O265">
        <v>4012</v>
      </c>
      <c r="P265">
        <v>2193</v>
      </c>
      <c r="Q265">
        <v>75</v>
      </c>
      <c r="R265">
        <v>405</v>
      </c>
      <c r="S265">
        <v>398</v>
      </c>
      <c r="T265">
        <v>30</v>
      </c>
    </row>
    <row r="266" spans="1:20" x14ac:dyDescent="0.35">
      <c r="A266" s="1">
        <v>45888</v>
      </c>
      <c r="B266" s="2">
        <v>0.84149763888888884</v>
      </c>
      <c r="C266">
        <v>79</v>
      </c>
      <c r="D266">
        <v>23</v>
      </c>
      <c r="E266">
        <v>0</v>
      </c>
      <c r="F266">
        <v>0</v>
      </c>
      <c r="G266">
        <v>0</v>
      </c>
      <c r="H266">
        <v>2368</v>
      </c>
      <c r="I266">
        <v>1784</v>
      </c>
      <c r="J266">
        <v>0</v>
      </c>
      <c r="K266">
        <v>100</v>
      </c>
      <c r="L266">
        <v>4010</v>
      </c>
      <c r="M266">
        <v>3999</v>
      </c>
      <c r="N266">
        <v>246</v>
      </c>
      <c r="O266">
        <v>4011</v>
      </c>
      <c r="P266">
        <v>2248</v>
      </c>
      <c r="Q266">
        <v>77</v>
      </c>
      <c r="R266">
        <v>404</v>
      </c>
      <c r="S266">
        <v>398</v>
      </c>
      <c r="T266">
        <v>60</v>
      </c>
    </row>
    <row r="267" spans="1:20" x14ac:dyDescent="0.35">
      <c r="A267" s="1">
        <v>45888</v>
      </c>
      <c r="B267" s="2">
        <v>0.84151362268518526</v>
      </c>
      <c r="C267">
        <v>79</v>
      </c>
      <c r="D267">
        <v>28</v>
      </c>
      <c r="E267">
        <v>0</v>
      </c>
      <c r="F267">
        <v>0</v>
      </c>
      <c r="G267">
        <v>0</v>
      </c>
      <c r="H267">
        <v>2368</v>
      </c>
      <c r="I267">
        <v>1784</v>
      </c>
      <c r="J267">
        <v>0</v>
      </c>
      <c r="K267">
        <v>100</v>
      </c>
      <c r="L267">
        <v>4011</v>
      </c>
      <c r="M267">
        <v>3996</v>
      </c>
      <c r="N267">
        <v>237</v>
      </c>
      <c r="O267">
        <v>4011</v>
      </c>
      <c r="P267">
        <v>2290</v>
      </c>
      <c r="Q267">
        <v>79</v>
      </c>
      <c r="R267">
        <v>404</v>
      </c>
      <c r="S267">
        <v>398</v>
      </c>
      <c r="T267">
        <v>76</v>
      </c>
    </row>
    <row r="268" spans="1:20" x14ac:dyDescent="0.35">
      <c r="A268" s="1">
        <v>45888</v>
      </c>
      <c r="B268" s="2">
        <v>0.84152952546296289</v>
      </c>
      <c r="C268">
        <v>79</v>
      </c>
      <c r="D268">
        <v>33</v>
      </c>
      <c r="E268">
        <v>0</v>
      </c>
      <c r="F268">
        <v>0</v>
      </c>
      <c r="G268">
        <v>0</v>
      </c>
      <c r="H268">
        <v>2368</v>
      </c>
      <c r="I268">
        <v>1784</v>
      </c>
      <c r="J268">
        <v>0</v>
      </c>
      <c r="K268">
        <v>100</v>
      </c>
      <c r="L268">
        <v>4010</v>
      </c>
      <c r="M268">
        <v>3992</v>
      </c>
      <c r="N268">
        <v>224</v>
      </c>
      <c r="O268">
        <v>4012</v>
      </c>
      <c r="P268">
        <v>2303</v>
      </c>
      <c r="Q268">
        <v>80</v>
      </c>
      <c r="R268">
        <v>404</v>
      </c>
      <c r="S268">
        <v>398</v>
      </c>
      <c r="T268">
        <v>27</v>
      </c>
    </row>
    <row r="269" spans="1:20" x14ac:dyDescent="0.35">
      <c r="A269" s="1">
        <v>45888</v>
      </c>
      <c r="B269" s="2">
        <v>0.84154531249999998</v>
      </c>
      <c r="C269">
        <v>79</v>
      </c>
      <c r="D269">
        <v>38</v>
      </c>
      <c r="E269">
        <v>0</v>
      </c>
      <c r="F269">
        <v>0</v>
      </c>
      <c r="G269">
        <v>0</v>
      </c>
      <c r="H269">
        <v>2368</v>
      </c>
      <c r="I269">
        <v>1784</v>
      </c>
      <c r="J269">
        <v>0</v>
      </c>
      <c r="K269">
        <v>100</v>
      </c>
      <c r="L269">
        <v>4011</v>
      </c>
      <c r="M269">
        <v>3985</v>
      </c>
      <c r="N269">
        <v>208</v>
      </c>
      <c r="O269">
        <v>4012</v>
      </c>
      <c r="P269">
        <v>2292</v>
      </c>
      <c r="Q269">
        <v>78</v>
      </c>
      <c r="R269">
        <v>404</v>
      </c>
      <c r="S269">
        <v>399</v>
      </c>
      <c r="T269">
        <v>201</v>
      </c>
    </row>
    <row r="270" spans="1:20" x14ac:dyDescent="0.35">
      <c r="A270" s="1">
        <v>45888</v>
      </c>
      <c r="B270" s="2">
        <v>0.84156119212962965</v>
      </c>
      <c r="C270">
        <v>79</v>
      </c>
      <c r="D270">
        <v>43</v>
      </c>
      <c r="E270">
        <v>0</v>
      </c>
      <c r="F270">
        <v>0</v>
      </c>
      <c r="G270">
        <v>0</v>
      </c>
      <c r="H270">
        <v>2368</v>
      </c>
      <c r="I270">
        <v>1784</v>
      </c>
      <c r="J270">
        <v>0</v>
      </c>
      <c r="K270">
        <v>100</v>
      </c>
      <c r="L270">
        <v>4009</v>
      </c>
      <c r="M270">
        <v>3975</v>
      </c>
      <c r="N270">
        <v>190</v>
      </c>
      <c r="O270">
        <v>4012</v>
      </c>
      <c r="P270">
        <v>2254</v>
      </c>
      <c r="Q270">
        <v>76</v>
      </c>
      <c r="R270">
        <v>405</v>
      </c>
      <c r="S270">
        <v>398</v>
      </c>
      <c r="T270">
        <v>148</v>
      </c>
    </row>
    <row r="271" spans="1:20" x14ac:dyDescent="0.35">
      <c r="A271" s="1">
        <v>45888</v>
      </c>
      <c r="B271" s="2">
        <v>0.84157712962962961</v>
      </c>
      <c r="C271">
        <v>79</v>
      </c>
      <c r="D271">
        <v>48</v>
      </c>
      <c r="E271">
        <v>0</v>
      </c>
      <c r="F271">
        <v>0</v>
      </c>
      <c r="G271">
        <v>0</v>
      </c>
      <c r="H271">
        <v>2368</v>
      </c>
      <c r="I271">
        <v>1784</v>
      </c>
      <c r="J271">
        <v>0</v>
      </c>
      <c r="K271">
        <v>100</v>
      </c>
      <c r="L271">
        <v>4010</v>
      </c>
      <c r="M271">
        <v>3960</v>
      </c>
      <c r="N271">
        <v>171</v>
      </c>
      <c r="O271">
        <v>4012</v>
      </c>
      <c r="P271">
        <v>2194</v>
      </c>
      <c r="Q271">
        <v>75</v>
      </c>
      <c r="R271">
        <v>405</v>
      </c>
      <c r="S271">
        <v>398</v>
      </c>
      <c r="T271">
        <v>118</v>
      </c>
    </row>
    <row r="272" spans="1:20" x14ac:dyDescent="0.35">
      <c r="A272" s="1">
        <v>45888</v>
      </c>
      <c r="B272" s="2">
        <v>0.84159312499999994</v>
      </c>
      <c r="C272">
        <v>79</v>
      </c>
      <c r="D272">
        <v>53</v>
      </c>
      <c r="E272">
        <v>0</v>
      </c>
      <c r="F272">
        <v>0</v>
      </c>
      <c r="G272">
        <v>0</v>
      </c>
      <c r="H272">
        <v>2368</v>
      </c>
      <c r="I272">
        <v>1784</v>
      </c>
      <c r="J272">
        <v>0</v>
      </c>
      <c r="K272">
        <v>100</v>
      </c>
      <c r="L272">
        <v>4011</v>
      </c>
      <c r="M272">
        <v>3938</v>
      </c>
      <c r="N272">
        <v>152</v>
      </c>
      <c r="O272">
        <v>4012</v>
      </c>
      <c r="P272">
        <v>2111</v>
      </c>
      <c r="Q272">
        <v>72</v>
      </c>
      <c r="R272">
        <v>404</v>
      </c>
      <c r="S272">
        <v>398</v>
      </c>
      <c r="T272">
        <v>112</v>
      </c>
    </row>
    <row r="273" spans="1:20" x14ac:dyDescent="0.35">
      <c r="A273" s="1">
        <v>45888</v>
      </c>
      <c r="B273" s="2">
        <v>0.84160890046296299</v>
      </c>
      <c r="C273">
        <v>79</v>
      </c>
      <c r="D273">
        <v>58</v>
      </c>
      <c r="E273">
        <v>0</v>
      </c>
      <c r="F273">
        <v>0</v>
      </c>
      <c r="G273">
        <v>0</v>
      </c>
      <c r="H273">
        <v>2368</v>
      </c>
      <c r="I273">
        <v>1784</v>
      </c>
      <c r="J273">
        <v>0</v>
      </c>
      <c r="K273">
        <v>100</v>
      </c>
      <c r="L273">
        <v>4009</v>
      </c>
      <c r="M273">
        <v>3887</v>
      </c>
      <c r="N273">
        <v>135</v>
      </c>
      <c r="O273">
        <v>4011</v>
      </c>
      <c r="P273">
        <v>2022</v>
      </c>
      <c r="Q273">
        <v>69</v>
      </c>
      <c r="R273">
        <v>405</v>
      </c>
      <c r="S273">
        <v>398</v>
      </c>
      <c r="T273">
        <v>176</v>
      </c>
    </row>
    <row r="274" spans="1:20" x14ac:dyDescent="0.35">
      <c r="A274" s="1">
        <v>45888</v>
      </c>
      <c r="B274" s="2">
        <v>0.84162490740740747</v>
      </c>
      <c r="C274">
        <v>79</v>
      </c>
      <c r="D274">
        <v>63</v>
      </c>
      <c r="E274">
        <v>0</v>
      </c>
      <c r="F274">
        <v>0</v>
      </c>
      <c r="G274">
        <v>0</v>
      </c>
      <c r="H274">
        <v>2368</v>
      </c>
      <c r="I274">
        <v>1784</v>
      </c>
      <c r="J274">
        <v>0</v>
      </c>
      <c r="K274">
        <v>100</v>
      </c>
      <c r="L274">
        <v>4010</v>
      </c>
      <c r="M274">
        <v>3525</v>
      </c>
      <c r="N274">
        <v>120</v>
      </c>
      <c r="O274">
        <v>4011</v>
      </c>
      <c r="P274">
        <v>1911</v>
      </c>
      <c r="Q274">
        <v>64</v>
      </c>
      <c r="R274">
        <v>405</v>
      </c>
      <c r="S274">
        <v>398</v>
      </c>
      <c r="T274">
        <v>172</v>
      </c>
    </row>
    <row r="275" spans="1:20" x14ac:dyDescent="0.35">
      <c r="A275" s="1">
        <v>45888</v>
      </c>
      <c r="B275" s="2">
        <v>0.84164068287037042</v>
      </c>
      <c r="C275">
        <v>79</v>
      </c>
      <c r="D275">
        <v>68</v>
      </c>
      <c r="E275">
        <v>0</v>
      </c>
      <c r="F275">
        <v>0</v>
      </c>
      <c r="G275">
        <v>0</v>
      </c>
      <c r="H275">
        <v>2368</v>
      </c>
      <c r="I275">
        <v>1784</v>
      </c>
      <c r="J275">
        <v>0</v>
      </c>
      <c r="K275">
        <v>100</v>
      </c>
      <c r="L275">
        <v>4009</v>
      </c>
      <c r="M275">
        <v>3068</v>
      </c>
      <c r="N275">
        <v>105</v>
      </c>
      <c r="O275">
        <v>4011</v>
      </c>
      <c r="P275">
        <v>1776</v>
      </c>
      <c r="Q275">
        <v>62</v>
      </c>
      <c r="R275">
        <v>404</v>
      </c>
      <c r="S275">
        <v>398</v>
      </c>
      <c r="T275">
        <v>108</v>
      </c>
    </row>
    <row r="276" spans="1:20" x14ac:dyDescent="0.35">
      <c r="A276" s="1">
        <v>45888</v>
      </c>
      <c r="B276" s="2">
        <v>0.84165667824074075</v>
      </c>
      <c r="C276">
        <v>79</v>
      </c>
      <c r="D276">
        <v>73</v>
      </c>
      <c r="E276">
        <v>0</v>
      </c>
      <c r="F276">
        <v>0</v>
      </c>
      <c r="G276">
        <v>0</v>
      </c>
      <c r="H276">
        <v>2368</v>
      </c>
      <c r="I276">
        <v>1784</v>
      </c>
      <c r="J276">
        <v>0</v>
      </c>
      <c r="K276">
        <v>100</v>
      </c>
      <c r="L276">
        <v>4010</v>
      </c>
      <c r="M276">
        <v>2661</v>
      </c>
      <c r="N276">
        <v>91</v>
      </c>
      <c r="O276">
        <v>4011</v>
      </c>
      <c r="P276">
        <v>1607</v>
      </c>
      <c r="Q276">
        <v>56</v>
      </c>
      <c r="R276">
        <v>405</v>
      </c>
      <c r="S276">
        <v>398</v>
      </c>
      <c r="T276">
        <v>45</v>
      </c>
    </row>
    <row r="277" spans="1:20" x14ac:dyDescent="0.35">
      <c r="A277" s="1">
        <v>45888</v>
      </c>
      <c r="B277" s="2">
        <v>0.84167266203703694</v>
      </c>
      <c r="C277">
        <v>79</v>
      </c>
      <c r="D277">
        <v>78</v>
      </c>
      <c r="E277">
        <v>0</v>
      </c>
      <c r="F277">
        <v>0</v>
      </c>
      <c r="G277">
        <v>0</v>
      </c>
      <c r="H277">
        <v>2368</v>
      </c>
      <c r="I277">
        <v>1784</v>
      </c>
      <c r="J277">
        <v>0</v>
      </c>
      <c r="K277">
        <v>100</v>
      </c>
      <c r="L277">
        <v>4010</v>
      </c>
      <c r="M277">
        <v>2260</v>
      </c>
      <c r="N277">
        <v>76</v>
      </c>
      <c r="O277">
        <v>4012</v>
      </c>
      <c r="P277">
        <v>1366</v>
      </c>
      <c r="Q277">
        <v>48</v>
      </c>
      <c r="R277">
        <v>405</v>
      </c>
      <c r="S277">
        <v>398</v>
      </c>
      <c r="T277">
        <v>92</v>
      </c>
    </row>
    <row r="278" spans="1:20" x14ac:dyDescent="0.35">
      <c r="A278" s="1">
        <v>45888</v>
      </c>
      <c r="B278" s="2">
        <v>0.84168844907407403</v>
      </c>
      <c r="C278">
        <v>79</v>
      </c>
      <c r="D278">
        <v>83</v>
      </c>
      <c r="E278">
        <v>0</v>
      </c>
      <c r="F278">
        <v>0</v>
      </c>
      <c r="G278">
        <v>0</v>
      </c>
      <c r="H278">
        <v>2368</v>
      </c>
      <c r="I278">
        <v>1784</v>
      </c>
      <c r="J278">
        <v>0</v>
      </c>
      <c r="K278">
        <v>100</v>
      </c>
      <c r="L278">
        <v>4010</v>
      </c>
      <c r="M278">
        <v>1958</v>
      </c>
      <c r="N278">
        <v>67</v>
      </c>
      <c r="O278">
        <v>4011</v>
      </c>
      <c r="P278">
        <v>1079</v>
      </c>
      <c r="Q278">
        <v>38</v>
      </c>
      <c r="R278">
        <v>404</v>
      </c>
      <c r="S278">
        <v>398</v>
      </c>
      <c r="T278">
        <v>174</v>
      </c>
    </row>
    <row r="279" spans="1:20" x14ac:dyDescent="0.35">
      <c r="A279" s="1">
        <v>45888</v>
      </c>
      <c r="B279" s="2">
        <v>0.84170440972222216</v>
      </c>
      <c r="C279">
        <v>79</v>
      </c>
      <c r="D279">
        <v>88</v>
      </c>
      <c r="E279">
        <v>0</v>
      </c>
      <c r="F279">
        <v>0</v>
      </c>
      <c r="G279">
        <v>0</v>
      </c>
      <c r="H279">
        <v>2368</v>
      </c>
      <c r="I279">
        <v>1784</v>
      </c>
      <c r="J279">
        <v>0</v>
      </c>
      <c r="K279">
        <v>100</v>
      </c>
      <c r="L279">
        <v>4010</v>
      </c>
      <c r="M279">
        <v>1690</v>
      </c>
      <c r="N279">
        <v>58</v>
      </c>
      <c r="O279">
        <v>4012</v>
      </c>
      <c r="P279">
        <v>763</v>
      </c>
      <c r="Q279">
        <v>26</v>
      </c>
      <c r="R279">
        <v>404</v>
      </c>
      <c r="S279">
        <v>398</v>
      </c>
      <c r="T279">
        <v>35</v>
      </c>
    </row>
    <row r="280" spans="1:20" x14ac:dyDescent="0.35">
      <c r="A280" s="1">
        <v>45888</v>
      </c>
      <c r="B280" s="2">
        <v>0.84172021990740731</v>
      </c>
      <c r="C280">
        <v>79</v>
      </c>
      <c r="D280">
        <v>93</v>
      </c>
      <c r="E280">
        <v>0</v>
      </c>
      <c r="F280">
        <v>0</v>
      </c>
      <c r="G280">
        <v>0</v>
      </c>
      <c r="H280">
        <v>2368</v>
      </c>
      <c r="I280">
        <v>1784</v>
      </c>
      <c r="J280">
        <v>0</v>
      </c>
      <c r="K280">
        <v>100</v>
      </c>
      <c r="L280">
        <v>4010</v>
      </c>
      <c r="M280">
        <v>1480</v>
      </c>
      <c r="N280">
        <v>50</v>
      </c>
      <c r="O280">
        <v>4011</v>
      </c>
      <c r="P280">
        <v>531</v>
      </c>
      <c r="Q280">
        <v>18</v>
      </c>
      <c r="R280">
        <v>405</v>
      </c>
      <c r="S280">
        <v>398</v>
      </c>
      <c r="T280">
        <v>0</v>
      </c>
    </row>
    <row r="281" spans="1:20" x14ac:dyDescent="0.35">
      <c r="A281" s="1">
        <v>45888</v>
      </c>
      <c r="B281" s="2">
        <v>0.84173619212962958</v>
      </c>
      <c r="C281">
        <v>79</v>
      </c>
      <c r="D281">
        <v>98</v>
      </c>
      <c r="E281">
        <v>0</v>
      </c>
      <c r="F281">
        <v>0</v>
      </c>
      <c r="G281">
        <v>0</v>
      </c>
      <c r="H281">
        <v>2368</v>
      </c>
      <c r="I281">
        <v>1784</v>
      </c>
      <c r="J281">
        <v>0</v>
      </c>
      <c r="K281">
        <v>100</v>
      </c>
      <c r="L281">
        <v>4010</v>
      </c>
      <c r="M281">
        <v>1328</v>
      </c>
      <c r="N281">
        <v>46</v>
      </c>
      <c r="O281">
        <v>4011</v>
      </c>
      <c r="P281">
        <v>438</v>
      </c>
      <c r="Q281">
        <v>14</v>
      </c>
      <c r="R281">
        <v>404</v>
      </c>
      <c r="S281">
        <v>398</v>
      </c>
      <c r="T281">
        <v>78</v>
      </c>
    </row>
    <row r="282" spans="1:20" x14ac:dyDescent="0.35">
      <c r="A282" s="1">
        <v>45888</v>
      </c>
      <c r="B282" s="2">
        <v>0.84175215277777771</v>
      </c>
      <c r="C282">
        <v>79</v>
      </c>
      <c r="D282">
        <v>103</v>
      </c>
      <c r="E282">
        <v>0</v>
      </c>
      <c r="F282">
        <v>0</v>
      </c>
      <c r="G282">
        <v>0</v>
      </c>
      <c r="H282">
        <v>2368</v>
      </c>
      <c r="I282">
        <v>1784</v>
      </c>
      <c r="J282">
        <v>0</v>
      </c>
      <c r="K282">
        <v>100</v>
      </c>
      <c r="L282">
        <v>4010</v>
      </c>
      <c r="M282">
        <v>1198</v>
      </c>
      <c r="N282">
        <v>42</v>
      </c>
      <c r="O282">
        <v>4012</v>
      </c>
      <c r="P282">
        <v>404</v>
      </c>
      <c r="Q282">
        <v>15</v>
      </c>
      <c r="R282">
        <v>404</v>
      </c>
      <c r="S282">
        <v>398</v>
      </c>
      <c r="T282">
        <v>64</v>
      </c>
    </row>
    <row r="283" spans="1:20" x14ac:dyDescent="0.35">
      <c r="A283" s="1">
        <v>45888</v>
      </c>
      <c r="B283" s="2">
        <v>0.84176795138888894</v>
      </c>
      <c r="C283">
        <v>79</v>
      </c>
      <c r="D283">
        <v>108</v>
      </c>
      <c r="E283">
        <v>0</v>
      </c>
      <c r="F283">
        <v>0</v>
      </c>
      <c r="G283">
        <v>0</v>
      </c>
      <c r="H283">
        <v>2368</v>
      </c>
      <c r="I283">
        <v>1784</v>
      </c>
      <c r="J283">
        <v>0</v>
      </c>
      <c r="K283">
        <v>100</v>
      </c>
      <c r="L283">
        <v>4010</v>
      </c>
      <c r="M283">
        <v>1164</v>
      </c>
      <c r="N283">
        <v>40</v>
      </c>
      <c r="O283">
        <v>4012</v>
      </c>
      <c r="P283">
        <v>398</v>
      </c>
      <c r="Q283">
        <v>14</v>
      </c>
      <c r="R283">
        <v>404</v>
      </c>
      <c r="S283">
        <v>399</v>
      </c>
      <c r="T283">
        <v>255</v>
      </c>
    </row>
    <row r="284" spans="1:20" x14ac:dyDescent="0.35">
      <c r="A284" s="1">
        <v>45888</v>
      </c>
      <c r="B284" s="2">
        <v>0.84178396990740734</v>
      </c>
      <c r="C284">
        <v>79</v>
      </c>
      <c r="D284">
        <v>113</v>
      </c>
      <c r="E284">
        <v>0</v>
      </c>
      <c r="F284">
        <v>0</v>
      </c>
      <c r="G284">
        <v>0</v>
      </c>
      <c r="H284">
        <v>2368</v>
      </c>
      <c r="I284">
        <v>1784</v>
      </c>
      <c r="J284">
        <v>0</v>
      </c>
      <c r="K284">
        <v>100</v>
      </c>
      <c r="L284">
        <v>4009</v>
      </c>
      <c r="M284">
        <v>1083</v>
      </c>
      <c r="N284">
        <v>38</v>
      </c>
      <c r="O284">
        <v>4011</v>
      </c>
      <c r="P284">
        <v>384</v>
      </c>
      <c r="Q284">
        <v>14</v>
      </c>
      <c r="R284">
        <v>404</v>
      </c>
      <c r="S284">
        <v>398</v>
      </c>
      <c r="T284">
        <v>153</v>
      </c>
    </row>
    <row r="285" spans="1:20" x14ac:dyDescent="0.35">
      <c r="A285" s="1">
        <v>45888</v>
      </c>
      <c r="B285" s="2">
        <v>0.84179976851851857</v>
      </c>
      <c r="C285">
        <v>79</v>
      </c>
      <c r="D285">
        <v>118</v>
      </c>
      <c r="E285">
        <v>0</v>
      </c>
      <c r="F285">
        <v>0</v>
      </c>
      <c r="G285">
        <v>0</v>
      </c>
      <c r="H285">
        <v>2368</v>
      </c>
      <c r="I285">
        <v>1784</v>
      </c>
      <c r="J285">
        <v>0</v>
      </c>
      <c r="K285">
        <v>100</v>
      </c>
      <c r="L285">
        <v>4011</v>
      </c>
      <c r="M285">
        <v>908</v>
      </c>
      <c r="N285">
        <v>31</v>
      </c>
      <c r="O285">
        <v>4011</v>
      </c>
      <c r="P285">
        <v>368</v>
      </c>
      <c r="Q285">
        <v>13</v>
      </c>
      <c r="R285">
        <v>405</v>
      </c>
      <c r="S285">
        <v>398</v>
      </c>
      <c r="T285">
        <v>231</v>
      </c>
    </row>
    <row r="286" spans="1:20" x14ac:dyDescent="0.35">
      <c r="A286" s="1">
        <v>45888</v>
      </c>
      <c r="B286" s="2">
        <v>0.84181574074074084</v>
      </c>
      <c r="C286">
        <v>79</v>
      </c>
      <c r="D286">
        <v>123</v>
      </c>
      <c r="E286">
        <v>0</v>
      </c>
      <c r="F286">
        <v>0</v>
      </c>
      <c r="G286">
        <v>0</v>
      </c>
      <c r="H286">
        <v>2368</v>
      </c>
      <c r="I286">
        <v>1784</v>
      </c>
      <c r="J286">
        <v>0</v>
      </c>
      <c r="K286">
        <v>100</v>
      </c>
      <c r="L286">
        <v>4011</v>
      </c>
      <c r="M286">
        <v>695</v>
      </c>
      <c r="N286">
        <v>24</v>
      </c>
      <c r="O286">
        <v>4012</v>
      </c>
      <c r="P286">
        <v>355</v>
      </c>
      <c r="Q286">
        <v>12</v>
      </c>
      <c r="R286">
        <v>404</v>
      </c>
      <c r="S286">
        <v>398</v>
      </c>
      <c r="T286">
        <v>60</v>
      </c>
    </row>
    <row r="287" spans="1:20" x14ac:dyDescent="0.35">
      <c r="A287" s="1">
        <v>45888</v>
      </c>
      <c r="B287" s="2">
        <v>0.84183146990740743</v>
      </c>
      <c r="C287">
        <v>79</v>
      </c>
      <c r="D287">
        <v>128</v>
      </c>
      <c r="E287">
        <v>0</v>
      </c>
      <c r="F287">
        <v>0</v>
      </c>
      <c r="G287">
        <v>0</v>
      </c>
      <c r="H287">
        <v>2368</v>
      </c>
      <c r="I287">
        <v>1784</v>
      </c>
      <c r="J287">
        <v>0</v>
      </c>
      <c r="K287">
        <v>100</v>
      </c>
      <c r="L287">
        <v>4009</v>
      </c>
      <c r="M287">
        <v>486</v>
      </c>
      <c r="N287">
        <v>16</v>
      </c>
      <c r="O287">
        <v>4011</v>
      </c>
      <c r="P287">
        <v>344</v>
      </c>
      <c r="Q287">
        <v>12</v>
      </c>
      <c r="R287">
        <v>404</v>
      </c>
      <c r="S287">
        <v>398</v>
      </c>
      <c r="T287">
        <v>126</v>
      </c>
    </row>
    <row r="288" spans="1:20" x14ac:dyDescent="0.35">
      <c r="A288" s="1">
        <v>45888</v>
      </c>
      <c r="B288" s="2">
        <v>0.84184738425925931</v>
      </c>
      <c r="C288">
        <v>79</v>
      </c>
      <c r="D288">
        <v>133</v>
      </c>
      <c r="E288">
        <v>0</v>
      </c>
      <c r="F288">
        <v>0</v>
      </c>
      <c r="G288">
        <v>0</v>
      </c>
      <c r="H288">
        <v>2368</v>
      </c>
      <c r="I288">
        <v>1784</v>
      </c>
      <c r="J288">
        <v>0</v>
      </c>
      <c r="K288">
        <v>100</v>
      </c>
      <c r="L288">
        <v>4009</v>
      </c>
      <c r="M288">
        <v>358</v>
      </c>
      <c r="N288">
        <v>13</v>
      </c>
      <c r="O288">
        <v>4011</v>
      </c>
      <c r="P288">
        <v>339</v>
      </c>
      <c r="Q288">
        <v>13</v>
      </c>
      <c r="R288">
        <v>405</v>
      </c>
      <c r="S288">
        <v>398</v>
      </c>
      <c r="T288">
        <v>160</v>
      </c>
    </row>
    <row r="289" spans="1:20" x14ac:dyDescent="0.35">
      <c r="A289" s="1">
        <v>45888</v>
      </c>
      <c r="B289" s="2">
        <v>0.84186336805555551</v>
      </c>
      <c r="C289">
        <v>79</v>
      </c>
      <c r="D289">
        <v>138</v>
      </c>
      <c r="E289">
        <v>0</v>
      </c>
      <c r="F289">
        <v>0</v>
      </c>
      <c r="G289">
        <v>0</v>
      </c>
      <c r="H289">
        <v>2368</v>
      </c>
      <c r="I289">
        <v>1784</v>
      </c>
      <c r="J289">
        <v>0</v>
      </c>
      <c r="K289">
        <v>100</v>
      </c>
      <c r="L289">
        <v>4011</v>
      </c>
      <c r="M289">
        <v>302</v>
      </c>
      <c r="N289">
        <v>11</v>
      </c>
      <c r="O289">
        <v>4012</v>
      </c>
      <c r="P289">
        <v>336</v>
      </c>
      <c r="Q289">
        <v>12</v>
      </c>
      <c r="R289">
        <v>404</v>
      </c>
      <c r="S289">
        <v>398</v>
      </c>
      <c r="T289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1987-D70F-4E11-857D-9A5E9FBDCC4D}">
  <dimension ref="A1:X318"/>
  <sheetViews>
    <sheetView zoomScale="80" workbookViewId="0">
      <selection activeCell="I2" sqref="I2:I3"/>
    </sheetView>
  </sheetViews>
  <sheetFormatPr defaultRowHeight="14.5" x14ac:dyDescent="0.35"/>
  <cols>
    <col min="3" max="5" width="10.36328125" customWidth="1"/>
    <col min="7" max="7" width="12.26953125" customWidth="1"/>
    <col min="8" max="8" width="9.453125" customWidth="1"/>
    <col min="10" max="10" width="11.90625" customWidth="1"/>
    <col min="11" max="11" width="7.453125" style="3" bestFit="1" customWidth="1"/>
    <col min="12" max="12" width="9.36328125" style="3" customWidth="1"/>
    <col min="15" max="17" width="14.1796875" customWidth="1"/>
    <col min="18" max="18" width="15" customWidth="1"/>
    <col min="19" max="19" width="12.90625" customWidth="1"/>
    <col min="20" max="20" width="19.26953125" bestFit="1" customWidth="1"/>
    <col min="21" max="21" width="14.1796875" customWidth="1"/>
  </cols>
  <sheetData>
    <row r="1" spans="1:24" x14ac:dyDescent="0.35">
      <c r="I1" t="s">
        <v>20</v>
      </c>
      <c r="U1" t="s">
        <v>21</v>
      </c>
    </row>
    <row r="2" spans="1:24" x14ac:dyDescent="0.35">
      <c r="A2" t="s">
        <v>22</v>
      </c>
      <c r="I2">
        <v>760</v>
      </c>
      <c r="U2">
        <v>1350</v>
      </c>
    </row>
    <row r="3" spans="1:24" x14ac:dyDescent="0.35">
      <c r="A3" t="s">
        <v>23</v>
      </c>
      <c r="C3" t="s">
        <v>25</v>
      </c>
      <c r="F3" t="s">
        <v>29</v>
      </c>
      <c r="I3">
        <v>38.6</v>
      </c>
      <c r="J3" s="3" t="s">
        <v>32</v>
      </c>
      <c r="R3" t="s">
        <v>29</v>
      </c>
      <c r="U3">
        <v>71.5</v>
      </c>
      <c r="V3" t="s">
        <v>32</v>
      </c>
    </row>
    <row r="5" spans="1:24" s="4" customFormat="1" ht="29" x14ac:dyDescent="0.35">
      <c r="A5" s="4" t="s">
        <v>24</v>
      </c>
      <c r="C5" s="4" t="s">
        <v>26</v>
      </c>
      <c r="D5" s="4" t="s">
        <v>27</v>
      </c>
      <c r="E5" s="4" t="s">
        <v>28</v>
      </c>
      <c r="F5" s="4" t="s">
        <v>26</v>
      </c>
      <c r="G5" s="4" t="s">
        <v>27</v>
      </c>
      <c r="H5" s="4" t="s">
        <v>28</v>
      </c>
      <c r="I5" s="4" t="s">
        <v>20</v>
      </c>
      <c r="J5" s="4" t="s">
        <v>26</v>
      </c>
      <c r="K5" s="4" t="s">
        <v>27</v>
      </c>
      <c r="L5" s="4" t="s">
        <v>28</v>
      </c>
      <c r="O5" s="4" t="s">
        <v>30</v>
      </c>
      <c r="P5" s="4" t="s">
        <v>31</v>
      </c>
      <c r="Q5" s="4" t="s">
        <v>30</v>
      </c>
      <c r="R5" s="4" t="s">
        <v>30</v>
      </c>
      <c r="S5" s="4" t="s">
        <v>31</v>
      </c>
      <c r="T5" s="4" t="s">
        <v>30</v>
      </c>
      <c r="U5" s="4" t="s">
        <v>21</v>
      </c>
      <c r="V5" s="4" t="s">
        <v>30</v>
      </c>
      <c r="W5" s="4" t="s">
        <v>31</v>
      </c>
      <c r="X5" s="4" t="s">
        <v>30</v>
      </c>
    </row>
    <row r="6" spans="1:24" x14ac:dyDescent="0.35">
      <c r="A6">
        <v>100</v>
      </c>
      <c r="C6">
        <f>Reference_Data!L2-Dark!L2</f>
        <v>3837</v>
      </c>
      <c r="D6">
        <f>Reference_Data!M2-Dark!M2</f>
        <v>342</v>
      </c>
      <c r="E6">
        <f>Reference_Data!N2-Dark!N2</f>
        <v>11</v>
      </c>
      <c r="F6">
        <f>Sample_Data!L2-Dark!L2</f>
        <v>3836</v>
      </c>
      <c r="G6">
        <f>Sample_Data!M2-Dark!M2</f>
        <v>309</v>
      </c>
      <c r="H6">
        <f>Sample_Data!N2-Dark!N2</f>
        <v>9</v>
      </c>
      <c r="I6">
        <f t="shared" ref="I6:I69" si="0">$I$3*(A6/320)+$I$2</f>
        <v>772.0625</v>
      </c>
      <c r="J6" s="3">
        <f>F6/C6</f>
        <v>0.99973937972374249</v>
      </c>
      <c r="K6" s="3">
        <f>G6/D6</f>
        <v>0.90350877192982459</v>
      </c>
      <c r="L6" s="3">
        <f>H6/E6</f>
        <v>0.81818181818181823</v>
      </c>
      <c r="O6">
        <f>Reference_Data!O2-Dark!O2</f>
        <v>64</v>
      </c>
      <c r="P6">
        <f>Reference_Data!P2-Dark!P2</f>
        <v>185</v>
      </c>
      <c r="Q6">
        <f>Reference_Data!Q2-Dark!Q2</f>
        <v>6</v>
      </c>
      <c r="R6">
        <f>Sample_Data!O2-Dark!O2</f>
        <v>64</v>
      </c>
      <c r="S6">
        <f>Sample_Data!P2-Dark!P2</f>
        <v>148</v>
      </c>
      <c r="T6">
        <f>Sample_Data!Q2-Dark!Q2</f>
        <v>5</v>
      </c>
      <c r="U6">
        <f t="shared" ref="U6:U69" si="1">$U$3*(A6/320)+$U$2</f>
        <v>1372.34375</v>
      </c>
      <c r="V6">
        <f>R6/O6</f>
        <v>1</v>
      </c>
      <c r="W6">
        <f>S6/P6</f>
        <v>0.8</v>
      </c>
      <c r="X6">
        <f>T6/Q6</f>
        <v>0.83333333333333337</v>
      </c>
    </row>
    <row r="7" spans="1:24" x14ac:dyDescent="0.35">
      <c r="A7">
        <f>A6+30</f>
        <v>130</v>
      </c>
      <c r="C7">
        <f>Reference_Data!L3-Dark!L3</f>
        <v>3844</v>
      </c>
      <c r="D7">
        <f>Reference_Data!M3-Dark!M3</f>
        <v>338</v>
      </c>
      <c r="E7">
        <f>Reference_Data!N3-Dark!N3</f>
        <v>12</v>
      </c>
      <c r="F7">
        <f>Sample_Data!L3-Dark!L3</f>
        <v>3844</v>
      </c>
      <c r="G7">
        <f>Sample_Data!M3-Dark!M3</f>
        <v>304</v>
      </c>
      <c r="H7">
        <f>Sample_Data!N3-Dark!N3</f>
        <v>11</v>
      </c>
      <c r="I7">
        <f t="shared" si="0"/>
        <v>775.68124999999998</v>
      </c>
      <c r="J7" s="3">
        <f t="shared" ref="J7:J70" si="2">F7/C7</f>
        <v>1</v>
      </c>
      <c r="K7" s="3">
        <f t="shared" ref="K7:K70" si="3">G7/D7</f>
        <v>0.89940828402366868</v>
      </c>
      <c r="L7" s="3">
        <f t="shared" ref="L7:L70" si="4">H7/E7</f>
        <v>0.91666666666666663</v>
      </c>
      <c r="O7">
        <f>Reference_Data!O3-Dark!O3</f>
        <v>62</v>
      </c>
      <c r="P7">
        <f>Reference_Data!P3-Dark!P3</f>
        <v>187</v>
      </c>
      <c r="Q7">
        <f>Reference_Data!Q3-Dark!Q3</f>
        <v>7</v>
      </c>
      <c r="R7">
        <f>Sample_Data!O3-Dark!O3</f>
        <v>61</v>
      </c>
      <c r="S7">
        <f>Sample_Data!P3-Dark!P3</f>
        <v>148</v>
      </c>
      <c r="T7">
        <f>Sample_Data!Q3-Dark!Q3</f>
        <v>5</v>
      </c>
      <c r="U7">
        <f t="shared" si="1"/>
        <v>1379.046875</v>
      </c>
      <c r="V7">
        <f t="shared" ref="V7:V70" si="5">R7/O7</f>
        <v>0.9838709677419355</v>
      </c>
      <c r="W7">
        <f t="shared" ref="W7:W70" si="6">S7/P7</f>
        <v>0.79144385026737973</v>
      </c>
      <c r="X7">
        <f t="shared" ref="X7:X70" si="7">T7/Q7</f>
        <v>0.7142857142857143</v>
      </c>
    </row>
    <row r="8" spans="1:24" x14ac:dyDescent="0.35">
      <c r="A8">
        <f>A7+30</f>
        <v>160</v>
      </c>
      <c r="C8">
        <f>Reference_Data!L4-Dark!L4</f>
        <v>3840</v>
      </c>
      <c r="D8">
        <f>Reference_Data!M4-Dark!M4</f>
        <v>330</v>
      </c>
      <c r="E8">
        <f>Reference_Data!N4-Dark!N4</f>
        <v>11</v>
      </c>
      <c r="F8">
        <f>Sample_Data!L4-Dark!L4</f>
        <v>3840</v>
      </c>
      <c r="G8">
        <f>Sample_Data!M4-Dark!M4</f>
        <v>299</v>
      </c>
      <c r="H8">
        <f>Sample_Data!N4-Dark!N4</f>
        <v>10</v>
      </c>
      <c r="I8">
        <f t="shared" si="0"/>
        <v>779.3</v>
      </c>
      <c r="J8" s="3">
        <f t="shared" si="2"/>
        <v>1</v>
      </c>
      <c r="K8" s="3">
        <f t="shared" si="3"/>
        <v>0.90606060606060601</v>
      </c>
      <c r="L8" s="3">
        <f t="shared" si="4"/>
        <v>0.90909090909090906</v>
      </c>
      <c r="O8">
        <f>Reference_Data!O4-Dark!O4</f>
        <v>58</v>
      </c>
      <c r="P8">
        <f>Reference_Data!P4-Dark!P4</f>
        <v>186</v>
      </c>
      <c r="Q8">
        <f>Reference_Data!Q4-Dark!Q4</f>
        <v>7</v>
      </c>
      <c r="R8">
        <f>Sample_Data!O4-Dark!O4</f>
        <v>58</v>
      </c>
      <c r="S8">
        <f>Sample_Data!P4-Dark!P4</f>
        <v>147</v>
      </c>
      <c r="T8">
        <f>Sample_Data!Q4-Dark!Q4</f>
        <v>5</v>
      </c>
      <c r="U8">
        <f t="shared" si="1"/>
        <v>1385.75</v>
      </c>
      <c r="V8">
        <f t="shared" si="5"/>
        <v>1</v>
      </c>
      <c r="W8">
        <f t="shared" si="6"/>
        <v>0.79032258064516125</v>
      </c>
      <c r="X8">
        <f t="shared" si="7"/>
        <v>0.7142857142857143</v>
      </c>
    </row>
    <row r="9" spans="1:24" x14ac:dyDescent="0.35">
      <c r="A9">
        <f t="shared" ref="A9:A72" si="8">A8+30</f>
        <v>190</v>
      </c>
      <c r="C9">
        <f>Reference_Data!L5-Dark!L5</f>
        <v>3845</v>
      </c>
      <c r="D9">
        <f>Reference_Data!M5-Dark!M5</f>
        <v>328</v>
      </c>
      <c r="E9">
        <f>Reference_Data!N5-Dark!N5</f>
        <v>11</v>
      </c>
      <c r="F9">
        <f>Sample_Data!L5-Dark!L5</f>
        <v>3845</v>
      </c>
      <c r="G9">
        <f>Sample_Data!M5-Dark!M5</f>
        <v>294</v>
      </c>
      <c r="H9">
        <f>Sample_Data!N5-Dark!N5</f>
        <v>9</v>
      </c>
      <c r="I9">
        <f t="shared" si="0"/>
        <v>782.91875000000005</v>
      </c>
      <c r="J9" s="3">
        <f t="shared" si="2"/>
        <v>1</v>
      </c>
      <c r="K9" s="3">
        <f t="shared" si="3"/>
        <v>0.89634146341463417</v>
      </c>
      <c r="L9" s="3">
        <f t="shared" si="4"/>
        <v>0.81818181818181823</v>
      </c>
      <c r="O9">
        <f>Reference_Data!O5-Dark!O5</f>
        <v>54</v>
      </c>
      <c r="P9">
        <f>Reference_Data!P5-Dark!P5</f>
        <v>178</v>
      </c>
      <c r="Q9">
        <f>Reference_Data!Q5-Dark!Q5</f>
        <v>7</v>
      </c>
      <c r="R9">
        <f>Sample_Data!O5-Dark!O5</f>
        <v>54</v>
      </c>
      <c r="S9">
        <f>Sample_Data!P5-Dark!P5</f>
        <v>141</v>
      </c>
      <c r="T9">
        <f>Sample_Data!Q5-Dark!Q5</f>
        <v>5</v>
      </c>
      <c r="U9">
        <f t="shared" si="1"/>
        <v>1392.453125</v>
      </c>
      <c r="V9">
        <f t="shared" si="5"/>
        <v>1</v>
      </c>
      <c r="W9">
        <f t="shared" si="6"/>
        <v>0.7921348314606742</v>
      </c>
      <c r="X9">
        <f t="shared" si="7"/>
        <v>0.7142857142857143</v>
      </c>
    </row>
    <row r="10" spans="1:24" x14ac:dyDescent="0.35">
      <c r="A10">
        <f t="shared" si="8"/>
        <v>220</v>
      </c>
      <c r="C10">
        <f>Reference_Data!L6-Dark!L6</f>
        <v>3840</v>
      </c>
      <c r="D10">
        <f>Reference_Data!M6-Dark!M6</f>
        <v>325</v>
      </c>
      <c r="E10">
        <f>Reference_Data!N6-Dark!N6</f>
        <v>12</v>
      </c>
      <c r="F10">
        <f>Sample_Data!L6-Dark!L6</f>
        <v>3841</v>
      </c>
      <c r="G10">
        <f>Sample_Data!M6-Dark!M6</f>
        <v>292</v>
      </c>
      <c r="H10">
        <f>Sample_Data!N6-Dark!N6</f>
        <v>11</v>
      </c>
      <c r="I10">
        <f t="shared" si="0"/>
        <v>786.53750000000002</v>
      </c>
      <c r="J10" s="3">
        <f t="shared" si="2"/>
        <v>1.0002604166666667</v>
      </c>
      <c r="K10" s="3">
        <f t="shared" si="3"/>
        <v>0.89846153846153842</v>
      </c>
      <c r="L10" s="3">
        <f t="shared" si="4"/>
        <v>0.91666666666666663</v>
      </c>
      <c r="O10">
        <f>Reference_Data!O6-Dark!O6</f>
        <v>50</v>
      </c>
      <c r="P10">
        <f>Reference_Data!P6-Dark!P6</f>
        <v>173</v>
      </c>
      <c r="Q10">
        <f>Reference_Data!Q6-Dark!Q6</f>
        <v>7</v>
      </c>
      <c r="R10">
        <f>Sample_Data!O6-Dark!O6</f>
        <v>51</v>
      </c>
      <c r="S10">
        <f>Sample_Data!P6-Dark!P6</f>
        <v>138</v>
      </c>
      <c r="T10">
        <f>Sample_Data!Q6-Dark!Q6</f>
        <v>5</v>
      </c>
      <c r="U10">
        <f t="shared" si="1"/>
        <v>1399.15625</v>
      </c>
      <c r="V10">
        <f t="shared" si="5"/>
        <v>1.02</v>
      </c>
      <c r="W10">
        <f t="shared" si="6"/>
        <v>0.79768786127167635</v>
      </c>
      <c r="X10">
        <f t="shared" si="7"/>
        <v>0.7142857142857143</v>
      </c>
    </row>
    <row r="11" spans="1:24" x14ac:dyDescent="0.35">
      <c r="A11">
        <f t="shared" si="8"/>
        <v>250</v>
      </c>
      <c r="C11">
        <f>Reference_Data!L7-Dark!L7</f>
        <v>3840</v>
      </c>
      <c r="D11">
        <f>Reference_Data!M7-Dark!M7</f>
        <v>322</v>
      </c>
      <c r="E11">
        <f>Reference_Data!N7-Dark!N7</f>
        <v>11</v>
      </c>
      <c r="F11">
        <f>Sample_Data!L7-Dark!L7</f>
        <v>3839</v>
      </c>
      <c r="G11">
        <f>Sample_Data!M7-Dark!M7</f>
        <v>290</v>
      </c>
      <c r="H11">
        <f>Sample_Data!N7-Dark!N7</f>
        <v>11</v>
      </c>
      <c r="I11">
        <f t="shared" si="0"/>
        <v>790.15625</v>
      </c>
      <c r="J11" s="3">
        <f t="shared" si="2"/>
        <v>0.99973958333333335</v>
      </c>
      <c r="K11" s="3">
        <f t="shared" si="3"/>
        <v>0.90062111801242239</v>
      </c>
      <c r="L11" s="3">
        <f t="shared" si="4"/>
        <v>1</v>
      </c>
      <c r="O11">
        <f>Reference_Data!O7-Dark!O7</f>
        <v>48</v>
      </c>
      <c r="P11">
        <f>Reference_Data!P7-Dark!P7</f>
        <v>164</v>
      </c>
      <c r="Q11">
        <f>Reference_Data!Q7-Dark!Q7</f>
        <v>5</v>
      </c>
      <c r="R11">
        <f>Sample_Data!O7-Dark!O7</f>
        <v>48</v>
      </c>
      <c r="S11">
        <f>Sample_Data!P7-Dark!P7</f>
        <v>132</v>
      </c>
      <c r="T11">
        <f>Sample_Data!Q7-Dark!Q7</f>
        <v>4</v>
      </c>
      <c r="U11">
        <f t="shared" si="1"/>
        <v>1405.859375</v>
      </c>
      <c r="V11">
        <f t="shared" si="5"/>
        <v>1</v>
      </c>
      <c r="W11">
        <f t="shared" si="6"/>
        <v>0.80487804878048785</v>
      </c>
      <c r="X11">
        <f t="shared" si="7"/>
        <v>0.8</v>
      </c>
    </row>
    <row r="12" spans="1:24" x14ac:dyDescent="0.35">
      <c r="A12">
        <f t="shared" si="8"/>
        <v>280</v>
      </c>
      <c r="C12">
        <f>Reference_Data!L8-Dark!L8</f>
        <v>3830</v>
      </c>
      <c r="D12">
        <f>Reference_Data!M8-Dark!M8</f>
        <v>320</v>
      </c>
      <c r="E12">
        <f>Reference_Data!N8-Dark!N8</f>
        <v>11</v>
      </c>
      <c r="F12">
        <f>Sample_Data!L8-Dark!L8</f>
        <v>3831</v>
      </c>
      <c r="G12">
        <f>Sample_Data!M8-Dark!M8</f>
        <v>288</v>
      </c>
      <c r="H12">
        <f>Sample_Data!N8-Dark!N8</f>
        <v>10</v>
      </c>
      <c r="I12">
        <f t="shared" si="0"/>
        <v>793.77499999999998</v>
      </c>
      <c r="J12" s="3">
        <f t="shared" si="2"/>
        <v>1.0002610966057441</v>
      </c>
      <c r="K12" s="3">
        <f t="shared" si="3"/>
        <v>0.9</v>
      </c>
      <c r="L12" s="3">
        <f t="shared" si="4"/>
        <v>0.90909090909090906</v>
      </c>
      <c r="O12">
        <f>Reference_Data!O8-Dark!O8</f>
        <v>43</v>
      </c>
      <c r="P12">
        <f>Reference_Data!P8-Dark!P8</f>
        <v>152</v>
      </c>
      <c r="Q12">
        <f>Reference_Data!Q8-Dark!Q8</f>
        <v>5</v>
      </c>
      <c r="R12">
        <f>Sample_Data!O8-Dark!O8</f>
        <v>43</v>
      </c>
      <c r="S12">
        <f>Sample_Data!P8-Dark!P8</f>
        <v>123</v>
      </c>
      <c r="T12">
        <f>Sample_Data!Q8-Dark!Q8</f>
        <v>5</v>
      </c>
      <c r="U12">
        <f t="shared" si="1"/>
        <v>1412.5625</v>
      </c>
      <c r="V12">
        <f t="shared" si="5"/>
        <v>1</v>
      </c>
      <c r="W12">
        <f t="shared" si="6"/>
        <v>0.80921052631578949</v>
      </c>
      <c r="X12">
        <f t="shared" si="7"/>
        <v>1</v>
      </c>
    </row>
    <row r="13" spans="1:24" x14ac:dyDescent="0.35">
      <c r="A13">
        <f t="shared" si="8"/>
        <v>310</v>
      </c>
      <c r="C13">
        <f>Reference_Data!L9-Dark!L9</f>
        <v>3833</v>
      </c>
      <c r="D13">
        <f>Reference_Data!M9-Dark!M9</f>
        <v>321</v>
      </c>
      <c r="E13">
        <f>Reference_Data!N9-Dark!N9</f>
        <v>9</v>
      </c>
      <c r="F13">
        <f>Sample_Data!L9-Dark!L9</f>
        <v>3831</v>
      </c>
      <c r="G13">
        <f>Sample_Data!M9-Dark!M9</f>
        <v>288</v>
      </c>
      <c r="H13">
        <f>Sample_Data!N9-Dark!N9</f>
        <v>9</v>
      </c>
      <c r="I13">
        <f t="shared" si="0"/>
        <v>797.39374999999995</v>
      </c>
      <c r="J13" s="3">
        <f t="shared" si="2"/>
        <v>0.99947821549699978</v>
      </c>
      <c r="K13" s="3">
        <f t="shared" si="3"/>
        <v>0.89719626168224298</v>
      </c>
      <c r="L13" s="3">
        <f t="shared" si="4"/>
        <v>1</v>
      </c>
      <c r="O13">
        <f>Reference_Data!O9-Dark!O9</f>
        <v>41</v>
      </c>
      <c r="P13">
        <f>Reference_Data!P9-Dark!P9</f>
        <v>146</v>
      </c>
      <c r="Q13">
        <f>Reference_Data!Q9-Dark!Q9</f>
        <v>4</v>
      </c>
      <c r="R13">
        <f>Sample_Data!O9-Dark!O9</f>
        <v>41</v>
      </c>
      <c r="S13">
        <f>Sample_Data!P9-Dark!P9</f>
        <v>118</v>
      </c>
      <c r="T13">
        <f>Sample_Data!Q9-Dark!Q9</f>
        <v>4</v>
      </c>
      <c r="U13">
        <f t="shared" si="1"/>
        <v>1419.265625</v>
      </c>
      <c r="V13">
        <f t="shared" si="5"/>
        <v>1</v>
      </c>
      <c r="W13">
        <f t="shared" si="6"/>
        <v>0.80821917808219179</v>
      </c>
      <c r="X13">
        <f t="shared" si="7"/>
        <v>1</v>
      </c>
    </row>
    <row r="14" spans="1:24" x14ac:dyDescent="0.35">
      <c r="A14">
        <f t="shared" si="8"/>
        <v>340</v>
      </c>
      <c r="C14">
        <f>Reference_Data!L10-Dark!L10</f>
        <v>3834</v>
      </c>
      <c r="D14">
        <f>Reference_Data!M10-Dark!M10</f>
        <v>322</v>
      </c>
      <c r="E14">
        <f>Reference_Data!N10-Dark!N10</f>
        <v>11</v>
      </c>
      <c r="F14">
        <f>Sample_Data!L10-Dark!L10</f>
        <v>3834</v>
      </c>
      <c r="G14">
        <f>Sample_Data!M10-Dark!M10</f>
        <v>290</v>
      </c>
      <c r="H14">
        <f>Sample_Data!N10-Dark!N10</f>
        <v>8</v>
      </c>
      <c r="I14">
        <f t="shared" si="0"/>
        <v>801.01250000000005</v>
      </c>
      <c r="J14" s="3">
        <f t="shared" si="2"/>
        <v>1</v>
      </c>
      <c r="K14" s="3">
        <f t="shared" si="3"/>
        <v>0.90062111801242239</v>
      </c>
      <c r="L14" s="3">
        <f t="shared" si="4"/>
        <v>0.72727272727272729</v>
      </c>
      <c r="O14">
        <f>Reference_Data!O10-Dark!O10</f>
        <v>37</v>
      </c>
      <c r="P14">
        <f>Reference_Data!P10-Dark!P10</f>
        <v>144</v>
      </c>
      <c r="Q14">
        <f>Reference_Data!Q10-Dark!Q10</f>
        <v>4</v>
      </c>
      <c r="R14">
        <f>Sample_Data!O10-Dark!O10</f>
        <v>37</v>
      </c>
      <c r="S14">
        <f>Sample_Data!P10-Dark!P10</f>
        <v>117</v>
      </c>
      <c r="T14">
        <f>Sample_Data!Q10-Dark!Q10</f>
        <v>3</v>
      </c>
      <c r="U14">
        <f t="shared" si="1"/>
        <v>1425.96875</v>
      </c>
      <c r="V14">
        <f t="shared" si="5"/>
        <v>1</v>
      </c>
      <c r="W14">
        <f t="shared" si="6"/>
        <v>0.8125</v>
      </c>
      <c r="X14">
        <f t="shared" si="7"/>
        <v>0.75</v>
      </c>
    </row>
    <row r="15" spans="1:24" x14ac:dyDescent="0.35">
      <c r="A15">
        <f t="shared" si="8"/>
        <v>370</v>
      </c>
      <c r="C15">
        <f>Reference_Data!L11-Dark!L11</f>
        <v>3831</v>
      </c>
      <c r="D15">
        <f>Reference_Data!M11-Dark!M11</f>
        <v>325</v>
      </c>
      <c r="E15">
        <f>Reference_Data!N11-Dark!N11</f>
        <v>11</v>
      </c>
      <c r="F15">
        <f>Sample_Data!L11-Dark!L11</f>
        <v>3831</v>
      </c>
      <c r="G15">
        <f>Sample_Data!M11-Dark!M11</f>
        <v>293</v>
      </c>
      <c r="H15">
        <f>Sample_Data!N11-Dark!N11</f>
        <v>11</v>
      </c>
      <c r="I15">
        <f t="shared" si="0"/>
        <v>804.63125000000002</v>
      </c>
      <c r="J15" s="3">
        <f t="shared" si="2"/>
        <v>1</v>
      </c>
      <c r="K15" s="3">
        <f t="shared" si="3"/>
        <v>0.90153846153846151</v>
      </c>
      <c r="L15" s="3">
        <f t="shared" si="4"/>
        <v>1</v>
      </c>
      <c r="O15">
        <f>Reference_Data!O11-Dark!O11</f>
        <v>36</v>
      </c>
      <c r="P15">
        <f>Reference_Data!P11-Dark!P11</f>
        <v>146</v>
      </c>
      <c r="Q15">
        <f>Reference_Data!Q11-Dark!Q11</f>
        <v>4</v>
      </c>
      <c r="R15">
        <f>Sample_Data!O11-Dark!O11</f>
        <v>36</v>
      </c>
      <c r="S15">
        <f>Sample_Data!P11-Dark!P11</f>
        <v>118</v>
      </c>
      <c r="T15">
        <f>Sample_Data!Q11-Dark!Q11</f>
        <v>3</v>
      </c>
      <c r="U15">
        <f t="shared" si="1"/>
        <v>1432.671875</v>
      </c>
      <c r="V15">
        <f t="shared" si="5"/>
        <v>1</v>
      </c>
      <c r="W15">
        <f t="shared" si="6"/>
        <v>0.80821917808219179</v>
      </c>
      <c r="X15">
        <f t="shared" si="7"/>
        <v>0.75</v>
      </c>
    </row>
    <row r="16" spans="1:24" x14ac:dyDescent="0.35">
      <c r="A16">
        <f t="shared" si="8"/>
        <v>400</v>
      </c>
      <c r="C16">
        <f>Reference_Data!L12-Dark!L12</f>
        <v>3838</v>
      </c>
      <c r="D16">
        <f>Reference_Data!M12-Dark!M12</f>
        <v>332</v>
      </c>
      <c r="E16">
        <f>Reference_Data!N12-Dark!N12</f>
        <v>10</v>
      </c>
      <c r="F16">
        <f>Sample_Data!L12-Dark!L12</f>
        <v>3839</v>
      </c>
      <c r="G16">
        <f>Sample_Data!M12-Dark!M12</f>
        <v>299</v>
      </c>
      <c r="H16">
        <f>Sample_Data!N12-Dark!N12</f>
        <v>8</v>
      </c>
      <c r="I16">
        <f t="shared" si="0"/>
        <v>808.25</v>
      </c>
      <c r="J16" s="3">
        <f t="shared" si="2"/>
        <v>1.0002605523710266</v>
      </c>
      <c r="K16" s="3">
        <f t="shared" si="3"/>
        <v>0.9006024096385542</v>
      </c>
      <c r="L16" s="3">
        <f t="shared" si="4"/>
        <v>0.8</v>
      </c>
      <c r="O16">
        <f>Reference_Data!O12-Dark!O12</f>
        <v>33</v>
      </c>
      <c r="P16">
        <f>Reference_Data!P12-Dark!P12</f>
        <v>150</v>
      </c>
      <c r="Q16">
        <f>Reference_Data!Q12-Dark!Q12</f>
        <v>5</v>
      </c>
      <c r="R16">
        <f>Sample_Data!O12-Dark!O12</f>
        <v>33</v>
      </c>
      <c r="S16">
        <f>Sample_Data!P12-Dark!P12</f>
        <v>121</v>
      </c>
      <c r="T16">
        <f>Sample_Data!Q12-Dark!Q12</f>
        <v>3</v>
      </c>
      <c r="U16">
        <f t="shared" si="1"/>
        <v>1439.375</v>
      </c>
      <c r="V16">
        <f t="shared" si="5"/>
        <v>1</v>
      </c>
      <c r="W16">
        <f t="shared" si="6"/>
        <v>0.80666666666666664</v>
      </c>
      <c r="X16">
        <f t="shared" si="7"/>
        <v>0.6</v>
      </c>
    </row>
    <row r="17" spans="1:24" x14ac:dyDescent="0.35">
      <c r="A17">
        <f t="shared" si="8"/>
        <v>430</v>
      </c>
      <c r="C17">
        <f>Reference_Data!L13-Dark!L13</f>
        <v>3831</v>
      </c>
      <c r="D17">
        <f>Reference_Data!M13-Dark!M13</f>
        <v>357</v>
      </c>
      <c r="E17">
        <f>Reference_Data!N13-Dark!N13</f>
        <v>12</v>
      </c>
      <c r="F17">
        <f>Sample_Data!L13-Dark!L13</f>
        <v>3832</v>
      </c>
      <c r="G17">
        <f>Sample_Data!M13-Dark!M13</f>
        <v>317</v>
      </c>
      <c r="H17">
        <f>Sample_Data!N13-Dark!N13</f>
        <v>12</v>
      </c>
      <c r="I17">
        <f t="shared" si="0"/>
        <v>811.86874999999998</v>
      </c>
      <c r="J17" s="3">
        <f t="shared" si="2"/>
        <v>1.0002610284521012</v>
      </c>
      <c r="K17" s="3">
        <f t="shared" si="3"/>
        <v>0.88795518207282909</v>
      </c>
      <c r="L17" s="3">
        <f t="shared" si="4"/>
        <v>1</v>
      </c>
      <c r="O17">
        <f>Reference_Data!O13-Dark!O13</f>
        <v>32</v>
      </c>
      <c r="P17">
        <f>Reference_Data!P13-Dark!P13</f>
        <v>160</v>
      </c>
      <c r="Q17">
        <f>Reference_Data!Q13-Dark!Q13</f>
        <v>6</v>
      </c>
      <c r="R17">
        <f>Sample_Data!O13-Dark!O13</f>
        <v>32</v>
      </c>
      <c r="S17">
        <f>Sample_Data!P13-Dark!P13</f>
        <v>128</v>
      </c>
      <c r="T17">
        <f>Sample_Data!Q13-Dark!Q13</f>
        <v>4</v>
      </c>
      <c r="U17">
        <f t="shared" si="1"/>
        <v>1446.078125</v>
      </c>
      <c r="V17">
        <f t="shared" si="5"/>
        <v>1</v>
      </c>
      <c r="W17">
        <f t="shared" si="6"/>
        <v>0.8</v>
      </c>
      <c r="X17">
        <f t="shared" si="7"/>
        <v>0.66666666666666663</v>
      </c>
    </row>
    <row r="18" spans="1:24" x14ac:dyDescent="0.35">
      <c r="A18">
        <f t="shared" si="8"/>
        <v>460</v>
      </c>
      <c r="C18">
        <f>Reference_Data!L14-Dark!L14</f>
        <v>3834</v>
      </c>
      <c r="D18">
        <f>Reference_Data!M14-Dark!M14</f>
        <v>382</v>
      </c>
      <c r="E18">
        <f>Reference_Data!N14-Dark!N14</f>
        <v>12</v>
      </c>
      <c r="F18">
        <f>Sample_Data!L14-Dark!L14</f>
        <v>3834</v>
      </c>
      <c r="G18">
        <f>Sample_Data!M14-Dark!M14</f>
        <v>338</v>
      </c>
      <c r="H18">
        <f>Sample_Data!N14-Dark!N14</f>
        <v>13</v>
      </c>
      <c r="I18">
        <f t="shared" si="0"/>
        <v>815.48749999999995</v>
      </c>
      <c r="J18" s="3">
        <f t="shared" si="2"/>
        <v>1</v>
      </c>
      <c r="K18" s="3">
        <f t="shared" si="3"/>
        <v>0.88481675392670156</v>
      </c>
      <c r="L18" s="3">
        <f t="shared" si="4"/>
        <v>1.0833333333333333</v>
      </c>
      <c r="O18">
        <f>Reference_Data!O14-Dark!O14</f>
        <v>28</v>
      </c>
      <c r="P18">
        <f>Reference_Data!P14-Dark!P14</f>
        <v>169</v>
      </c>
      <c r="Q18">
        <f>Reference_Data!Q14-Dark!Q14</f>
        <v>5</v>
      </c>
      <c r="R18">
        <f>Sample_Data!O14-Dark!O14</f>
        <v>29</v>
      </c>
      <c r="S18">
        <f>Sample_Data!P14-Dark!P14</f>
        <v>134</v>
      </c>
      <c r="T18">
        <f>Sample_Data!Q14-Dark!Q14</f>
        <v>4</v>
      </c>
      <c r="U18">
        <f t="shared" si="1"/>
        <v>1452.78125</v>
      </c>
      <c r="V18">
        <f t="shared" si="5"/>
        <v>1.0357142857142858</v>
      </c>
      <c r="W18">
        <f t="shared" si="6"/>
        <v>0.79289940828402372</v>
      </c>
      <c r="X18">
        <f t="shared" si="7"/>
        <v>0.8</v>
      </c>
    </row>
    <row r="19" spans="1:24" x14ac:dyDescent="0.35">
      <c r="A19">
        <f t="shared" si="8"/>
        <v>490</v>
      </c>
      <c r="C19">
        <f>Reference_Data!L15-Dark!L15</f>
        <v>3826</v>
      </c>
      <c r="D19">
        <f>Reference_Data!M15-Dark!M15</f>
        <v>440</v>
      </c>
      <c r="E19">
        <f>Reference_Data!N15-Dark!N15</f>
        <v>15</v>
      </c>
      <c r="F19">
        <f>Sample_Data!L15-Dark!L15</f>
        <v>3826</v>
      </c>
      <c r="G19">
        <f>Sample_Data!M15-Dark!M15</f>
        <v>384</v>
      </c>
      <c r="H19">
        <f>Sample_Data!N15-Dark!N15</f>
        <v>12</v>
      </c>
      <c r="I19">
        <f t="shared" si="0"/>
        <v>819.10625000000005</v>
      </c>
      <c r="J19" s="3">
        <f t="shared" si="2"/>
        <v>1</v>
      </c>
      <c r="K19" s="3">
        <f t="shared" si="3"/>
        <v>0.87272727272727268</v>
      </c>
      <c r="L19" s="3">
        <f t="shared" si="4"/>
        <v>0.8</v>
      </c>
      <c r="O19">
        <f>Reference_Data!O15-Dark!O15</f>
        <v>26</v>
      </c>
      <c r="P19">
        <f>Reference_Data!P15-Dark!P15</f>
        <v>180</v>
      </c>
      <c r="Q19">
        <f>Reference_Data!Q15-Dark!Q15</f>
        <v>7</v>
      </c>
      <c r="R19">
        <f>Sample_Data!O15-Dark!O15</f>
        <v>27</v>
      </c>
      <c r="S19">
        <f>Sample_Data!P15-Dark!P15</f>
        <v>140</v>
      </c>
      <c r="T19">
        <f>Sample_Data!Q15-Dark!Q15</f>
        <v>5</v>
      </c>
      <c r="U19">
        <f t="shared" si="1"/>
        <v>1459.484375</v>
      </c>
      <c r="V19">
        <f t="shared" si="5"/>
        <v>1.0384615384615385</v>
      </c>
      <c r="W19">
        <f t="shared" si="6"/>
        <v>0.77777777777777779</v>
      </c>
      <c r="X19">
        <f t="shared" si="7"/>
        <v>0.7142857142857143</v>
      </c>
    </row>
    <row r="20" spans="1:24" x14ac:dyDescent="0.35">
      <c r="A20">
        <f t="shared" si="8"/>
        <v>520</v>
      </c>
      <c r="C20">
        <f>Reference_Data!L16-Dark!L16</f>
        <v>3828</v>
      </c>
      <c r="D20">
        <f>Reference_Data!M16-Dark!M16</f>
        <v>550</v>
      </c>
      <c r="E20">
        <f>Reference_Data!N16-Dark!N16</f>
        <v>17</v>
      </c>
      <c r="F20">
        <f>Sample_Data!L16-Dark!L16</f>
        <v>3828</v>
      </c>
      <c r="G20">
        <f>Sample_Data!M16-Dark!M16</f>
        <v>469</v>
      </c>
      <c r="H20">
        <f>Sample_Data!N16-Dark!N16</f>
        <v>14</v>
      </c>
      <c r="I20">
        <f t="shared" si="0"/>
        <v>822.72500000000002</v>
      </c>
      <c r="J20" s="3">
        <f t="shared" si="2"/>
        <v>1</v>
      </c>
      <c r="K20" s="3">
        <f t="shared" si="3"/>
        <v>0.85272727272727278</v>
      </c>
      <c r="L20" s="3">
        <f t="shared" si="4"/>
        <v>0.82352941176470584</v>
      </c>
      <c r="O20">
        <f>Reference_Data!O16-Dark!O16</f>
        <v>25</v>
      </c>
      <c r="P20">
        <f>Reference_Data!P16-Dark!P16</f>
        <v>190</v>
      </c>
      <c r="Q20">
        <f>Reference_Data!Q16-Dark!Q16</f>
        <v>7</v>
      </c>
      <c r="R20">
        <f>Sample_Data!O16-Dark!O16</f>
        <v>25</v>
      </c>
      <c r="S20">
        <f>Sample_Data!P16-Dark!P16</f>
        <v>147</v>
      </c>
      <c r="T20">
        <f>Sample_Data!Q16-Dark!Q16</f>
        <v>5</v>
      </c>
      <c r="U20">
        <f t="shared" si="1"/>
        <v>1466.1875</v>
      </c>
      <c r="V20">
        <f t="shared" si="5"/>
        <v>1</v>
      </c>
      <c r="W20">
        <f t="shared" si="6"/>
        <v>0.77368421052631575</v>
      </c>
      <c r="X20">
        <f t="shared" si="7"/>
        <v>0.7142857142857143</v>
      </c>
    </row>
    <row r="21" spans="1:24" x14ac:dyDescent="0.35">
      <c r="A21">
        <f t="shared" si="8"/>
        <v>550</v>
      </c>
      <c r="C21">
        <f>Reference_Data!L17-Dark!L17</f>
        <v>3828</v>
      </c>
      <c r="D21">
        <f>Reference_Data!M17-Dark!M17</f>
        <v>772</v>
      </c>
      <c r="E21">
        <f>Reference_Data!N17-Dark!N17</f>
        <v>26</v>
      </c>
      <c r="F21">
        <f>Sample_Data!L17-Dark!L17</f>
        <v>3828</v>
      </c>
      <c r="G21">
        <f>Sample_Data!M17-Dark!M17</f>
        <v>636</v>
      </c>
      <c r="H21">
        <f>Sample_Data!N17-Dark!N17</f>
        <v>22</v>
      </c>
      <c r="I21">
        <f t="shared" si="0"/>
        <v>826.34375</v>
      </c>
      <c r="J21" s="3">
        <f t="shared" si="2"/>
        <v>1</v>
      </c>
      <c r="K21" s="3">
        <f t="shared" si="3"/>
        <v>0.82383419689119175</v>
      </c>
      <c r="L21" s="3">
        <f t="shared" si="4"/>
        <v>0.84615384615384615</v>
      </c>
      <c r="O21">
        <f>Reference_Data!O17-Dark!O17</f>
        <v>24</v>
      </c>
      <c r="P21">
        <f>Reference_Data!P17-Dark!P17</f>
        <v>203</v>
      </c>
      <c r="Q21">
        <f>Reference_Data!Q17-Dark!Q17</f>
        <v>6</v>
      </c>
      <c r="R21">
        <f>Sample_Data!O17-Dark!O17</f>
        <v>25</v>
      </c>
      <c r="S21">
        <f>Sample_Data!P17-Dark!P17</f>
        <v>154</v>
      </c>
      <c r="T21">
        <f>Sample_Data!Q17-Dark!Q17</f>
        <v>5</v>
      </c>
      <c r="U21">
        <f t="shared" si="1"/>
        <v>1472.890625</v>
      </c>
      <c r="V21">
        <f t="shared" si="5"/>
        <v>1.0416666666666667</v>
      </c>
      <c r="W21">
        <f t="shared" si="6"/>
        <v>0.75862068965517238</v>
      </c>
      <c r="X21">
        <f t="shared" si="7"/>
        <v>0.83333333333333337</v>
      </c>
    </row>
    <row r="22" spans="1:24" x14ac:dyDescent="0.35">
      <c r="A22">
        <f t="shared" si="8"/>
        <v>580</v>
      </c>
      <c r="C22">
        <f>Reference_Data!L18-Dark!L18</f>
        <v>3826</v>
      </c>
      <c r="D22">
        <f>Reference_Data!M18-Dark!M18</f>
        <v>1139</v>
      </c>
      <c r="E22">
        <f>Reference_Data!N18-Dark!N18</f>
        <v>39</v>
      </c>
      <c r="F22">
        <f>Sample_Data!L18-Dark!L18</f>
        <v>3827</v>
      </c>
      <c r="G22">
        <f>Sample_Data!M18-Dark!M18</f>
        <v>925</v>
      </c>
      <c r="H22">
        <f>Sample_Data!N18-Dark!N18</f>
        <v>30</v>
      </c>
      <c r="I22">
        <f t="shared" si="0"/>
        <v>829.96249999999998</v>
      </c>
      <c r="J22" s="3">
        <f t="shared" si="2"/>
        <v>1.0002613695765812</v>
      </c>
      <c r="K22" s="3">
        <f t="shared" si="3"/>
        <v>0.81211589113257243</v>
      </c>
      <c r="L22" s="3">
        <f t="shared" si="4"/>
        <v>0.76923076923076927</v>
      </c>
      <c r="O22">
        <f>Reference_Data!O18-Dark!O18</f>
        <v>24</v>
      </c>
      <c r="P22">
        <f>Reference_Data!P18-Dark!P18</f>
        <v>218</v>
      </c>
      <c r="Q22">
        <f>Reference_Data!Q18-Dark!Q18</f>
        <v>8</v>
      </c>
      <c r="R22">
        <f>Sample_Data!O18-Dark!O18</f>
        <v>24</v>
      </c>
      <c r="S22">
        <f>Sample_Data!P18-Dark!P18</f>
        <v>162</v>
      </c>
      <c r="T22">
        <f>Sample_Data!Q18-Dark!Q18</f>
        <v>6</v>
      </c>
      <c r="U22">
        <f t="shared" si="1"/>
        <v>1479.59375</v>
      </c>
      <c r="V22">
        <f t="shared" si="5"/>
        <v>1</v>
      </c>
      <c r="W22">
        <f t="shared" si="6"/>
        <v>0.74311926605504586</v>
      </c>
      <c r="X22">
        <f t="shared" si="7"/>
        <v>0.75</v>
      </c>
    </row>
    <row r="23" spans="1:24" x14ac:dyDescent="0.35">
      <c r="A23">
        <f t="shared" si="8"/>
        <v>610</v>
      </c>
      <c r="C23">
        <f>Reference_Data!L19-Dark!L19</f>
        <v>3829</v>
      </c>
      <c r="D23">
        <f>Reference_Data!M19-Dark!M19</f>
        <v>1557</v>
      </c>
      <c r="E23">
        <f>Reference_Data!N19-Dark!N19</f>
        <v>53</v>
      </c>
      <c r="F23">
        <f>Sample_Data!L19-Dark!L19</f>
        <v>3829</v>
      </c>
      <c r="G23">
        <f>Sample_Data!M19-Dark!M19</f>
        <v>1231</v>
      </c>
      <c r="H23">
        <f>Sample_Data!N19-Dark!N19</f>
        <v>42</v>
      </c>
      <c r="I23">
        <f t="shared" si="0"/>
        <v>833.58124999999995</v>
      </c>
      <c r="J23" s="3">
        <f t="shared" si="2"/>
        <v>1</v>
      </c>
      <c r="K23" s="3">
        <f t="shared" si="3"/>
        <v>0.79062299293513172</v>
      </c>
      <c r="L23" s="3">
        <f t="shared" si="4"/>
        <v>0.79245283018867929</v>
      </c>
      <c r="O23">
        <f>Reference_Data!O19-Dark!O19</f>
        <v>24</v>
      </c>
      <c r="P23">
        <f>Reference_Data!P19-Dark!P19</f>
        <v>232</v>
      </c>
      <c r="Q23">
        <f>Reference_Data!Q19-Dark!Q19</f>
        <v>8</v>
      </c>
      <c r="R23">
        <f>Sample_Data!O19-Dark!O19</f>
        <v>24</v>
      </c>
      <c r="S23">
        <f>Sample_Data!P19-Dark!P19</f>
        <v>172</v>
      </c>
      <c r="T23">
        <f>Sample_Data!Q19-Dark!Q19</f>
        <v>7</v>
      </c>
      <c r="U23">
        <f t="shared" si="1"/>
        <v>1486.296875</v>
      </c>
      <c r="V23">
        <f t="shared" si="5"/>
        <v>1</v>
      </c>
      <c r="W23">
        <f t="shared" si="6"/>
        <v>0.74137931034482762</v>
      </c>
      <c r="X23">
        <f t="shared" si="7"/>
        <v>0.875</v>
      </c>
    </row>
    <row r="24" spans="1:24" x14ac:dyDescent="0.35">
      <c r="A24">
        <f t="shared" si="8"/>
        <v>640</v>
      </c>
      <c r="C24">
        <f>Reference_Data!L20-Dark!L20</f>
        <v>3830</v>
      </c>
      <c r="D24">
        <f>Reference_Data!M20-Dark!M20</f>
        <v>1931</v>
      </c>
      <c r="E24">
        <f>Reference_Data!N20-Dark!N20</f>
        <v>66</v>
      </c>
      <c r="F24">
        <f>Sample_Data!L20-Dark!L20</f>
        <v>3830</v>
      </c>
      <c r="G24">
        <f>Sample_Data!M20-Dark!M20</f>
        <v>1517</v>
      </c>
      <c r="H24">
        <f>Sample_Data!N20-Dark!N20</f>
        <v>52</v>
      </c>
      <c r="I24">
        <f t="shared" si="0"/>
        <v>837.2</v>
      </c>
      <c r="J24" s="3">
        <f t="shared" si="2"/>
        <v>1</v>
      </c>
      <c r="K24" s="3">
        <f t="shared" si="3"/>
        <v>0.78560331434489905</v>
      </c>
      <c r="L24" s="3">
        <f t="shared" si="4"/>
        <v>0.78787878787878785</v>
      </c>
      <c r="O24">
        <f>Reference_Data!O20-Dark!O20</f>
        <v>24</v>
      </c>
      <c r="P24">
        <f>Reference_Data!P20-Dark!P20</f>
        <v>252</v>
      </c>
      <c r="Q24">
        <f>Reference_Data!Q20-Dark!Q20</f>
        <v>8</v>
      </c>
      <c r="R24">
        <f>Sample_Data!O20-Dark!O20</f>
        <v>24</v>
      </c>
      <c r="S24">
        <f>Sample_Data!P20-Dark!P20</f>
        <v>186</v>
      </c>
      <c r="T24">
        <f>Sample_Data!Q20-Dark!Q20</f>
        <v>7</v>
      </c>
      <c r="U24">
        <f t="shared" si="1"/>
        <v>1493</v>
      </c>
      <c r="V24">
        <f t="shared" si="5"/>
        <v>1</v>
      </c>
      <c r="W24">
        <f t="shared" si="6"/>
        <v>0.73809523809523814</v>
      </c>
      <c r="X24">
        <f t="shared" si="7"/>
        <v>0.875</v>
      </c>
    </row>
    <row r="25" spans="1:24" x14ac:dyDescent="0.35">
      <c r="A25">
        <f t="shared" si="8"/>
        <v>670</v>
      </c>
      <c r="C25">
        <f>Reference_Data!L21-Dark!L21</f>
        <v>3843</v>
      </c>
      <c r="D25">
        <f>Reference_Data!M21-Dark!M21</f>
        <v>2257</v>
      </c>
      <c r="E25">
        <f>Reference_Data!N21-Dark!N21</f>
        <v>76</v>
      </c>
      <c r="F25">
        <f>Sample_Data!L21-Dark!L21</f>
        <v>3844</v>
      </c>
      <c r="G25">
        <f>Sample_Data!M21-Dark!M21</f>
        <v>1773</v>
      </c>
      <c r="H25">
        <f>Sample_Data!N21-Dark!N21</f>
        <v>59</v>
      </c>
      <c r="I25">
        <f t="shared" si="0"/>
        <v>840.81875000000002</v>
      </c>
      <c r="J25" s="3">
        <f t="shared" si="2"/>
        <v>1.0002602133749674</v>
      </c>
      <c r="K25" s="3">
        <f t="shared" si="3"/>
        <v>0.78555604785112987</v>
      </c>
      <c r="L25" s="3">
        <f t="shared" si="4"/>
        <v>0.77631578947368418</v>
      </c>
      <c r="O25">
        <f>Reference_Data!O21-Dark!O21</f>
        <v>24</v>
      </c>
      <c r="P25">
        <f>Reference_Data!P21-Dark!P21</f>
        <v>283</v>
      </c>
      <c r="Q25">
        <f>Reference_Data!Q21-Dark!Q21</f>
        <v>10</v>
      </c>
      <c r="R25">
        <f>Sample_Data!O21-Dark!O21</f>
        <v>23</v>
      </c>
      <c r="S25">
        <f>Sample_Data!P21-Dark!P21</f>
        <v>212</v>
      </c>
      <c r="T25">
        <f>Sample_Data!Q21-Dark!Q21</f>
        <v>6</v>
      </c>
      <c r="U25">
        <f t="shared" si="1"/>
        <v>1499.703125</v>
      </c>
      <c r="V25">
        <f t="shared" si="5"/>
        <v>0.95833333333333337</v>
      </c>
      <c r="W25">
        <f t="shared" si="6"/>
        <v>0.74911660777385158</v>
      </c>
      <c r="X25">
        <f t="shared" si="7"/>
        <v>0.6</v>
      </c>
    </row>
    <row r="26" spans="1:24" x14ac:dyDescent="0.35">
      <c r="A26">
        <f t="shared" si="8"/>
        <v>700</v>
      </c>
      <c r="C26">
        <f>Reference_Data!L22-Dark!L22</f>
        <v>3823</v>
      </c>
      <c r="D26">
        <f>Reference_Data!M22-Dark!M22</f>
        <v>2471</v>
      </c>
      <c r="E26">
        <f>Reference_Data!N22-Dark!N22</f>
        <v>82</v>
      </c>
      <c r="F26">
        <f>Sample_Data!L22-Dark!L22</f>
        <v>3824</v>
      </c>
      <c r="G26">
        <f>Sample_Data!M22-Dark!M22</f>
        <v>1935</v>
      </c>
      <c r="H26">
        <f>Sample_Data!N22-Dark!N22</f>
        <v>64</v>
      </c>
      <c r="I26">
        <f t="shared" si="0"/>
        <v>844.4375</v>
      </c>
      <c r="J26" s="3">
        <f t="shared" si="2"/>
        <v>1.0002615746795711</v>
      </c>
      <c r="K26" s="3">
        <f t="shared" si="3"/>
        <v>0.78308377175232702</v>
      </c>
      <c r="L26" s="3">
        <f t="shared" si="4"/>
        <v>0.78048780487804881</v>
      </c>
      <c r="O26">
        <f>Reference_Data!O22-Dark!O22</f>
        <v>25</v>
      </c>
      <c r="P26">
        <f>Reference_Data!P22-Dark!P22</f>
        <v>318</v>
      </c>
      <c r="Q26">
        <f>Reference_Data!Q22-Dark!Q22</f>
        <v>10</v>
      </c>
      <c r="R26">
        <f>Sample_Data!O22-Dark!O22</f>
        <v>25</v>
      </c>
      <c r="S26">
        <f>Sample_Data!P22-Dark!P22</f>
        <v>243</v>
      </c>
      <c r="T26">
        <f>Sample_Data!Q22-Dark!Q22</f>
        <v>8</v>
      </c>
      <c r="U26">
        <f t="shared" si="1"/>
        <v>1506.40625</v>
      </c>
      <c r="V26">
        <f t="shared" si="5"/>
        <v>1</v>
      </c>
      <c r="W26">
        <f t="shared" si="6"/>
        <v>0.76415094339622647</v>
      </c>
      <c r="X26">
        <f t="shared" si="7"/>
        <v>0.8</v>
      </c>
    </row>
    <row r="27" spans="1:24" x14ac:dyDescent="0.35">
      <c r="A27">
        <f t="shared" si="8"/>
        <v>730</v>
      </c>
      <c r="C27">
        <f>Reference_Data!L23-Dark!L23</f>
        <v>3824</v>
      </c>
      <c r="D27">
        <f>Reference_Data!M23-Dark!M23</f>
        <v>2582</v>
      </c>
      <c r="E27">
        <f>Reference_Data!N23-Dark!N23</f>
        <v>88</v>
      </c>
      <c r="F27">
        <f>Sample_Data!L23-Dark!L23</f>
        <v>3823</v>
      </c>
      <c r="G27">
        <f>Sample_Data!M23-Dark!M23</f>
        <v>2023</v>
      </c>
      <c r="H27">
        <f>Sample_Data!N23-Dark!N23</f>
        <v>70</v>
      </c>
      <c r="I27">
        <f t="shared" si="0"/>
        <v>848.05624999999998</v>
      </c>
      <c r="J27" s="3">
        <f t="shared" si="2"/>
        <v>0.99973849372384938</v>
      </c>
      <c r="K27" s="3">
        <f t="shared" si="3"/>
        <v>0.78350116189000774</v>
      </c>
      <c r="L27" s="3">
        <f t="shared" si="4"/>
        <v>0.79545454545454541</v>
      </c>
      <c r="O27">
        <f>Reference_Data!O23-Dark!O23</f>
        <v>27</v>
      </c>
      <c r="P27">
        <f>Reference_Data!P23-Dark!P23</f>
        <v>367</v>
      </c>
      <c r="Q27">
        <f>Reference_Data!Q23-Dark!Q23</f>
        <v>12</v>
      </c>
      <c r="R27">
        <f>Sample_Data!O23-Dark!O23</f>
        <v>27</v>
      </c>
      <c r="S27">
        <f>Sample_Data!P23-Dark!P23</f>
        <v>286</v>
      </c>
      <c r="T27">
        <f>Sample_Data!Q23-Dark!Q23</f>
        <v>9</v>
      </c>
      <c r="U27">
        <f t="shared" si="1"/>
        <v>1513.109375</v>
      </c>
      <c r="V27">
        <f t="shared" si="5"/>
        <v>1</v>
      </c>
      <c r="W27">
        <f t="shared" si="6"/>
        <v>0.77929155313351495</v>
      </c>
      <c r="X27">
        <f t="shared" si="7"/>
        <v>0.75</v>
      </c>
    </row>
    <row r="28" spans="1:24" x14ac:dyDescent="0.35">
      <c r="A28">
        <f t="shared" si="8"/>
        <v>760</v>
      </c>
      <c r="C28">
        <f>Reference_Data!L24-Dark!L24</f>
        <v>3836</v>
      </c>
      <c r="D28">
        <f>Reference_Data!M24-Dark!M24</f>
        <v>2681</v>
      </c>
      <c r="E28">
        <f>Reference_Data!N24-Dark!N24</f>
        <v>90</v>
      </c>
      <c r="F28">
        <f>Sample_Data!L24-Dark!L24</f>
        <v>3837</v>
      </c>
      <c r="G28">
        <f>Sample_Data!M24-Dark!M24</f>
        <v>2094</v>
      </c>
      <c r="H28">
        <f>Sample_Data!N24-Dark!N24</f>
        <v>71</v>
      </c>
      <c r="I28">
        <f t="shared" si="0"/>
        <v>851.67499999999995</v>
      </c>
      <c r="J28" s="3">
        <f t="shared" si="2"/>
        <v>1.0002606882168925</v>
      </c>
      <c r="K28" s="3">
        <f t="shared" si="3"/>
        <v>0.78105184632599778</v>
      </c>
      <c r="L28" s="3">
        <f t="shared" si="4"/>
        <v>0.78888888888888886</v>
      </c>
      <c r="O28">
        <f>Reference_Data!O24-Dark!O24</f>
        <v>32</v>
      </c>
      <c r="P28">
        <f>Reference_Data!P24-Dark!P24</f>
        <v>425</v>
      </c>
      <c r="Q28">
        <f>Reference_Data!Q24-Dark!Q24</f>
        <v>14</v>
      </c>
      <c r="R28">
        <f>Sample_Data!O24-Dark!O24</f>
        <v>32</v>
      </c>
      <c r="S28">
        <f>Sample_Data!P24-Dark!P24</f>
        <v>330</v>
      </c>
      <c r="T28">
        <f>Sample_Data!Q24-Dark!Q24</f>
        <v>10</v>
      </c>
      <c r="U28">
        <f t="shared" si="1"/>
        <v>1519.8125</v>
      </c>
      <c r="V28">
        <f t="shared" si="5"/>
        <v>1</v>
      </c>
      <c r="W28">
        <f t="shared" si="6"/>
        <v>0.77647058823529413</v>
      </c>
      <c r="X28">
        <f t="shared" si="7"/>
        <v>0.7142857142857143</v>
      </c>
    </row>
    <row r="29" spans="1:24" x14ac:dyDescent="0.35">
      <c r="A29">
        <f t="shared" si="8"/>
        <v>790</v>
      </c>
      <c r="C29">
        <f>Reference_Data!L25-Dark!L25</f>
        <v>3839</v>
      </c>
      <c r="D29">
        <f>Reference_Data!M25-Dark!M25</f>
        <v>2781</v>
      </c>
      <c r="E29">
        <f>Reference_Data!N25-Dark!N25</f>
        <v>94</v>
      </c>
      <c r="F29">
        <f>Sample_Data!L25-Dark!L25</f>
        <v>3839</v>
      </c>
      <c r="G29">
        <f>Sample_Data!M25-Dark!M25</f>
        <v>2171</v>
      </c>
      <c r="H29">
        <f>Sample_Data!N25-Dark!N25</f>
        <v>73</v>
      </c>
      <c r="I29">
        <f t="shared" si="0"/>
        <v>855.29375000000005</v>
      </c>
      <c r="J29" s="3">
        <f t="shared" si="2"/>
        <v>1</v>
      </c>
      <c r="K29" s="3">
        <f t="shared" si="3"/>
        <v>0.78065444084861557</v>
      </c>
      <c r="L29" s="3">
        <f t="shared" si="4"/>
        <v>0.77659574468085102</v>
      </c>
      <c r="O29">
        <f>Reference_Data!O25-Dark!O25</f>
        <v>37</v>
      </c>
      <c r="P29">
        <f>Reference_Data!P25-Dark!P25</f>
        <v>489</v>
      </c>
      <c r="Q29">
        <f>Reference_Data!Q25-Dark!Q25</f>
        <v>17</v>
      </c>
      <c r="R29">
        <f>Sample_Data!O25-Dark!O25</f>
        <v>37</v>
      </c>
      <c r="S29">
        <f>Sample_Data!P25-Dark!P25</f>
        <v>384</v>
      </c>
      <c r="T29">
        <f>Sample_Data!Q25-Dark!Q25</f>
        <v>13</v>
      </c>
      <c r="U29">
        <f t="shared" si="1"/>
        <v>1526.515625</v>
      </c>
      <c r="V29">
        <f t="shared" si="5"/>
        <v>1</v>
      </c>
      <c r="W29">
        <f t="shared" si="6"/>
        <v>0.78527607361963192</v>
      </c>
      <c r="X29">
        <f t="shared" si="7"/>
        <v>0.76470588235294112</v>
      </c>
    </row>
    <row r="30" spans="1:24" x14ac:dyDescent="0.35">
      <c r="A30">
        <f t="shared" si="8"/>
        <v>820</v>
      </c>
      <c r="C30">
        <f>Reference_Data!L26-Dark!L26</f>
        <v>3833</v>
      </c>
      <c r="D30">
        <f>Reference_Data!M26-Dark!M26</f>
        <v>2859</v>
      </c>
      <c r="E30">
        <f>Reference_Data!N26-Dark!N26</f>
        <v>98</v>
      </c>
      <c r="F30">
        <f>Sample_Data!L26-Dark!L26</f>
        <v>3834</v>
      </c>
      <c r="G30">
        <f>Sample_Data!M26-Dark!M26</f>
        <v>2240</v>
      </c>
      <c r="H30">
        <f>Sample_Data!N26-Dark!N26</f>
        <v>77</v>
      </c>
      <c r="I30">
        <f t="shared" si="0"/>
        <v>858.91250000000002</v>
      </c>
      <c r="J30" s="3">
        <f t="shared" si="2"/>
        <v>1.0002608922515002</v>
      </c>
      <c r="K30" s="3">
        <f t="shared" si="3"/>
        <v>0.78349073102483391</v>
      </c>
      <c r="L30" s="3">
        <f t="shared" si="4"/>
        <v>0.7857142857142857</v>
      </c>
      <c r="O30">
        <f>Reference_Data!O26-Dark!O26</f>
        <v>44</v>
      </c>
      <c r="P30">
        <f>Reference_Data!P26-Dark!P26</f>
        <v>562</v>
      </c>
      <c r="Q30">
        <f>Reference_Data!Q26-Dark!Q26</f>
        <v>19</v>
      </c>
      <c r="R30">
        <f>Sample_Data!O26-Dark!O26</f>
        <v>44</v>
      </c>
      <c r="S30">
        <f>Sample_Data!P26-Dark!P26</f>
        <v>448</v>
      </c>
      <c r="T30">
        <f>Sample_Data!Q26-Dark!Q26</f>
        <v>14</v>
      </c>
      <c r="U30">
        <f t="shared" si="1"/>
        <v>1533.21875</v>
      </c>
      <c r="V30">
        <f t="shared" si="5"/>
        <v>1</v>
      </c>
      <c r="W30">
        <f t="shared" si="6"/>
        <v>0.79715302491103202</v>
      </c>
      <c r="X30">
        <f t="shared" si="7"/>
        <v>0.73684210526315785</v>
      </c>
    </row>
    <row r="31" spans="1:24" x14ac:dyDescent="0.35">
      <c r="A31">
        <f t="shared" si="8"/>
        <v>850</v>
      </c>
      <c r="C31">
        <f>Reference_Data!L27-Dark!L27</f>
        <v>3823</v>
      </c>
      <c r="D31">
        <f>Reference_Data!M27-Dark!M27</f>
        <v>2999</v>
      </c>
      <c r="E31">
        <f>Reference_Data!N27-Dark!N27</f>
        <v>101</v>
      </c>
      <c r="F31">
        <f>Sample_Data!L27-Dark!L27</f>
        <v>3823</v>
      </c>
      <c r="G31">
        <f>Sample_Data!M27-Dark!M27</f>
        <v>2357</v>
      </c>
      <c r="H31">
        <f>Sample_Data!N27-Dark!N27</f>
        <v>79</v>
      </c>
      <c r="I31">
        <f t="shared" si="0"/>
        <v>862.53125</v>
      </c>
      <c r="J31" s="3">
        <f t="shared" si="2"/>
        <v>1</v>
      </c>
      <c r="K31" s="3">
        <f t="shared" si="3"/>
        <v>0.78592864288096032</v>
      </c>
      <c r="L31" s="3">
        <f t="shared" si="4"/>
        <v>0.78217821782178221</v>
      </c>
      <c r="O31">
        <f>Reference_Data!O27-Dark!O27</f>
        <v>52</v>
      </c>
      <c r="P31">
        <f>Reference_Data!P27-Dark!P27</f>
        <v>644</v>
      </c>
      <c r="Q31">
        <f>Reference_Data!Q27-Dark!Q27</f>
        <v>21</v>
      </c>
      <c r="R31">
        <f>Sample_Data!O27-Dark!O27</f>
        <v>51</v>
      </c>
      <c r="S31">
        <f>Sample_Data!P27-Dark!P27</f>
        <v>514</v>
      </c>
      <c r="T31">
        <f>Sample_Data!Q27-Dark!Q27</f>
        <v>18</v>
      </c>
      <c r="U31">
        <f t="shared" si="1"/>
        <v>1539.921875</v>
      </c>
      <c r="V31">
        <f t="shared" si="5"/>
        <v>0.98076923076923073</v>
      </c>
      <c r="W31">
        <f t="shared" si="6"/>
        <v>0.79813664596273293</v>
      </c>
      <c r="X31">
        <f t="shared" si="7"/>
        <v>0.8571428571428571</v>
      </c>
    </row>
    <row r="32" spans="1:24" x14ac:dyDescent="0.35">
      <c r="A32">
        <f t="shared" si="8"/>
        <v>880</v>
      </c>
      <c r="C32">
        <f>Reference_Data!L28-Dark!L28</f>
        <v>3823</v>
      </c>
      <c r="D32">
        <f>Reference_Data!M28-Dark!M28</f>
        <v>3278</v>
      </c>
      <c r="E32">
        <f>Reference_Data!N28-Dark!N28</f>
        <v>111</v>
      </c>
      <c r="F32">
        <f>Sample_Data!L28-Dark!L28</f>
        <v>3824</v>
      </c>
      <c r="G32">
        <f>Sample_Data!M28-Dark!M28</f>
        <v>2568</v>
      </c>
      <c r="H32">
        <f>Sample_Data!N28-Dark!N28</f>
        <v>87</v>
      </c>
      <c r="I32">
        <f t="shared" si="0"/>
        <v>866.15</v>
      </c>
      <c r="J32" s="3">
        <f t="shared" si="2"/>
        <v>1.0002615746795711</v>
      </c>
      <c r="K32" s="3">
        <f t="shared" si="3"/>
        <v>0.78340451494813912</v>
      </c>
      <c r="L32" s="3">
        <f t="shared" si="4"/>
        <v>0.78378378378378377</v>
      </c>
      <c r="O32">
        <f>Reference_Data!O28-Dark!O28</f>
        <v>66</v>
      </c>
      <c r="P32">
        <f>Reference_Data!P28-Dark!P28</f>
        <v>732</v>
      </c>
      <c r="Q32">
        <f>Reference_Data!Q28-Dark!Q28</f>
        <v>23</v>
      </c>
      <c r="R32">
        <f>Sample_Data!O28-Dark!O28</f>
        <v>66</v>
      </c>
      <c r="S32">
        <f>Sample_Data!P28-Dark!P28</f>
        <v>586</v>
      </c>
      <c r="T32">
        <f>Sample_Data!Q28-Dark!Q28</f>
        <v>19</v>
      </c>
      <c r="U32">
        <f t="shared" si="1"/>
        <v>1546.625</v>
      </c>
      <c r="V32">
        <f t="shared" si="5"/>
        <v>1</v>
      </c>
      <c r="W32">
        <f t="shared" si="6"/>
        <v>0.80054644808743169</v>
      </c>
      <c r="X32">
        <f t="shared" si="7"/>
        <v>0.82608695652173914</v>
      </c>
    </row>
    <row r="33" spans="1:24" x14ac:dyDescent="0.35">
      <c r="A33">
        <f t="shared" si="8"/>
        <v>910</v>
      </c>
      <c r="C33">
        <f>Reference_Data!L29-Dark!L29</f>
        <v>3834</v>
      </c>
      <c r="D33">
        <f>Reference_Data!M29-Dark!M29</f>
        <v>3720</v>
      </c>
      <c r="E33">
        <f>Reference_Data!N29-Dark!N29</f>
        <v>125</v>
      </c>
      <c r="F33">
        <f>Sample_Data!L29-Dark!L29</f>
        <v>3834</v>
      </c>
      <c r="G33">
        <f>Sample_Data!M29-Dark!M29</f>
        <v>2937</v>
      </c>
      <c r="H33">
        <f>Sample_Data!N29-Dark!N29</f>
        <v>100</v>
      </c>
      <c r="I33">
        <f t="shared" si="0"/>
        <v>869.76874999999995</v>
      </c>
      <c r="J33" s="3">
        <f t="shared" si="2"/>
        <v>1</v>
      </c>
      <c r="K33" s="3">
        <f t="shared" si="3"/>
        <v>0.7895161290322581</v>
      </c>
      <c r="L33" s="3">
        <f t="shared" si="4"/>
        <v>0.8</v>
      </c>
      <c r="O33">
        <f>Reference_Data!O29-Dark!O29</f>
        <v>88</v>
      </c>
      <c r="P33">
        <f>Reference_Data!P29-Dark!P29</f>
        <v>819</v>
      </c>
      <c r="Q33">
        <f>Reference_Data!Q29-Dark!Q29</f>
        <v>28</v>
      </c>
      <c r="R33">
        <f>Sample_Data!O29-Dark!O29</f>
        <v>88</v>
      </c>
      <c r="S33">
        <f>Sample_Data!P29-Dark!P29</f>
        <v>663</v>
      </c>
      <c r="T33">
        <f>Sample_Data!Q29-Dark!Q29</f>
        <v>21</v>
      </c>
      <c r="U33">
        <f t="shared" si="1"/>
        <v>1553.328125</v>
      </c>
      <c r="V33">
        <f t="shared" si="5"/>
        <v>1</v>
      </c>
      <c r="W33">
        <f t="shared" si="6"/>
        <v>0.80952380952380953</v>
      </c>
      <c r="X33">
        <f t="shared" si="7"/>
        <v>0.75</v>
      </c>
    </row>
    <row r="34" spans="1:24" x14ac:dyDescent="0.35">
      <c r="A34">
        <f t="shared" si="8"/>
        <v>940</v>
      </c>
      <c r="C34">
        <f>Reference_Data!L30-Dark!L30</f>
        <v>3829</v>
      </c>
      <c r="D34">
        <f>Reference_Data!M30-Dark!M30</f>
        <v>3911</v>
      </c>
      <c r="E34">
        <f>Reference_Data!N30-Dark!N30</f>
        <v>141</v>
      </c>
      <c r="F34">
        <f>Sample_Data!L30-Dark!L30</f>
        <v>3829</v>
      </c>
      <c r="G34">
        <f>Sample_Data!M30-Dark!M30</f>
        <v>3316</v>
      </c>
      <c r="H34">
        <f>Sample_Data!N30-Dark!N30</f>
        <v>113</v>
      </c>
      <c r="I34">
        <f t="shared" si="0"/>
        <v>873.38750000000005</v>
      </c>
      <c r="J34" s="3">
        <f t="shared" si="2"/>
        <v>1</v>
      </c>
      <c r="K34" s="3">
        <f t="shared" si="3"/>
        <v>0.84786499616466382</v>
      </c>
      <c r="L34" s="3">
        <f t="shared" si="4"/>
        <v>0.8014184397163121</v>
      </c>
      <c r="O34">
        <f>Reference_Data!O30-Dark!O30</f>
        <v>164</v>
      </c>
      <c r="P34">
        <f>Reference_Data!P30-Dark!P30</f>
        <v>929</v>
      </c>
      <c r="Q34">
        <f>Reference_Data!Q30-Dark!Q30</f>
        <v>32</v>
      </c>
      <c r="R34">
        <f>Sample_Data!O30-Dark!O30</f>
        <v>164</v>
      </c>
      <c r="S34">
        <f>Sample_Data!P30-Dark!P30</f>
        <v>754</v>
      </c>
      <c r="T34">
        <f>Sample_Data!Q30-Dark!Q30</f>
        <v>23</v>
      </c>
      <c r="U34">
        <f t="shared" si="1"/>
        <v>1560.03125</v>
      </c>
      <c r="V34">
        <f t="shared" si="5"/>
        <v>1</v>
      </c>
      <c r="W34">
        <f t="shared" si="6"/>
        <v>0.81162540365984925</v>
      </c>
      <c r="X34">
        <f t="shared" si="7"/>
        <v>0.71875</v>
      </c>
    </row>
    <row r="35" spans="1:24" x14ac:dyDescent="0.35">
      <c r="A35">
        <f t="shared" si="8"/>
        <v>970</v>
      </c>
      <c r="C35">
        <f>Reference_Data!L31-Dark!L31</f>
        <v>3830</v>
      </c>
      <c r="D35">
        <f>Reference_Data!M31-Dark!M31</f>
        <v>3928</v>
      </c>
      <c r="E35">
        <f>Reference_Data!N31-Dark!N31</f>
        <v>149</v>
      </c>
      <c r="F35">
        <f>Sample_Data!L31-Dark!L31</f>
        <v>3830</v>
      </c>
      <c r="G35">
        <f>Sample_Data!M31-Dark!M31</f>
        <v>3500</v>
      </c>
      <c r="H35">
        <f>Sample_Data!N31-Dark!N31</f>
        <v>119</v>
      </c>
      <c r="I35">
        <f t="shared" si="0"/>
        <v>877.00625000000002</v>
      </c>
      <c r="J35" s="3">
        <f t="shared" si="2"/>
        <v>1</v>
      </c>
      <c r="K35" s="3">
        <f t="shared" si="3"/>
        <v>0.8910386965376782</v>
      </c>
      <c r="L35" s="3">
        <f t="shared" si="4"/>
        <v>0.79865771812080533</v>
      </c>
      <c r="O35">
        <f>Reference_Data!O31-Dark!O31</f>
        <v>488</v>
      </c>
      <c r="P35">
        <f>Reference_Data!P31-Dark!P31</f>
        <v>1025</v>
      </c>
      <c r="Q35">
        <f>Reference_Data!Q31-Dark!Q31</f>
        <v>36</v>
      </c>
      <c r="R35">
        <f>Sample_Data!O31-Dark!O31</f>
        <v>488</v>
      </c>
      <c r="S35">
        <f>Sample_Data!P31-Dark!P31</f>
        <v>831</v>
      </c>
      <c r="T35">
        <f>Sample_Data!Q31-Dark!Q31</f>
        <v>28</v>
      </c>
      <c r="U35">
        <f t="shared" si="1"/>
        <v>1566.734375</v>
      </c>
      <c r="V35">
        <f t="shared" si="5"/>
        <v>1</v>
      </c>
      <c r="W35">
        <f t="shared" si="6"/>
        <v>0.81073170731707322</v>
      </c>
      <c r="X35">
        <f t="shared" si="7"/>
        <v>0.77777777777777779</v>
      </c>
    </row>
    <row r="36" spans="1:24" x14ac:dyDescent="0.35">
      <c r="A36">
        <f t="shared" si="8"/>
        <v>1000</v>
      </c>
      <c r="C36">
        <f>Reference_Data!L32-Dark!L32</f>
        <v>3826</v>
      </c>
      <c r="D36">
        <f>Reference_Data!M32-Dark!M32</f>
        <v>3933</v>
      </c>
      <c r="E36">
        <f>Reference_Data!N32-Dark!N32</f>
        <v>151</v>
      </c>
      <c r="F36">
        <f>Sample_Data!L32-Dark!L32</f>
        <v>3826</v>
      </c>
      <c r="G36">
        <f>Sample_Data!M32-Dark!M32</f>
        <v>3584</v>
      </c>
      <c r="H36">
        <f>Sample_Data!N32-Dark!N32</f>
        <v>122</v>
      </c>
      <c r="I36">
        <f t="shared" si="0"/>
        <v>880.625</v>
      </c>
      <c r="J36" s="3">
        <f t="shared" si="2"/>
        <v>1</v>
      </c>
      <c r="K36" s="3">
        <f t="shared" si="3"/>
        <v>0.91126366641240786</v>
      </c>
      <c r="L36" s="3">
        <f t="shared" si="4"/>
        <v>0.80794701986754969</v>
      </c>
      <c r="O36">
        <f>Reference_Data!O32-Dark!O32</f>
        <v>899</v>
      </c>
      <c r="P36">
        <f>Reference_Data!P32-Dark!P32</f>
        <v>1081</v>
      </c>
      <c r="Q36">
        <f>Reference_Data!Q32-Dark!Q32</f>
        <v>38</v>
      </c>
      <c r="R36">
        <f>Sample_Data!O32-Dark!O32</f>
        <v>899</v>
      </c>
      <c r="S36">
        <f>Sample_Data!P32-Dark!P32</f>
        <v>879</v>
      </c>
      <c r="T36">
        <f>Sample_Data!Q32-Dark!Q32</f>
        <v>30</v>
      </c>
      <c r="U36">
        <f t="shared" si="1"/>
        <v>1573.4375</v>
      </c>
      <c r="V36">
        <f t="shared" si="5"/>
        <v>1</v>
      </c>
      <c r="W36">
        <f t="shared" si="6"/>
        <v>0.81313598519888997</v>
      </c>
      <c r="X36">
        <f t="shared" si="7"/>
        <v>0.78947368421052633</v>
      </c>
    </row>
    <row r="37" spans="1:24" x14ac:dyDescent="0.35">
      <c r="A37">
        <f t="shared" si="8"/>
        <v>1030</v>
      </c>
      <c r="C37">
        <f>Reference_Data!L33-Dark!L33</f>
        <v>3831</v>
      </c>
      <c r="D37">
        <f>Reference_Data!M33-Dark!M33</f>
        <v>3940</v>
      </c>
      <c r="E37">
        <f>Reference_Data!N33-Dark!N33</f>
        <v>155</v>
      </c>
      <c r="F37">
        <f>Sample_Data!L33-Dark!L33</f>
        <v>3831</v>
      </c>
      <c r="G37">
        <f>Sample_Data!M33-Dark!M33</f>
        <v>3717</v>
      </c>
      <c r="H37">
        <f>Sample_Data!N33-Dark!N33</f>
        <v>125</v>
      </c>
      <c r="I37">
        <f t="shared" si="0"/>
        <v>884.24374999999998</v>
      </c>
      <c r="J37" s="3">
        <f t="shared" si="2"/>
        <v>1</v>
      </c>
      <c r="K37" s="3">
        <f t="shared" si="3"/>
        <v>0.94340101522842634</v>
      </c>
      <c r="L37" s="3">
        <f t="shared" si="4"/>
        <v>0.80645161290322576</v>
      </c>
      <c r="O37">
        <f>Reference_Data!O33-Dark!O33</f>
        <v>1248</v>
      </c>
      <c r="P37">
        <f>Reference_Data!P33-Dark!P33</f>
        <v>1102</v>
      </c>
      <c r="Q37">
        <f>Reference_Data!Q33-Dark!Q33</f>
        <v>39</v>
      </c>
      <c r="R37">
        <f>Sample_Data!O33-Dark!O33</f>
        <v>1249</v>
      </c>
      <c r="S37">
        <f>Sample_Data!P33-Dark!P33</f>
        <v>894</v>
      </c>
      <c r="T37">
        <f>Sample_Data!Q33-Dark!Q33</f>
        <v>32</v>
      </c>
      <c r="U37">
        <f t="shared" si="1"/>
        <v>1580.140625</v>
      </c>
      <c r="V37">
        <f t="shared" si="5"/>
        <v>1.0008012820512822</v>
      </c>
      <c r="W37">
        <f t="shared" si="6"/>
        <v>0.81125226860254085</v>
      </c>
      <c r="X37">
        <f t="shared" si="7"/>
        <v>0.82051282051282048</v>
      </c>
    </row>
    <row r="38" spans="1:24" x14ac:dyDescent="0.35">
      <c r="A38">
        <f t="shared" si="8"/>
        <v>1060</v>
      </c>
      <c r="C38">
        <f>Reference_Data!L34-Dark!L34</f>
        <v>3825</v>
      </c>
      <c r="D38">
        <f>Reference_Data!M34-Dark!M34</f>
        <v>3947</v>
      </c>
      <c r="E38">
        <f>Reference_Data!N34-Dark!N34</f>
        <v>162</v>
      </c>
      <c r="F38">
        <f>Sample_Data!L34-Dark!L34</f>
        <v>3825</v>
      </c>
      <c r="G38">
        <f>Sample_Data!M34-Dark!M34</f>
        <v>3849</v>
      </c>
      <c r="H38">
        <f>Sample_Data!N34-Dark!N34</f>
        <v>130</v>
      </c>
      <c r="I38">
        <f t="shared" si="0"/>
        <v>887.86249999999995</v>
      </c>
      <c r="J38" s="3">
        <f t="shared" si="2"/>
        <v>1</v>
      </c>
      <c r="K38" s="3">
        <f t="shared" si="3"/>
        <v>0.9751710159614897</v>
      </c>
      <c r="L38" s="3">
        <f t="shared" si="4"/>
        <v>0.80246913580246915</v>
      </c>
      <c r="O38">
        <f>Reference_Data!O34-Dark!O34</f>
        <v>1618</v>
      </c>
      <c r="P38">
        <f>Reference_Data!P34-Dark!P34</f>
        <v>1100</v>
      </c>
      <c r="Q38">
        <f>Reference_Data!Q34-Dark!Q34</f>
        <v>38</v>
      </c>
      <c r="R38">
        <f>Sample_Data!O34-Dark!O34</f>
        <v>1618</v>
      </c>
      <c r="S38">
        <f>Sample_Data!P34-Dark!P34</f>
        <v>892</v>
      </c>
      <c r="T38">
        <f>Sample_Data!Q34-Dark!Q34</f>
        <v>31</v>
      </c>
      <c r="U38">
        <f t="shared" si="1"/>
        <v>1586.84375</v>
      </c>
      <c r="V38">
        <f t="shared" si="5"/>
        <v>1</v>
      </c>
      <c r="W38">
        <f t="shared" si="6"/>
        <v>0.81090909090909091</v>
      </c>
      <c r="X38">
        <f t="shared" si="7"/>
        <v>0.81578947368421051</v>
      </c>
    </row>
    <row r="39" spans="1:24" x14ac:dyDescent="0.35">
      <c r="A39">
        <f t="shared" si="8"/>
        <v>1090</v>
      </c>
      <c r="C39">
        <f>Reference_Data!L35-Dark!L35</f>
        <v>3834</v>
      </c>
      <c r="D39">
        <f>Reference_Data!M35-Dark!M35</f>
        <v>3953</v>
      </c>
      <c r="E39">
        <f>Reference_Data!N35-Dark!N35</f>
        <v>169</v>
      </c>
      <c r="F39">
        <f>Sample_Data!L35-Dark!L35</f>
        <v>3835</v>
      </c>
      <c r="G39">
        <f>Sample_Data!M35-Dark!M35</f>
        <v>3893</v>
      </c>
      <c r="H39">
        <f>Sample_Data!N35-Dark!N35</f>
        <v>137</v>
      </c>
      <c r="I39">
        <f t="shared" si="0"/>
        <v>891.48125000000005</v>
      </c>
      <c r="J39" s="3">
        <f t="shared" si="2"/>
        <v>1.0002608242044861</v>
      </c>
      <c r="K39" s="3">
        <f t="shared" si="3"/>
        <v>0.98482165443966607</v>
      </c>
      <c r="L39" s="3">
        <f t="shared" si="4"/>
        <v>0.81065088757396453</v>
      </c>
      <c r="O39">
        <f>Reference_Data!O35-Dark!O35</f>
        <v>1913</v>
      </c>
      <c r="P39">
        <f>Reference_Data!P35-Dark!P35</f>
        <v>1109</v>
      </c>
      <c r="Q39">
        <f>Reference_Data!Q35-Dark!Q35</f>
        <v>37</v>
      </c>
      <c r="R39">
        <f>Sample_Data!O35-Dark!O35</f>
        <v>1913</v>
      </c>
      <c r="S39">
        <f>Sample_Data!P35-Dark!P35</f>
        <v>901</v>
      </c>
      <c r="T39">
        <f>Sample_Data!Q35-Dark!Q35</f>
        <v>30</v>
      </c>
      <c r="U39">
        <f t="shared" si="1"/>
        <v>1593.546875</v>
      </c>
      <c r="V39">
        <f t="shared" si="5"/>
        <v>1</v>
      </c>
      <c r="W39">
        <f t="shared" si="6"/>
        <v>0.81244364292155091</v>
      </c>
      <c r="X39">
        <f t="shared" si="7"/>
        <v>0.81081081081081086</v>
      </c>
    </row>
    <row r="40" spans="1:24" x14ac:dyDescent="0.35">
      <c r="A40">
        <f t="shared" si="8"/>
        <v>1120</v>
      </c>
      <c r="C40">
        <f>Reference_Data!L36-Dark!L36</f>
        <v>3828</v>
      </c>
      <c r="D40">
        <f>Reference_Data!M36-Dark!M36</f>
        <v>3958</v>
      </c>
      <c r="E40">
        <f>Reference_Data!N36-Dark!N36</f>
        <v>172</v>
      </c>
      <c r="F40">
        <f>Sample_Data!L36-Dark!L36</f>
        <v>3828</v>
      </c>
      <c r="G40">
        <f>Sample_Data!M36-Dark!M36</f>
        <v>3908</v>
      </c>
      <c r="H40">
        <f>Sample_Data!N36-Dark!N36</f>
        <v>140</v>
      </c>
      <c r="I40">
        <f t="shared" si="0"/>
        <v>895.1</v>
      </c>
      <c r="J40" s="3">
        <f t="shared" si="2"/>
        <v>1</v>
      </c>
      <c r="K40" s="3">
        <f t="shared" si="3"/>
        <v>0.98736735725113689</v>
      </c>
      <c r="L40" s="3">
        <f t="shared" si="4"/>
        <v>0.81395348837209303</v>
      </c>
      <c r="O40">
        <f>Reference_Data!O36-Dark!O36</f>
        <v>2259</v>
      </c>
      <c r="P40">
        <f>Reference_Data!P36-Dark!P36</f>
        <v>1143</v>
      </c>
      <c r="Q40">
        <f>Reference_Data!Q36-Dark!Q36</f>
        <v>40</v>
      </c>
      <c r="R40">
        <f>Sample_Data!O36-Dark!O36</f>
        <v>2260</v>
      </c>
      <c r="S40">
        <f>Sample_Data!P36-Dark!P36</f>
        <v>930</v>
      </c>
      <c r="T40">
        <f>Sample_Data!Q36-Dark!Q36</f>
        <v>33</v>
      </c>
      <c r="U40">
        <f t="shared" si="1"/>
        <v>1600.25</v>
      </c>
      <c r="V40">
        <f t="shared" si="5"/>
        <v>1.0004426737494467</v>
      </c>
      <c r="W40">
        <f t="shared" si="6"/>
        <v>0.81364829396325455</v>
      </c>
      <c r="X40">
        <f t="shared" si="7"/>
        <v>0.82499999999999996</v>
      </c>
    </row>
    <row r="41" spans="1:24" x14ac:dyDescent="0.35">
      <c r="A41">
        <f t="shared" si="8"/>
        <v>1150</v>
      </c>
      <c r="C41">
        <f>Reference_Data!L37-Dark!L37</f>
        <v>3837</v>
      </c>
      <c r="D41">
        <f>Reference_Data!M37-Dark!M37</f>
        <v>3958</v>
      </c>
      <c r="E41">
        <f>Reference_Data!N37-Dark!N37</f>
        <v>172</v>
      </c>
      <c r="F41">
        <f>Sample_Data!L37-Dark!L37</f>
        <v>3836</v>
      </c>
      <c r="G41">
        <f>Sample_Data!M37-Dark!M37</f>
        <v>3910</v>
      </c>
      <c r="H41">
        <f>Sample_Data!N37-Dark!N37</f>
        <v>140</v>
      </c>
      <c r="I41">
        <f t="shared" si="0"/>
        <v>898.71875</v>
      </c>
      <c r="J41" s="3">
        <f t="shared" si="2"/>
        <v>0.99973937972374249</v>
      </c>
      <c r="K41" s="3">
        <f t="shared" si="3"/>
        <v>0.98787266296109144</v>
      </c>
      <c r="L41" s="3">
        <f t="shared" si="4"/>
        <v>0.81395348837209303</v>
      </c>
      <c r="O41">
        <f>Reference_Data!O37-Dark!O37</f>
        <v>2524</v>
      </c>
      <c r="P41">
        <f>Reference_Data!P37-Dark!P37</f>
        <v>1190</v>
      </c>
      <c r="Q41">
        <f>Reference_Data!Q37-Dark!Q37</f>
        <v>40</v>
      </c>
      <c r="R41">
        <f>Sample_Data!O37-Dark!O37</f>
        <v>2524</v>
      </c>
      <c r="S41">
        <f>Sample_Data!P37-Dark!P37</f>
        <v>971</v>
      </c>
      <c r="T41">
        <f>Sample_Data!Q37-Dark!Q37</f>
        <v>32</v>
      </c>
      <c r="U41">
        <f t="shared" si="1"/>
        <v>1606.953125</v>
      </c>
      <c r="V41">
        <f t="shared" si="5"/>
        <v>1</v>
      </c>
      <c r="W41">
        <f t="shared" si="6"/>
        <v>0.81596638655462184</v>
      </c>
      <c r="X41">
        <f t="shared" si="7"/>
        <v>0.8</v>
      </c>
    </row>
    <row r="42" spans="1:24" x14ac:dyDescent="0.35">
      <c r="A42">
        <f t="shared" si="8"/>
        <v>1180</v>
      </c>
      <c r="C42">
        <f>Reference_Data!L38-Dark!L38</f>
        <v>3832</v>
      </c>
      <c r="D42">
        <f>Reference_Data!M38-Dark!M38</f>
        <v>3959</v>
      </c>
      <c r="E42">
        <f>Reference_Data!N38-Dark!N38</f>
        <v>171</v>
      </c>
      <c r="F42">
        <f>Sample_Data!L38-Dark!L38</f>
        <v>3833</v>
      </c>
      <c r="G42">
        <f>Sample_Data!M38-Dark!M38</f>
        <v>3909</v>
      </c>
      <c r="H42">
        <f>Sample_Data!N38-Dark!N38</f>
        <v>140</v>
      </c>
      <c r="I42">
        <f t="shared" si="0"/>
        <v>902.33749999999998</v>
      </c>
      <c r="J42" s="3">
        <f t="shared" si="2"/>
        <v>1.0002609603340293</v>
      </c>
      <c r="K42" s="3">
        <f t="shared" si="3"/>
        <v>0.98737054811821168</v>
      </c>
      <c r="L42" s="3">
        <f t="shared" si="4"/>
        <v>0.81871345029239762</v>
      </c>
      <c r="O42">
        <f>Reference_Data!O38-Dark!O38</f>
        <v>2779</v>
      </c>
      <c r="P42">
        <f>Reference_Data!P38-Dark!P38</f>
        <v>1252</v>
      </c>
      <c r="Q42">
        <f>Reference_Data!Q38-Dark!Q38</f>
        <v>43</v>
      </c>
      <c r="R42">
        <f>Sample_Data!O38-Dark!O38</f>
        <v>2780</v>
      </c>
      <c r="S42">
        <f>Sample_Data!P38-Dark!P38</f>
        <v>1023</v>
      </c>
      <c r="T42">
        <f>Sample_Data!Q38-Dark!Q38</f>
        <v>34</v>
      </c>
      <c r="U42">
        <f t="shared" si="1"/>
        <v>1613.65625</v>
      </c>
      <c r="V42">
        <f t="shared" si="5"/>
        <v>1.0003598416696653</v>
      </c>
      <c r="W42">
        <f t="shared" si="6"/>
        <v>0.81709265175718848</v>
      </c>
      <c r="X42">
        <f t="shared" si="7"/>
        <v>0.79069767441860461</v>
      </c>
    </row>
    <row r="43" spans="1:24" x14ac:dyDescent="0.35">
      <c r="A43">
        <f t="shared" si="8"/>
        <v>1210</v>
      </c>
      <c r="C43">
        <f>Reference_Data!L39-Dark!L39</f>
        <v>3838</v>
      </c>
      <c r="D43">
        <f>Reference_Data!M39-Dark!M39</f>
        <v>3954</v>
      </c>
      <c r="E43">
        <f>Reference_Data!N39-Dark!N39</f>
        <v>169</v>
      </c>
      <c r="F43">
        <f>Sample_Data!L39-Dark!L39</f>
        <v>3837</v>
      </c>
      <c r="G43">
        <f>Sample_Data!M39-Dark!M39</f>
        <v>3900</v>
      </c>
      <c r="H43">
        <f>Sample_Data!N39-Dark!N39</f>
        <v>137</v>
      </c>
      <c r="I43">
        <f t="shared" si="0"/>
        <v>905.95624999999995</v>
      </c>
      <c r="J43" s="3">
        <f t="shared" si="2"/>
        <v>0.99973944762897338</v>
      </c>
      <c r="K43" s="3">
        <f t="shared" si="3"/>
        <v>0.98634294385432475</v>
      </c>
      <c r="L43" s="3">
        <f t="shared" si="4"/>
        <v>0.81065088757396453</v>
      </c>
      <c r="O43">
        <f>Reference_Data!O39-Dark!O39</f>
        <v>2999</v>
      </c>
      <c r="P43">
        <f>Reference_Data!P39-Dark!P39</f>
        <v>1330</v>
      </c>
      <c r="Q43">
        <f>Reference_Data!Q39-Dark!Q39</f>
        <v>46</v>
      </c>
      <c r="R43">
        <f>Sample_Data!O39-Dark!O39</f>
        <v>2999</v>
      </c>
      <c r="S43">
        <f>Sample_Data!P39-Dark!P39</f>
        <v>1090</v>
      </c>
      <c r="T43">
        <f>Sample_Data!Q39-Dark!Q39</f>
        <v>37</v>
      </c>
      <c r="U43">
        <f t="shared" si="1"/>
        <v>1620.359375</v>
      </c>
      <c r="V43">
        <f t="shared" si="5"/>
        <v>1</v>
      </c>
      <c r="W43">
        <f t="shared" si="6"/>
        <v>0.81954887218045114</v>
      </c>
      <c r="X43">
        <f t="shared" si="7"/>
        <v>0.80434782608695654</v>
      </c>
    </row>
    <row r="44" spans="1:24" x14ac:dyDescent="0.35">
      <c r="A44">
        <f t="shared" si="8"/>
        <v>1240</v>
      </c>
      <c r="C44">
        <f>Reference_Data!L40-Dark!L40</f>
        <v>3828</v>
      </c>
      <c r="D44">
        <f>Reference_Data!M40-Dark!M40</f>
        <v>3953</v>
      </c>
      <c r="E44">
        <f>Reference_Data!N40-Dark!N40</f>
        <v>166</v>
      </c>
      <c r="F44">
        <f>Sample_Data!L40-Dark!L40</f>
        <v>3828</v>
      </c>
      <c r="G44">
        <f>Sample_Data!M40-Dark!M40</f>
        <v>3892</v>
      </c>
      <c r="H44">
        <f>Sample_Data!N40-Dark!N40</f>
        <v>136</v>
      </c>
      <c r="I44">
        <f t="shared" si="0"/>
        <v>909.57500000000005</v>
      </c>
      <c r="J44" s="3">
        <f t="shared" si="2"/>
        <v>1</v>
      </c>
      <c r="K44" s="3">
        <f t="shared" si="3"/>
        <v>0.98456868201366055</v>
      </c>
      <c r="L44" s="3">
        <f t="shared" si="4"/>
        <v>0.81927710843373491</v>
      </c>
      <c r="O44">
        <f>Reference_Data!O40-Dark!O40</f>
        <v>3236</v>
      </c>
      <c r="P44">
        <f>Reference_Data!P40-Dark!P40</f>
        <v>1434</v>
      </c>
      <c r="Q44">
        <f>Reference_Data!Q40-Dark!Q40</f>
        <v>48</v>
      </c>
      <c r="R44">
        <f>Sample_Data!O40-Dark!O40</f>
        <v>3236</v>
      </c>
      <c r="S44">
        <f>Sample_Data!P40-Dark!P40</f>
        <v>1183</v>
      </c>
      <c r="T44">
        <f>Sample_Data!Q40-Dark!Q40</f>
        <v>40</v>
      </c>
      <c r="U44">
        <f t="shared" si="1"/>
        <v>1627.0625</v>
      </c>
      <c r="V44">
        <f t="shared" si="5"/>
        <v>1</v>
      </c>
      <c r="W44">
        <f t="shared" si="6"/>
        <v>0.82496513249651326</v>
      </c>
      <c r="X44">
        <f t="shared" si="7"/>
        <v>0.83333333333333337</v>
      </c>
    </row>
    <row r="45" spans="1:24" x14ac:dyDescent="0.35">
      <c r="A45">
        <f t="shared" si="8"/>
        <v>1270</v>
      </c>
      <c r="C45">
        <f>Reference_Data!L41-Dark!L41</f>
        <v>3826</v>
      </c>
      <c r="D45">
        <f>Reference_Data!M41-Dark!M41</f>
        <v>3952</v>
      </c>
      <c r="E45">
        <f>Reference_Data!N41-Dark!N41</f>
        <v>167</v>
      </c>
      <c r="F45">
        <f>Sample_Data!L41-Dark!L41</f>
        <v>3826</v>
      </c>
      <c r="G45">
        <f>Sample_Data!M41-Dark!M41</f>
        <v>3891</v>
      </c>
      <c r="H45">
        <f>Sample_Data!N41-Dark!N41</f>
        <v>137</v>
      </c>
      <c r="I45">
        <f t="shared" si="0"/>
        <v>913.19375000000002</v>
      </c>
      <c r="J45" s="3">
        <f t="shared" si="2"/>
        <v>1</v>
      </c>
      <c r="K45" s="3">
        <f t="shared" si="3"/>
        <v>0.98456477732793524</v>
      </c>
      <c r="L45" s="3">
        <f t="shared" si="4"/>
        <v>0.82035928143712578</v>
      </c>
      <c r="O45">
        <f>Reference_Data!O41-Dark!O41</f>
        <v>3413</v>
      </c>
      <c r="P45">
        <f>Reference_Data!P41-Dark!P41</f>
        <v>1578</v>
      </c>
      <c r="Q45">
        <f>Reference_Data!Q41-Dark!Q41</f>
        <v>52</v>
      </c>
      <c r="R45">
        <f>Sample_Data!O41-Dark!O41</f>
        <v>3413</v>
      </c>
      <c r="S45">
        <f>Sample_Data!P41-Dark!P41</f>
        <v>1312</v>
      </c>
      <c r="T45">
        <f>Sample_Data!Q41-Dark!Q41</f>
        <v>43</v>
      </c>
      <c r="U45">
        <f t="shared" si="1"/>
        <v>1633.765625</v>
      </c>
      <c r="V45">
        <f t="shared" si="5"/>
        <v>1</v>
      </c>
      <c r="W45">
        <f t="shared" si="6"/>
        <v>0.83143219264892265</v>
      </c>
      <c r="X45">
        <f t="shared" si="7"/>
        <v>0.82692307692307687</v>
      </c>
    </row>
    <row r="46" spans="1:24" x14ac:dyDescent="0.35">
      <c r="A46">
        <f t="shared" si="8"/>
        <v>1300</v>
      </c>
      <c r="C46">
        <f>Reference_Data!L42-Dark!L42</f>
        <v>3836</v>
      </c>
      <c r="D46">
        <f>Reference_Data!M42-Dark!M42</f>
        <v>3950</v>
      </c>
      <c r="E46">
        <f>Reference_Data!N42-Dark!N42</f>
        <v>164</v>
      </c>
      <c r="F46">
        <f>Sample_Data!L42-Dark!L42</f>
        <v>3835</v>
      </c>
      <c r="G46">
        <f>Sample_Data!M42-Dark!M42</f>
        <v>3888</v>
      </c>
      <c r="H46">
        <f>Sample_Data!N42-Dark!N42</f>
        <v>134</v>
      </c>
      <c r="I46">
        <f t="shared" si="0"/>
        <v>916.8125</v>
      </c>
      <c r="J46" s="3">
        <f t="shared" si="2"/>
        <v>0.99973931178310738</v>
      </c>
      <c r="K46" s="3">
        <f t="shared" si="3"/>
        <v>0.98430379746835439</v>
      </c>
      <c r="L46" s="3">
        <f t="shared" si="4"/>
        <v>0.81707317073170727</v>
      </c>
      <c r="O46">
        <f>Reference_Data!O42-Dark!O42</f>
        <v>3548</v>
      </c>
      <c r="P46">
        <f>Reference_Data!P42-Dark!P42</f>
        <v>1763</v>
      </c>
      <c r="Q46">
        <f>Reference_Data!Q42-Dark!Q42</f>
        <v>60</v>
      </c>
      <c r="R46">
        <f>Sample_Data!O42-Dark!O42</f>
        <v>3549</v>
      </c>
      <c r="S46">
        <f>Sample_Data!P42-Dark!P42</f>
        <v>1474</v>
      </c>
      <c r="T46">
        <f>Sample_Data!Q42-Dark!Q42</f>
        <v>50</v>
      </c>
      <c r="U46">
        <f t="shared" si="1"/>
        <v>1640.46875</v>
      </c>
      <c r="V46">
        <f t="shared" si="5"/>
        <v>1.000281848928974</v>
      </c>
      <c r="W46">
        <f t="shared" si="6"/>
        <v>0.8360748723766307</v>
      </c>
      <c r="X46">
        <f t="shared" si="7"/>
        <v>0.83333333333333337</v>
      </c>
    </row>
    <row r="47" spans="1:24" x14ac:dyDescent="0.35">
      <c r="A47">
        <f t="shared" si="8"/>
        <v>1330</v>
      </c>
      <c r="C47">
        <f>Reference_Data!L43-Dark!L43</f>
        <v>3831</v>
      </c>
      <c r="D47">
        <f>Reference_Data!M43-Dark!M43</f>
        <v>3950</v>
      </c>
      <c r="E47">
        <f>Reference_Data!N43-Dark!N43</f>
        <v>165</v>
      </c>
      <c r="F47">
        <f>Sample_Data!L43-Dark!L43</f>
        <v>3830</v>
      </c>
      <c r="G47">
        <f>Sample_Data!M43-Dark!M43</f>
        <v>3891</v>
      </c>
      <c r="H47">
        <f>Sample_Data!N43-Dark!N43</f>
        <v>136</v>
      </c>
      <c r="I47">
        <f t="shared" si="0"/>
        <v>920.43124999999998</v>
      </c>
      <c r="J47" s="3">
        <f t="shared" si="2"/>
        <v>0.9997389715478987</v>
      </c>
      <c r="K47" s="3">
        <f t="shared" si="3"/>
        <v>0.98506329113924052</v>
      </c>
      <c r="L47" s="3">
        <f t="shared" si="4"/>
        <v>0.82424242424242422</v>
      </c>
      <c r="O47">
        <f>Reference_Data!O43-Dark!O43</f>
        <v>3617</v>
      </c>
      <c r="P47">
        <f>Reference_Data!P43-Dark!P43</f>
        <v>2028</v>
      </c>
      <c r="Q47">
        <f>Reference_Data!Q43-Dark!Q43</f>
        <v>69</v>
      </c>
      <c r="R47">
        <f>Sample_Data!O43-Dark!O43</f>
        <v>3617</v>
      </c>
      <c r="S47">
        <f>Sample_Data!P43-Dark!P43</f>
        <v>1706</v>
      </c>
      <c r="T47">
        <f>Sample_Data!Q43-Dark!Q43</f>
        <v>58</v>
      </c>
      <c r="U47">
        <f t="shared" si="1"/>
        <v>1647.171875</v>
      </c>
      <c r="V47">
        <f t="shared" si="5"/>
        <v>1</v>
      </c>
      <c r="W47">
        <f t="shared" si="6"/>
        <v>0.84122287968441811</v>
      </c>
      <c r="X47">
        <f t="shared" si="7"/>
        <v>0.84057971014492749</v>
      </c>
    </row>
    <row r="48" spans="1:24" x14ac:dyDescent="0.35">
      <c r="A48">
        <f t="shared" si="8"/>
        <v>1360</v>
      </c>
      <c r="C48">
        <f>Reference_Data!L44-Dark!L44</f>
        <v>3832</v>
      </c>
      <c r="D48">
        <f>Reference_Data!M44-Dark!M44</f>
        <v>3950</v>
      </c>
      <c r="E48">
        <f>Reference_Data!N44-Dark!N44</f>
        <v>166</v>
      </c>
      <c r="F48">
        <f>Sample_Data!L44-Dark!L44</f>
        <v>3832</v>
      </c>
      <c r="G48">
        <f>Sample_Data!M44-Dark!M44</f>
        <v>3895</v>
      </c>
      <c r="H48">
        <f>Sample_Data!N44-Dark!N44</f>
        <v>138</v>
      </c>
      <c r="I48">
        <f t="shared" si="0"/>
        <v>924.05</v>
      </c>
      <c r="J48" s="3">
        <f t="shared" si="2"/>
        <v>1</v>
      </c>
      <c r="K48" s="3">
        <f t="shared" si="3"/>
        <v>0.98607594936708864</v>
      </c>
      <c r="L48" s="3">
        <f t="shared" si="4"/>
        <v>0.83132530120481929</v>
      </c>
      <c r="O48">
        <f>Reference_Data!O44-Dark!O44</f>
        <v>3649</v>
      </c>
      <c r="P48">
        <f>Reference_Data!P44-Dark!P44</f>
        <v>2379</v>
      </c>
      <c r="Q48">
        <f>Reference_Data!Q44-Dark!Q44</f>
        <v>80</v>
      </c>
      <c r="R48">
        <f>Sample_Data!O44-Dark!O44</f>
        <v>3650</v>
      </c>
      <c r="S48">
        <f>Sample_Data!P44-Dark!P44</f>
        <v>2017</v>
      </c>
      <c r="T48">
        <f>Sample_Data!Q44-Dark!Q44</f>
        <v>66</v>
      </c>
      <c r="U48">
        <f t="shared" si="1"/>
        <v>1653.875</v>
      </c>
      <c r="V48">
        <f t="shared" si="5"/>
        <v>1.0002740476842971</v>
      </c>
      <c r="W48">
        <f t="shared" si="6"/>
        <v>0.84783522488440521</v>
      </c>
      <c r="X48">
        <f t="shared" si="7"/>
        <v>0.82499999999999996</v>
      </c>
    </row>
    <row r="49" spans="1:24" x14ac:dyDescent="0.35">
      <c r="A49">
        <f t="shared" si="8"/>
        <v>1390</v>
      </c>
      <c r="C49">
        <f>Reference_Data!L45-Dark!L45</f>
        <v>3827</v>
      </c>
      <c r="D49">
        <f>Reference_Data!M45-Dark!M45</f>
        <v>3951</v>
      </c>
      <c r="E49">
        <f>Reference_Data!N45-Dark!N45</f>
        <v>165</v>
      </c>
      <c r="F49">
        <f>Sample_Data!L45-Dark!L45</f>
        <v>3827</v>
      </c>
      <c r="G49">
        <f>Sample_Data!M45-Dark!M45</f>
        <v>3897</v>
      </c>
      <c r="H49">
        <f>Sample_Data!N45-Dark!N45</f>
        <v>136</v>
      </c>
      <c r="I49">
        <f t="shared" si="0"/>
        <v>927.66875000000005</v>
      </c>
      <c r="J49" s="3">
        <f t="shared" si="2"/>
        <v>1</v>
      </c>
      <c r="K49" s="3">
        <f t="shared" si="3"/>
        <v>0.98633257403189067</v>
      </c>
      <c r="L49" s="3">
        <f t="shared" si="4"/>
        <v>0.82424242424242422</v>
      </c>
      <c r="O49">
        <f>Reference_Data!O45-Dark!O45</f>
        <v>3675</v>
      </c>
      <c r="P49">
        <f>Reference_Data!P45-Dark!P45</f>
        <v>2833</v>
      </c>
      <c r="Q49">
        <f>Reference_Data!Q45-Dark!Q45</f>
        <v>95</v>
      </c>
      <c r="R49">
        <f>Sample_Data!O45-Dark!O45</f>
        <v>3675</v>
      </c>
      <c r="S49">
        <f>Sample_Data!P45-Dark!P45</f>
        <v>2421</v>
      </c>
      <c r="T49">
        <f>Sample_Data!Q45-Dark!Q45</f>
        <v>81</v>
      </c>
      <c r="U49">
        <f t="shared" si="1"/>
        <v>1660.578125</v>
      </c>
      <c r="V49">
        <f t="shared" si="5"/>
        <v>1</v>
      </c>
      <c r="W49">
        <f t="shared" si="6"/>
        <v>0.85457112601482532</v>
      </c>
      <c r="X49">
        <f t="shared" si="7"/>
        <v>0.85263157894736841</v>
      </c>
    </row>
    <row r="50" spans="1:24" x14ac:dyDescent="0.35">
      <c r="A50">
        <f t="shared" si="8"/>
        <v>1420</v>
      </c>
      <c r="C50">
        <f>Reference_Data!L46-Dark!L46</f>
        <v>3824</v>
      </c>
      <c r="D50">
        <f>Reference_Data!M46-Dark!M46</f>
        <v>3951</v>
      </c>
      <c r="E50">
        <f>Reference_Data!N46-Dark!N46</f>
        <v>166</v>
      </c>
      <c r="F50">
        <f>Sample_Data!L46-Dark!L46</f>
        <v>3824</v>
      </c>
      <c r="G50">
        <f>Sample_Data!M46-Dark!M46</f>
        <v>3900</v>
      </c>
      <c r="H50">
        <f>Sample_Data!N46-Dark!N46</f>
        <v>138</v>
      </c>
      <c r="I50">
        <f t="shared" si="0"/>
        <v>931.28750000000002</v>
      </c>
      <c r="J50" s="3">
        <f t="shared" si="2"/>
        <v>1</v>
      </c>
      <c r="K50" s="3">
        <f t="shared" si="3"/>
        <v>0.98709187547456345</v>
      </c>
      <c r="L50" s="3">
        <f t="shared" si="4"/>
        <v>0.83132530120481929</v>
      </c>
      <c r="O50">
        <f>Reference_Data!O46-Dark!O46</f>
        <v>3689</v>
      </c>
      <c r="P50">
        <f>Reference_Data!P46-Dark!P46</f>
        <v>3367</v>
      </c>
      <c r="Q50">
        <f>Reference_Data!Q46-Dark!Q46</f>
        <v>115</v>
      </c>
      <c r="R50">
        <f>Sample_Data!O46-Dark!O46</f>
        <v>3690</v>
      </c>
      <c r="S50">
        <f>Sample_Data!P46-Dark!P46</f>
        <v>2964</v>
      </c>
      <c r="T50">
        <f>Sample_Data!Q46-Dark!Q46</f>
        <v>102</v>
      </c>
      <c r="U50">
        <f t="shared" si="1"/>
        <v>1667.28125</v>
      </c>
      <c r="V50">
        <f t="shared" si="5"/>
        <v>1.0002710761724045</v>
      </c>
      <c r="W50">
        <f t="shared" si="6"/>
        <v>0.88030888030888033</v>
      </c>
      <c r="X50">
        <f t="shared" si="7"/>
        <v>0.88695652173913042</v>
      </c>
    </row>
    <row r="51" spans="1:24" x14ac:dyDescent="0.35">
      <c r="A51">
        <f t="shared" si="8"/>
        <v>1450</v>
      </c>
      <c r="C51">
        <f>Reference_Data!L47-Dark!L47</f>
        <v>3823</v>
      </c>
      <c r="D51">
        <f>Reference_Data!M47-Dark!M47</f>
        <v>3953</v>
      </c>
      <c r="E51">
        <f>Reference_Data!N47-Dark!N47</f>
        <v>166</v>
      </c>
      <c r="F51">
        <f>Sample_Data!L47-Dark!L47</f>
        <v>3823</v>
      </c>
      <c r="G51">
        <f>Sample_Data!M47-Dark!M47</f>
        <v>3902</v>
      </c>
      <c r="H51">
        <f>Sample_Data!N47-Dark!N47</f>
        <v>139</v>
      </c>
      <c r="I51">
        <f t="shared" si="0"/>
        <v>934.90625</v>
      </c>
      <c r="J51" s="3">
        <f t="shared" si="2"/>
        <v>1</v>
      </c>
      <c r="K51" s="3">
        <f t="shared" si="3"/>
        <v>0.98709840627371614</v>
      </c>
      <c r="L51" s="3">
        <f t="shared" si="4"/>
        <v>0.83734939759036142</v>
      </c>
      <c r="O51">
        <f>Reference_Data!O47-Dark!O47</f>
        <v>3700</v>
      </c>
      <c r="P51">
        <f>Reference_Data!P47-Dark!P47</f>
        <v>3893</v>
      </c>
      <c r="Q51">
        <f>Reference_Data!Q47-Dark!Q47</f>
        <v>136</v>
      </c>
      <c r="R51">
        <f>Sample_Data!O47-Dark!O47</f>
        <v>3699</v>
      </c>
      <c r="S51">
        <f>Sample_Data!P47-Dark!P47</f>
        <v>3594</v>
      </c>
      <c r="T51">
        <f>Sample_Data!Q47-Dark!Q47</f>
        <v>121</v>
      </c>
      <c r="U51">
        <f t="shared" si="1"/>
        <v>1673.984375</v>
      </c>
      <c r="V51">
        <f t="shared" si="5"/>
        <v>0.99972972972972973</v>
      </c>
      <c r="W51">
        <f t="shared" si="6"/>
        <v>0.92319547906498844</v>
      </c>
      <c r="X51">
        <f t="shared" si="7"/>
        <v>0.88970588235294112</v>
      </c>
    </row>
    <row r="52" spans="1:24" x14ac:dyDescent="0.35">
      <c r="A52">
        <f t="shared" si="8"/>
        <v>1480</v>
      </c>
      <c r="C52">
        <f>Reference_Data!L48-Dark!L48</f>
        <v>3838</v>
      </c>
      <c r="D52">
        <f>Reference_Data!M48-Dark!M48</f>
        <v>3952</v>
      </c>
      <c r="E52">
        <f>Reference_Data!N48-Dark!N48</f>
        <v>167</v>
      </c>
      <c r="F52">
        <f>Sample_Data!L48-Dark!L48</f>
        <v>3838</v>
      </c>
      <c r="G52">
        <f>Sample_Data!M48-Dark!M48</f>
        <v>3907</v>
      </c>
      <c r="H52">
        <f>Sample_Data!N48-Dark!N48</f>
        <v>140</v>
      </c>
      <c r="I52">
        <f t="shared" si="0"/>
        <v>938.52499999999998</v>
      </c>
      <c r="J52" s="3">
        <f t="shared" si="2"/>
        <v>1</v>
      </c>
      <c r="K52" s="3">
        <f t="shared" si="3"/>
        <v>0.98861336032388669</v>
      </c>
      <c r="L52" s="3">
        <f t="shared" si="4"/>
        <v>0.83832335329341312</v>
      </c>
      <c r="O52">
        <f>Reference_Data!O48-Dark!O48</f>
        <v>3707</v>
      </c>
      <c r="P52">
        <f>Reference_Data!P48-Dark!P48</f>
        <v>3949</v>
      </c>
      <c r="Q52">
        <f>Reference_Data!Q48-Dark!Q48</f>
        <v>169</v>
      </c>
      <c r="R52">
        <f>Sample_Data!O48-Dark!O48</f>
        <v>3706</v>
      </c>
      <c r="S52">
        <f>Sample_Data!P48-Dark!P48</f>
        <v>3922</v>
      </c>
      <c r="T52">
        <f>Sample_Data!Q48-Dark!Q48</f>
        <v>148</v>
      </c>
      <c r="U52">
        <f t="shared" si="1"/>
        <v>1680.6875</v>
      </c>
      <c r="V52">
        <f t="shared" si="5"/>
        <v>0.99973024008632316</v>
      </c>
      <c r="W52">
        <f t="shared" si="6"/>
        <v>0.99316282603190686</v>
      </c>
      <c r="X52">
        <f t="shared" si="7"/>
        <v>0.87573964497041423</v>
      </c>
    </row>
    <row r="53" spans="1:24" x14ac:dyDescent="0.35">
      <c r="A53">
        <f t="shared" si="8"/>
        <v>1510</v>
      </c>
      <c r="C53">
        <f>Reference_Data!L49-Dark!L49</f>
        <v>3831</v>
      </c>
      <c r="D53">
        <f>Reference_Data!M49-Dark!M49</f>
        <v>3953</v>
      </c>
      <c r="E53">
        <f>Reference_Data!N49-Dark!N49</f>
        <v>170</v>
      </c>
      <c r="F53">
        <f>Sample_Data!L49-Dark!L49</f>
        <v>3832</v>
      </c>
      <c r="G53">
        <f>Sample_Data!M49-Dark!M49</f>
        <v>3913</v>
      </c>
      <c r="H53">
        <f>Sample_Data!N49-Dark!N49</f>
        <v>143</v>
      </c>
      <c r="I53">
        <f t="shared" si="0"/>
        <v>942.14374999999995</v>
      </c>
      <c r="J53" s="3">
        <f t="shared" si="2"/>
        <v>1.0002610284521012</v>
      </c>
      <c r="K53" s="3">
        <f t="shared" si="3"/>
        <v>0.98988110295977738</v>
      </c>
      <c r="L53" s="3">
        <f t="shared" si="4"/>
        <v>0.8411764705882353</v>
      </c>
      <c r="O53">
        <f>Reference_Data!O49-Dark!O49</f>
        <v>3711</v>
      </c>
      <c r="P53">
        <f>Reference_Data!P49-Dark!P49</f>
        <v>3969</v>
      </c>
      <c r="Q53">
        <f>Reference_Data!Q49-Dark!Q49</f>
        <v>199</v>
      </c>
      <c r="R53">
        <f>Sample_Data!O49-Dark!O49</f>
        <v>3711</v>
      </c>
      <c r="S53">
        <f>Sample_Data!P49-Dark!P49</f>
        <v>3952</v>
      </c>
      <c r="T53">
        <f>Sample_Data!Q49-Dark!Q49</f>
        <v>174</v>
      </c>
      <c r="U53">
        <f t="shared" si="1"/>
        <v>1687.390625</v>
      </c>
      <c r="V53">
        <f t="shared" si="5"/>
        <v>1</v>
      </c>
      <c r="W53">
        <f t="shared" si="6"/>
        <v>0.99571680524061479</v>
      </c>
      <c r="X53">
        <f t="shared" si="7"/>
        <v>0.87437185929648242</v>
      </c>
    </row>
    <row r="54" spans="1:24" x14ac:dyDescent="0.35">
      <c r="A54">
        <f t="shared" si="8"/>
        <v>1540</v>
      </c>
      <c r="C54">
        <f>Reference_Data!L50-Dark!L50</f>
        <v>3831</v>
      </c>
      <c r="D54">
        <f>Reference_Data!M50-Dark!M50</f>
        <v>3957</v>
      </c>
      <c r="E54">
        <f>Reference_Data!N50-Dark!N50</f>
        <v>170</v>
      </c>
      <c r="F54">
        <f>Sample_Data!L50-Dark!L50</f>
        <v>3831</v>
      </c>
      <c r="G54">
        <f>Sample_Data!M50-Dark!M50</f>
        <v>3916</v>
      </c>
      <c r="H54">
        <f>Sample_Data!N50-Dark!N50</f>
        <v>143</v>
      </c>
      <c r="I54">
        <f t="shared" si="0"/>
        <v>945.76250000000005</v>
      </c>
      <c r="J54" s="3">
        <f t="shared" si="2"/>
        <v>1</v>
      </c>
      <c r="K54" s="3">
        <f t="shared" si="3"/>
        <v>0.98963861511245899</v>
      </c>
      <c r="L54" s="3">
        <f t="shared" si="4"/>
        <v>0.8411764705882353</v>
      </c>
      <c r="O54">
        <f>Reference_Data!O50-Dark!O50</f>
        <v>3708</v>
      </c>
      <c r="P54">
        <f>Reference_Data!P50-Dark!P50</f>
        <v>3981</v>
      </c>
      <c r="Q54">
        <f>Reference_Data!Q50-Dark!Q50</f>
        <v>230</v>
      </c>
      <c r="R54">
        <f>Sample_Data!O50-Dark!O50</f>
        <v>3708</v>
      </c>
      <c r="S54">
        <f>Sample_Data!P50-Dark!P50</f>
        <v>3967</v>
      </c>
      <c r="T54">
        <f>Sample_Data!Q50-Dark!Q50</f>
        <v>198</v>
      </c>
      <c r="U54">
        <f t="shared" si="1"/>
        <v>1694.09375</v>
      </c>
      <c r="V54">
        <f t="shared" si="5"/>
        <v>1</v>
      </c>
      <c r="W54">
        <f t="shared" si="6"/>
        <v>0.99648329565435823</v>
      </c>
      <c r="X54">
        <f t="shared" si="7"/>
        <v>0.86086956521739133</v>
      </c>
    </row>
    <row r="55" spans="1:24" x14ac:dyDescent="0.35">
      <c r="A55">
        <f t="shared" si="8"/>
        <v>1570</v>
      </c>
      <c r="C55">
        <f>Reference_Data!L51-Dark!L51</f>
        <v>3835</v>
      </c>
      <c r="D55">
        <f>Reference_Data!M51-Dark!M51</f>
        <v>3958</v>
      </c>
      <c r="E55">
        <f>Reference_Data!N51-Dark!N51</f>
        <v>171</v>
      </c>
      <c r="F55">
        <f>Sample_Data!L51-Dark!L51</f>
        <v>3834</v>
      </c>
      <c r="G55">
        <f>Sample_Data!M51-Dark!M51</f>
        <v>3922</v>
      </c>
      <c r="H55">
        <f>Sample_Data!N51-Dark!N51</f>
        <v>145</v>
      </c>
      <c r="I55">
        <f t="shared" si="0"/>
        <v>949.38125000000002</v>
      </c>
      <c r="J55" s="3">
        <f t="shared" si="2"/>
        <v>0.99973924380704038</v>
      </c>
      <c r="K55" s="3">
        <f t="shared" si="3"/>
        <v>0.99090449722081864</v>
      </c>
      <c r="L55" s="3">
        <f t="shared" si="4"/>
        <v>0.84795321637426901</v>
      </c>
      <c r="O55">
        <f>Reference_Data!O51-Dark!O51</f>
        <v>3707</v>
      </c>
      <c r="P55">
        <f>Reference_Data!P51-Dark!P51</f>
        <v>3989</v>
      </c>
      <c r="Q55">
        <f>Reference_Data!Q51-Dark!Q51</f>
        <v>255</v>
      </c>
      <c r="R55">
        <f>Sample_Data!O51-Dark!O51</f>
        <v>3707</v>
      </c>
      <c r="S55">
        <f>Sample_Data!P51-Dark!P51</f>
        <v>3978</v>
      </c>
      <c r="T55">
        <f>Sample_Data!Q51-Dark!Q51</f>
        <v>219</v>
      </c>
      <c r="U55">
        <f t="shared" si="1"/>
        <v>1700.796875</v>
      </c>
      <c r="V55">
        <f t="shared" si="5"/>
        <v>1</v>
      </c>
      <c r="W55">
        <f t="shared" si="6"/>
        <v>0.99724241664577584</v>
      </c>
      <c r="X55">
        <f t="shared" si="7"/>
        <v>0.85882352941176465</v>
      </c>
    </row>
    <row r="56" spans="1:24" x14ac:dyDescent="0.35">
      <c r="A56">
        <f t="shared" si="8"/>
        <v>1600</v>
      </c>
      <c r="C56">
        <f>Reference_Data!L52-Dark!L52</f>
        <v>3825</v>
      </c>
      <c r="D56">
        <f>Reference_Data!M52-Dark!M52</f>
        <v>3960</v>
      </c>
      <c r="E56">
        <f>Reference_Data!N52-Dark!N52</f>
        <v>176</v>
      </c>
      <c r="F56">
        <f>Sample_Data!L52-Dark!L52</f>
        <v>3825</v>
      </c>
      <c r="G56">
        <f>Sample_Data!M52-Dark!M52</f>
        <v>3928</v>
      </c>
      <c r="H56">
        <f>Sample_Data!N52-Dark!N52</f>
        <v>146</v>
      </c>
      <c r="I56">
        <f t="shared" si="0"/>
        <v>953</v>
      </c>
      <c r="J56" s="3">
        <f t="shared" si="2"/>
        <v>1</v>
      </c>
      <c r="K56" s="3">
        <f t="shared" si="3"/>
        <v>0.99191919191919187</v>
      </c>
      <c r="L56" s="3">
        <f t="shared" si="4"/>
        <v>0.82954545454545459</v>
      </c>
      <c r="O56">
        <f>Reference_Data!O52-Dark!O52</f>
        <v>3711</v>
      </c>
      <c r="P56">
        <f>Reference_Data!P52-Dark!P52</f>
        <v>3995</v>
      </c>
      <c r="Q56">
        <f>Reference_Data!Q52-Dark!Q52</f>
        <v>281</v>
      </c>
      <c r="R56">
        <f>Sample_Data!O52-Dark!O52</f>
        <v>3711</v>
      </c>
      <c r="S56">
        <f>Sample_Data!P52-Dark!P52</f>
        <v>3984</v>
      </c>
      <c r="T56">
        <f>Sample_Data!Q52-Dark!Q52</f>
        <v>241</v>
      </c>
      <c r="U56">
        <f t="shared" si="1"/>
        <v>1707.5</v>
      </c>
      <c r="V56">
        <f t="shared" si="5"/>
        <v>1</v>
      </c>
      <c r="W56">
        <f t="shared" si="6"/>
        <v>0.99724655819774721</v>
      </c>
      <c r="X56">
        <f t="shared" si="7"/>
        <v>0.85765124555160144</v>
      </c>
    </row>
    <row r="57" spans="1:24" x14ac:dyDescent="0.35">
      <c r="A57">
        <f t="shared" si="8"/>
        <v>1630</v>
      </c>
      <c r="C57">
        <f>Reference_Data!L53-Dark!L53</f>
        <v>3839</v>
      </c>
      <c r="D57">
        <f>Reference_Data!M53-Dark!M53</f>
        <v>3963</v>
      </c>
      <c r="E57">
        <f>Reference_Data!N53-Dark!N53</f>
        <v>180</v>
      </c>
      <c r="F57">
        <f>Sample_Data!L53-Dark!L53</f>
        <v>3839</v>
      </c>
      <c r="G57">
        <f>Sample_Data!M53-Dark!M53</f>
        <v>3934</v>
      </c>
      <c r="H57">
        <f>Sample_Data!N53-Dark!N53</f>
        <v>151</v>
      </c>
      <c r="I57">
        <f t="shared" si="0"/>
        <v>956.61874999999998</v>
      </c>
      <c r="J57" s="3">
        <f t="shared" si="2"/>
        <v>1</v>
      </c>
      <c r="K57" s="3">
        <f t="shared" si="3"/>
        <v>0.99268231138026752</v>
      </c>
      <c r="L57" s="3">
        <f t="shared" si="4"/>
        <v>0.83888888888888891</v>
      </c>
      <c r="O57">
        <f>Reference_Data!O53-Dark!O53</f>
        <v>3703</v>
      </c>
      <c r="P57">
        <f>Reference_Data!P53-Dark!P53</f>
        <v>3998</v>
      </c>
      <c r="Q57">
        <f>Reference_Data!Q53-Dark!Q53</f>
        <v>304</v>
      </c>
      <c r="R57">
        <f>Sample_Data!O53-Dark!O53</f>
        <v>3703</v>
      </c>
      <c r="S57">
        <f>Sample_Data!P53-Dark!P53</f>
        <v>3989</v>
      </c>
      <c r="T57">
        <f>Sample_Data!Q53-Dark!Q53</f>
        <v>256</v>
      </c>
      <c r="U57">
        <f t="shared" si="1"/>
        <v>1714.203125</v>
      </c>
      <c r="V57">
        <f t="shared" si="5"/>
        <v>1</v>
      </c>
      <c r="W57">
        <f t="shared" si="6"/>
        <v>0.9977488744372186</v>
      </c>
      <c r="X57">
        <f t="shared" si="7"/>
        <v>0.84210526315789469</v>
      </c>
    </row>
    <row r="58" spans="1:24" x14ac:dyDescent="0.35">
      <c r="A58">
        <f t="shared" si="8"/>
        <v>1660</v>
      </c>
      <c r="C58">
        <f>Reference_Data!L54-Dark!L54</f>
        <v>3837</v>
      </c>
      <c r="D58">
        <f>Reference_Data!M54-Dark!M54</f>
        <v>3965</v>
      </c>
      <c r="E58">
        <f>Reference_Data!N54-Dark!N54</f>
        <v>182</v>
      </c>
      <c r="F58">
        <f>Sample_Data!L54-Dark!L54</f>
        <v>3836</v>
      </c>
      <c r="G58">
        <f>Sample_Data!M54-Dark!M54</f>
        <v>3938</v>
      </c>
      <c r="H58">
        <f>Sample_Data!N54-Dark!N54</f>
        <v>153</v>
      </c>
      <c r="I58">
        <f t="shared" si="0"/>
        <v>960.23749999999995</v>
      </c>
      <c r="J58" s="3">
        <f t="shared" si="2"/>
        <v>0.99973937972374249</v>
      </c>
      <c r="K58" s="3">
        <f t="shared" si="3"/>
        <v>0.99319041614123582</v>
      </c>
      <c r="L58" s="3">
        <f t="shared" si="4"/>
        <v>0.84065934065934067</v>
      </c>
      <c r="O58">
        <f>Reference_Data!O54-Dark!O54</f>
        <v>3700</v>
      </c>
      <c r="P58">
        <f>Reference_Data!P54-Dark!P54</f>
        <v>3998</v>
      </c>
      <c r="Q58">
        <f>Reference_Data!Q54-Dark!Q54</f>
        <v>322</v>
      </c>
      <c r="R58">
        <f>Sample_Data!O54-Dark!O54</f>
        <v>3701</v>
      </c>
      <c r="S58">
        <f>Sample_Data!P54-Dark!P54</f>
        <v>3993</v>
      </c>
      <c r="T58">
        <f>Sample_Data!Q54-Dark!Q54</f>
        <v>272</v>
      </c>
      <c r="U58">
        <f t="shared" si="1"/>
        <v>1720.90625</v>
      </c>
      <c r="V58">
        <f t="shared" si="5"/>
        <v>1.0002702702702704</v>
      </c>
      <c r="W58">
        <f t="shared" si="6"/>
        <v>0.99874937468734371</v>
      </c>
      <c r="X58">
        <f t="shared" si="7"/>
        <v>0.84472049689440998</v>
      </c>
    </row>
    <row r="59" spans="1:24" x14ac:dyDescent="0.35">
      <c r="A59">
        <f t="shared" si="8"/>
        <v>1690</v>
      </c>
      <c r="C59">
        <f>Reference_Data!L55-Dark!L55</f>
        <v>3829</v>
      </c>
      <c r="D59">
        <f>Reference_Data!M55-Dark!M55</f>
        <v>3968</v>
      </c>
      <c r="E59">
        <f>Reference_Data!N55-Dark!N55</f>
        <v>187</v>
      </c>
      <c r="F59">
        <f>Sample_Data!L55-Dark!L55</f>
        <v>3829</v>
      </c>
      <c r="G59">
        <f>Sample_Data!M55-Dark!M55</f>
        <v>3942</v>
      </c>
      <c r="H59">
        <f>Sample_Data!N55-Dark!N55</f>
        <v>157</v>
      </c>
      <c r="I59">
        <f t="shared" si="0"/>
        <v>963.85625000000005</v>
      </c>
      <c r="J59" s="3">
        <f t="shared" si="2"/>
        <v>1</v>
      </c>
      <c r="K59" s="3">
        <f t="shared" si="3"/>
        <v>0.99344758064516125</v>
      </c>
      <c r="L59" s="3">
        <f t="shared" si="4"/>
        <v>0.83957219251336901</v>
      </c>
      <c r="O59">
        <f>Reference_Data!O55-Dark!O55</f>
        <v>3701</v>
      </c>
      <c r="P59">
        <f>Reference_Data!P55-Dark!P55</f>
        <v>3998</v>
      </c>
      <c r="Q59">
        <f>Reference_Data!Q55-Dark!Q55</f>
        <v>341</v>
      </c>
      <c r="R59">
        <f>Sample_Data!O55-Dark!O55</f>
        <v>3702</v>
      </c>
      <c r="S59">
        <f>Sample_Data!P55-Dark!P55</f>
        <v>3997</v>
      </c>
      <c r="T59">
        <f>Sample_Data!Q55-Dark!Q55</f>
        <v>289</v>
      </c>
      <c r="U59">
        <f t="shared" si="1"/>
        <v>1727.609375</v>
      </c>
      <c r="V59">
        <f t="shared" si="5"/>
        <v>1.000270197243988</v>
      </c>
      <c r="W59">
        <f t="shared" si="6"/>
        <v>0.9997498749374687</v>
      </c>
      <c r="X59">
        <f t="shared" si="7"/>
        <v>0.84750733137829914</v>
      </c>
    </row>
    <row r="60" spans="1:24" x14ac:dyDescent="0.35">
      <c r="A60">
        <f t="shared" si="8"/>
        <v>1720</v>
      </c>
      <c r="C60">
        <f>Reference_Data!L56-Dark!L56</f>
        <v>3828</v>
      </c>
      <c r="D60">
        <f>Reference_Data!M56-Dark!M56</f>
        <v>3969</v>
      </c>
      <c r="E60">
        <f>Reference_Data!N56-Dark!N56</f>
        <v>191</v>
      </c>
      <c r="F60">
        <f>Sample_Data!L56-Dark!L56</f>
        <v>3829</v>
      </c>
      <c r="G60">
        <f>Sample_Data!M56-Dark!M56</f>
        <v>3945</v>
      </c>
      <c r="H60">
        <f>Sample_Data!N56-Dark!N56</f>
        <v>161</v>
      </c>
      <c r="I60">
        <f t="shared" si="0"/>
        <v>967.47500000000002</v>
      </c>
      <c r="J60" s="3">
        <f t="shared" si="2"/>
        <v>1.0002612330198537</v>
      </c>
      <c r="K60" s="3">
        <f t="shared" si="3"/>
        <v>0.99395313681027964</v>
      </c>
      <c r="L60" s="3">
        <f t="shared" si="4"/>
        <v>0.84293193717277481</v>
      </c>
      <c r="O60">
        <f>Reference_Data!O56-Dark!O56</f>
        <v>3696</v>
      </c>
      <c r="P60">
        <f>Reference_Data!P56-Dark!P56</f>
        <v>3998</v>
      </c>
      <c r="Q60">
        <f>Reference_Data!Q56-Dark!Q56</f>
        <v>371</v>
      </c>
      <c r="R60">
        <f>Sample_Data!O56-Dark!O56</f>
        <v>3697</v>
      </c>
      <c r="S60">
        <f>Sample_Data!P56-Dark!P56</f>
        <v>3998</v>
      </c>
      <c r="T60">
        <f>Sample_Data!Q56-Dark!Q56</f>
        <v>311</v>
      </c>
      <c r="U60">
        <f t="shared" si="1"/>
        <v>1734.3125</v>
      </c>
      <c r="V60">
        <f t="shared" si="5"/>
        <v>1.0002705627705628</v>
      </c>
      <c r="W60">
        <f t="shared" si="6"/>
        <v>1</v>
      </c>
      <c r="X60">
        <f t="shared" si="7"/>
        <v>0.83827493261455521</v>
      </c>
    </row>
    <row r="61" spans="1:24" x14ac:dyDescent="0.35">
      <c r="A61">
        <f t="shared" si="8"/>
        <v>1750</v>
      </c>
      <c r="C61">
        <f>Reference_Data!L57-Dark!L57</f>
        <v>3838</v>
      </c>
      <c r="D61">
        <f>Reference_Data!M57-Dark!M57</f>
        <v>3971</v>
      </c>
      <c r="E61">
        <f>Reference_Data!N57-Dark!N57</f>
        <v>194</v>
      </c>
      <c r="F61">
        <f>Sample_Data!L57-Dark!L57</f>
        <v>3838</v>
      </c>
      <c r="G61">
        <f>Sample_Data!M57-Dark!M57</f>
        <v>3949</v>
      </c>
      <c r="H61">
        <f>Sample_Data!N57-Dark!N57</f>
        <v>164</v>
      </c>
      <c r="I61">
        <f t="shared" si="0"/>
        <v>971.09375</v>
      </c>
      <c r="J61" s="3">
        <f t="shared" si="2"/>
        <v>1</v>
      </c>
      <c r="K61" s="3">
        <f t="shared" si="3"/>
        <v>0.9944598337950139</v>
      </c>
      <c r="L61" s="3">
        <f t="shared" si="4"/>
        <v>0.84536082474226804</v>
      </c>
      <c r="O61">
        <f>Reference_Data!O57-Dark!O57</f>
        <v>3690</v>
      </c>
      <c r="P61">
        <f>Reference_Data!P57-Dark!P57</f>
        <v>3997</v>
      </c>
      <c r="Q61">
        <f>Reference_Data!Q57-Dark!Q57</f>
        <v>403</v>
      </c>
      <c r="R61">
        <f>Sample_Data!O57-Dark!O57</f>
        <v>3691</v>
      </c>
      <c r="S61">
        <f>Sample_Data!P57-Dark!P57</f>
        <v>3998</v>
      </c>
      <c r="T61">
        <f>Sample_Data!Q57-Dark!Q57</f>
        <v>340</v>
      </c>
      <c r="U61">
        <f t="shared" si="1"/>
        <v>1741.015625</v>
      </c>
      <c r="V61">
        <f t="shared" si="5"/>
        <v>1.000271002710027</v>
      </c>
      <c r="W61">
        <f t="shared" si="6"/>
        <v>1.0002501876407306</v>
      </c>
      <c r="X61">
        <f t="shared" si="7"/>
        <v>0.84367245657568235</v>
      </c>
    </row>
    <row r="62" spans="1:24" x14ac:dyDescent="0.35">
      <c r="A62">
        <f t="shared" si="8"/>
        <v>1780</v>
      </c>
      <c r="C62">
        <f>Reference_Data!L58-Dark!L58</f>
        <v>3824</v>
      </c>
      <c r="D62">
        <f>Reference_Data!M58-Dark!M58</f>
        <v>3973</v>
      </c>
      <c r="E62">
        <f>Reference_Data!N58-Dark!N58</f>
        <v>196</v>
      </c>
      <c r="F62">
        <f>Sample_Data!L58-Dark!L58</f>
        <v>3824</v>
      </c>
      <c r="G62">
        <f>Sample_Data!M58-Dark!M58</f>
        <v>3950</v>
      </c>
      <c r="H62">
        <f>Sample_Data!N58-Dark!N58</f>
        <v>166</v>
      </c>
      <c r="I62">
        <f t="shared" si="0"/>
        <v>974.71249999999998</v>
      </c>
      <c r="J62" s="3">
        <f t="shared" si="2"/>
        <v>1</v>
      </c>
      <c r="K62" s="3">
        <f t="shared" si="3"/>
        <v>0.99421092373521269</v>
      </c>
      <c r="L62" s="3">
        <f t="shared" si="4"/>
        <v>0.84693877551020413</v>
      </c>
      <c r="O62">
        <f>Reference_Data!O58-Dark!O58</f>
        <v>3683</v>
      </c>
      <c r="P62">
        <f>Reference_Data!P58-Dark!P58</f>
        <v>3997</v>
      </c>
      <c r="Q62">
        <f>Reference_Data!Q58-Dark!Q58</f>
        <v>445</v>
      </c>
      <c r="R62">
        <f>Sample_Data!O58-Dark!O58</f>
        <v>3683</v>
      </c>
      <c r="S62">
        <f>Sample_Data!P58-Dark!P58</f>
        <v>3997</v>
      </c>
      <c r="T62">
        <f>Sample_Data!Q58-Dark!Q58</f>
        <v>372</v>
      </c>
      <c r="U62">
        <f t="shared" si="1"/>
        <v>1747.71875</v>
      </c>
      <c r="V62">
        <f t="shared" si="5"/>
        <v>1</v>
      </c>
      <c r="W62">
        <f t="shared" si="6"/>
        <v>1</v>
      </c>
      <c r="X62">
        <f t="shared" si="7"/>
        <v>0.83595505617977528</v>
      </c>
    </row>
    <row r="63" spans="1:24" x14ac:dyDescent="0.35">
      <c r="A63">
        <f t="shared" si="8"/>
        <v>1810</v>
      </c>
      <c r="C63">
        <f>Reference_Data!L59-Dark!L59</f>
        <v>3828</v>
      </c>
      <c r="D63">
        <f>Reference_Data!M59-Dark!M59</f>
        <v>3974</v>
      </c>
      <c r="E63">
        <f>Reference_Data!N59-Dark!N59</f>
        <v>198</v>
      </c>
      <c r="F63">
        <f>Sample_Data!L59-Dark!L59</f>
        <v>3827</v>
      </c>
      <c r="G63">
        <f>Sample_Data!M59-Dark!M59</f>
        <v>3953</v>
      </c>
      <c r="H63">
        <f>Sample_Data!N59-Dark!N59</f>
        <v>168</v>
      </c>
      <c r="I63">
        <f t="shared" si="0"/>
        <v>978.33124999999995</v>
      </c>
      <c r="J63" s="3">
        <f t="shared" si="2"/>
        <v>0.9997387669801463</v>
      </c>
      <c r="K63" s="3">
        <f t="shared" si="3"/>
        <v>0.99471565173628584</v>
      </c>
      <c r="L63" s="3">
        <f t="shared" si="4"/>
        <v>0.84848484848484851</v>
      </c>
      <c r="O63">
        <f>Reference_Data!O59-Dark!O59</f>
        <v>3680</v>
      </c>
      <c r="P63">
        <f>Reference_Data!P59-Dark!P59</f>
        <v>3997</v>
      </c>
      <c r="Q63">
        <f>Reference_Data!Q59-Dark!Q59</f>
        <v>488</v>
      </c>
      <c r="R63">
        <f>Sample_Data!O59-Dark!O59</f>
        <v>3680</v>
      </c>
      <c r="S63">
        <f>Sample_Data!P59-Dark!P59</f>
        <v>3997</v>
      </c>
      <c r="T63">
        <f>Sample_Data!Q59-Dark!Q59</f>
        <v>405</v>
      </c>
      <c r="U63">
        <f t="shared" si="1"/>
        <v>1754.421875</v>
      </c>
      <c r="V63">
        <f t="shared" si="5"/>
        <v>1</v>
      </c>
      <c r="W63">
        <f t="shared" si="6"/>
        <v>1</v>
      </c>
      <c r="X63">
        <f t="shared" si="7"/>
        <v>0.82991803278688525</v>
      </c>
    </row>
    <row r="64" spans="1:24" x14ac:dyDescent="0.35">
      <c r="A64">
        <f t="shared" si="8"/>
        <v>1840</v>
      </c>
      <c r="C64">
        <f>Reference_Data!L60-Dark!L60</f>
        <v>3841</v>
      </c>
      <c r="D64">
        <f>Reference_Data!M60-Dark!M60</f>
        <v>3977</v>
      </c>
      <c r="E64">
        <f>Reference_Data!N60-Dark!N60</f>
        <v>202</v>
      </c>
      <c r="F64">
        <f>Sample_Data!L60-Dark!L60</f>
        <v>3841</v>
      </c>
      <c r="G64">
        <f>Sample_Data!M60-Dark!M60</f>
        <v>3957</v>
      </c>
      <c r="H64">
        <f>Sample_Data!N60-Dark!N60</f>
        <v>172</v>
      </c>
      <c r="I64">
        <f t="shared" si="0"/>
        <v>981.95</v>
      </c>
      <c r="J64" s="3">
        <f t="shared" si="2"/>
        <v>1</v>
      </c>
      <c r="K64" s="3">
        <f t="shared" si="3"/>
        <v>0.99497108373145582</v>
      </c>
      <c r="L64" s="3">
        <f t="shared" si="4"/>
        <v>0.85148514851485146</v>
      </c>
      <c r="O64">
        <f>Reference_Data!O60-Dark!O60</f>
        <v>3673</v>
      </c>
      <c r="P64">
        <f>Reference_Data!P60-Dark!P60</f>
        <v>3997</v>
      </c>
      <c r="Q64">
        <f>Reference_Data!Q60-Dark!Q60</f>
        <v>516</v>
      </c>
      <c r="R64">
        <f>Sample_Data!O60-Dark!O60</f>
        <v>3673</v>
      </c>
      <c r="S64">
        <f>Sample_Data!P60-Dark!P60</f>
        <v>3997</v>
      </c>
      <c r="T64">
        <f>Sample_Data!Q60-Dark!Q60</f>
        <v>428</v>
      </c>
      <c r="U64">
        <f t="shared" si="1"/>
        <v>1761.125</v>
      </c>
      <c r="V64">
        <f t="shared" si="5"/>
        <v>1</v>
      </c>
      <c r="W64">
        <f t="shared" si="6"/>
        <v>1</v>
      </c>
      <c r="X64">
        <f t="shared" si="7"/>
        <v>0.8294573643410853</v>
      </c>
    </row>
    <row r="65" spans="1:24" x14ac:dyDescent="0.35">
      <c r="A65">
        <f t="shared" si="8"/>
        <v>1870</v>
      </c>
      <c r="C65">
        <f>Reference_Data!L61-Dark!L61</f>
        <v>3837</v>
      </c>
      <c r="D65">
        <f>Reference_Data!M61-Dark!M61</f>
        <v>3979</v>
      </c>
      <c r="E65">
        <f>Reference_Data!N61-Dark!N61</f>
        <v>203</v>
      </c>
      <c r="F65">
        <f>Sample_Data!L61-Dark!L61</f>
        <v>3837</v>
      </c>
      <c r="G65">
        <f>Sample_Data!M61-Dark!M61</f>
        <v>3958</v>
      </c>
      <c r="H65">
        <f>Sample_Data!N61-Dark!N61</f>
        <v>172</v>
      </c>
      <c r="I65">
        <f t="shared" si="0"/>
        <v>985.56875000000002</v>
      </c>
      <c r="J65" s="3">
        <f t="shared" si="2"/>
        <v>1</v>
      </c>
      <c r="K65" s="3">
        <f t="shared" si="3"/>
        <v>0.99472229203317419</v>
      </c>
      <c r="L65" s="3">
        <f t="shared" si="4"/>
        <v>0.84729064039408863</v>
      </c>
      <c r="O65">
        <f>Reference_Data!O61-Dark!O61</f>
        <v>3668</v>
      </c>
      <c r="P65">
        <f>Reference_Data!P61-Dark!P61</f>
        <v>3997</v>
      </c>
      <c r="Q65">
        <f>Reference_Data!Q61-Dark!Q61</f>
        <v>532</v>
      </c>
      <c r="R65">
        <f>Sample_Data!O61-Dark!O61</f>
        <v>3668</v>
      </c>
      <c r="S65">
        <f>Sample_Data!P61-Dark!P61</f>
        <v>3997</v>
      </c>
      <c r="T65">
        <f>Sample_Data!Q61-Dark!Q61</f>
        <v>440</v>
      </c>
      <c r="U65">
        <f t="shared" si="1"/>
        <v>1767.828125</v>
      </c>
      <c r="V65">
        <f t="shared" si="5"/>
        <v>1</v>
      </c>
      <c r="W65">
        <f t="shared" si="6"/>
        <v>1</v>
      </c>
      <c r="X65">
        <f t="shared" si="7"/>
        <v>0.82706766917293228</v>
      </c>
    </row>
    <row r="66" spans="1:24" x14ac:dyDescent="0.35">
      <c r="A66">
        <f t="shared" si="8"/>
        <v>1900</v>
      </c>
      <c r="C66">
        <f>Reference_Data!L62-Dark!L62</f>
        <v>3831</v>
      </c>
      <c r="D66">
        <f>Reference_Data!M62-Dark!M62</f>
        <v>3979</v>
      </c>
      <c r="E66">
        <f>Reference_Data!N62-Dark!N62</f>
        <v>208</v>
      </c>
      <c r="F66">
        <f>Sample_Data!L62-Dark!L62</f>
        <v>3830</v>
      </c>
      <c r="G66">
        <f>Sample_Data!M62-Dark!M62</f>
        <v>3960</v>
      </c>
      <c r="H66">
        <f>Sample_Data!N62-Dark!N62</f>
        <v>178</v>
      </c>
      <c r="I66">
        <f t="shared" si="0"/>
        <v>989.1875</v>
      </c>
      <c r="J66" s="3">
        <f t="shared" si="2"/>
        <v>0.9997389715478987</v>
      </c>
      <c r="K66" s="3">
        <f t="shared" si="3"/>
        <v>0.99522493088715758</v>
      </c>
      <c r="L66" s="3">
        <f t="shared" si="4"/>
        <v>0.85576923076923073</v>
      </c>
      <c r="O66">
        <f>Reference_Data!O62-Dark!O62</f>
        <v>3661</v>
      </c>
      <c r="P66">
        <f>Reference_Data!P62-Dark!P62</f>
        <v>3996</v>
      </c>
      <c r="Q66">
        <f>Reference_Data!Q62-Dark!Q62</f>
        <v>541</v>
      </c>
      <c r="R66">
        <f>Sample_Data!O62-Dark!O62</f>
        <v>3661</v>
      </c>
      <c r="S66">
        <f>Sample_Data!P62-Dark!P62</f>
        <v>3996</v>
      </c>
      <c r="T66">
        <f>Sample_Data!Q62-Dark!Q62</f>
        <v>446</v>
      </c>
      <c r="U66">
        <f t="shared" si="1"/>
        <v>1774.53125</v>
      </c>
      <c r="V66">
        <f t="shared" si="5"/>
        <v>1</v>
      </c>
      <c r="W66">
        <f t="shared" si="6"/>
        <v>1</v>
      </c>
      <c r="X66">
        <f t="shared" si="7"/>
        <v>0.8243992606284658</v>
      </c>
    </row>
    <row r="67" spans="1:24" x14ac:dyDescent="0.35">
      <c r="A67">
        <f t="shared" si="8"/>
        <v>1930</v>
      </c>
      <c r="C67">
        <f>Reference_Data!L63-Dark!L63</f>
        <v>3834</v>
      </c>
      <c r="D67">
        <f>Reference_Data!M63-Dark!M63</f>
        <v>3981</v>
      </c>
      <c r="E67">
        <f>Reference_Data!N63-Dark!N63</f>
        <v>209</v>
      </c>
      <c r="F67">
        <f>Sample_Data!L63-Dark!L63</f>
        <v>3833</v>
      </c>
      <c r="G67">
        <f>Sample_Data!M63-Dark!M63</f>
        <v>3963</v>
      </c>
      <c r="H67">
        <f>Sample_Data!N63-Dark!N63</f>
        <v>178</v>
      </c>
      <c r="I67">
        <f t="shared" si="0"/>
        <v>992.80624999999998</v>
      </c>
      <c r="J67" s="3">
        <f t="shared" si="2"/>
        <v>0.99973917579551386</v>
      </c>
      <c r="K67" s="3">
        <f t="shared" si="3"/>
        <v>0.99547852298417483</v>
      </c>
      <c r="L67" s="3">
        <f t="shared" si="4"/>
        <v>0.85167464114832536</v>
      </c>
      <c r="O67">
        <f>Reference_Data!O63-Dark!O63</f>
        <v>3652</v>
      </c>
      <c r="P67">
        <f>Reference_Data!P63-Dark!P63</f>
        <v>3996</v>
      </c>
      <c r="Q67">
        <f>Reference_Data!Q63-Dark!Q63</f>
        <v>545</v>
      </c>
      <c r="R67">
        <f>Sample_Data!O63-Dark!O63</f>
        <v>3652</v>
      </c>
      <c r="S67">
        <f>Sample_Data!P63-Dark!P63</f>
        <v>3996</v>
      </c>
      <c r="T67">
        <f>Sample_Data!Q63-Dark!Q63</f>
        <v>447</v>
      </c>
      <c r="U67">
        <f t="shared" si="1"/>
        <v>1781.234375</v>
      </c>
      <c r="V67">
        <f t="shared" si="5"/>
        <v>1</v>
      </c>
      <c r="W67">
        <f t="shared" si="6"/>
        <v>1</v>
      </c>
      <c r="X67">
        <f t="shared" si="7"/>
        <v>0.8201834862385321</v>
      </c>
    </row>
    <row r="68" spans="1:24" x14ac:dyDescent="0.35">
      <c r="A68">
        <f t="shared" si="8"/>
        <v>1960</v>
      </c>
      <c r="C68">
        <f>Reference_Data!L64-Dark!L64</f>
        <v>3827</v>
      </c>
      <c r="D68">
        <f>Reference_Data!M64-Dark!M64</f>
        <v>3981</v>
      </c>
      <c r="E68">
        <f>Reference_Data!N64-Dark!N64</f>
        <v>212</v>
      </c>
      <c r="F68">
        <f>Sample_Data!L64-Dark!L64</f>
        <v>3826</v>
      </c>
      <c r="G68">
        <f>Sample_Data!M64-Dark!M64</f>
        <v>3964</v>
      </c>
      <c r="H68">
        <f>Sample_Data!N64-Dark!N64</f>
        <v>180</v>
      </c>
      <c r="I68">
        <f t="shared" si="0"/>
        <v>996.42499999999995</v>
      </c>
      <c r="J68" s="3">
        <f t="shared" si="2"/>
        <v>0.99973869871962373</v>
      </c>
      <c r="K68" s="3">
        <f t="shared" si="3"/>
        <v>0.99572971615172068</v>
      </c>
      <c r="L68" s="3">
        <f t="shared" si="4"/>
        <v>0.84905660377358494</v>
      </c>
      <c r="O68">
        <f>Reference_Data!O64-Dark!O64</f>
        <v>3640</v>
      </c>
      <c r="P68">
        <f>Reference_Data!P64-Dark!P64</f>
        <v>3997</v>
      </c>
      <c r="Q68">
        <f>Reference_Data!Q64-Dark!Q64</f>
        <v>548</v>
      </c>
      <c r="R68">
        <f>Sample_Data!O64-Dark!O64</f>
        <v>3640</v>
      </c>
      <c r="S68">
        <f>Sample_Data!P64-Dark!P64</f>
        <v>3996</v>
      </c>
      <c r="T68">
        <f>Sample_Data!Q64-Dark!Q64</f>
        <v>447</v>
      </c>
      <c r="U68">
        <f t="shared" si="1"/>
        <v>1787.9375</v>
      </c>
      <c r="V68">
        <f t="shared" si="5"/>
        <v>1</v>
      </c>
      <c r="W68">
        <f t="shared" si="6"/>
        <v>0.99974981235926941</v>
      </c>
      <c r="X68">
        <f t="shared" si="7"/>
        <v>0.81569343065693434</v>
      </c>
    </row>
    <row r="69" spans="1:24" x14ac:dyDescent="0.35">
      <c r="A69">
        <f t="shared" si="8"/>
        <v>1990</v>
      </c>
      <c r="C69">
        <f>Reference_Data!L65-Dark!L65</f>
        <v>3823</v>
      </c>
      <c r="D69">
        <f>Reference_Data!M65-Dark!M65</f>
        <v>3983</v>
      </c>
      <c r="E69">
        <f>Reference_Data!N65-Dark!N65</f>
        <v>217</v>
      </c>
      <c r="F69">
        <f>Sample_Data!L65-Dark!L65</f>
        <v>3823</v>
      </c>
      <c r="G69">
        <f>Sample_Data!M65-Dark!M65</f>
        <v>3966</v>
      </c>
      <c r="H69">
        <f>Sample_Data!N65-Dark!N65</f>
        <v>185</v>
      </c>
      <c r="I69">
        <f t="shared" si="0"/>
        <v>1000.04375</v>
      </c>
      <c r="J69" s="3">
        <f t="shared" si="2"/>
        <v>1</v>
      </c>
      <c r="K69" s="3">
        <f t="shared" si="3"/>
        <v>0.99573186040672856</v>
      </c>
      <c r="L69" s="3">
        <f t="shared" si="4"/>
        <v>0.85253456221198154</v>
      </c>
      <c r="O69">
        <f>Reference_Data!O65-Dark!O65</f>
        <v>3631</v>
      </c>
      <c r="P69">
        <f>Reference_Data!P65-Dark!P65</f>
        <v>3995</v>
      </c>
      <c r="Q69">
        <f>Reference_Data!Q65-Dark!Q65</f>
        <v>552</v>
      </c>
      <c r="R69">
        <f>Sample_Data!O65-Dark!O65</f>
        <v>3630</v>
      </c>
      <c r="S69">
        <f>Sample_Data!P65-Dark!P65</f>
        <v>3995</v>
      </c>
      <c r="T69">
        <f>Sample_Data!Q65-Dark!Q65</f>
        <v>450</v>
      </c>
      <c r="U69">
        <f t="shared" si="1"/>
        <v>1794.640625</v>
      </c>
      <c r="V69">
        <f t="shared" si="5"/>
        <v>0.99972459377581935</v>
      </c>
      <c r="W69">
        <f t="shared" si="6"/>
        <v>1</v>
      </c>
      <c r="X69">
        <f t="shared" si="7"/>
        <v>0.81521739130434778</v>
      </c>
    </row>
    <row r="70" spans="1:24" x14ac:dyDescent="0.35">
      <c r="A70">
        <f t="shared" si="8"/>
        <v>2020</v>
      </c>
      <c r="C70">
        <f>Reference_Data!L66-Dark!L66</f>
        <v>3830</v>
      </c>
      <c r="D70">
        <f>Reference_Data!M66-Dark!M66</f>
        <v>3985</v>
      </c>
      <c r="E70">
        <f>Reference_Data!N66-Dark!N66</f>
        <v>220</v>
      </c>
      <c r="F70">
        <f>Sample_Data!L66-Dark!L66</f>
        <v>3830</v>
      </c>
      <c r="G70">
        <f>Sample_Data!M66-Dark!M66</f>
        <v>3968</v>
      </c>
      <c r="H70">
        <f>Sample_Data!N66-Dark!N66</f>
        <v>187</v>
      </c>
      <c r="I70">
        <f t="shared" ref="I70:I133" si="9">$I$3*(A70/320)+$I$2</f>
        <v>1003.6625</v>
      </c>
      <c r="J70" s="3">
        <f t="shared" si="2"/>
        <v>1</v>
      </c>
      <c r="K70" s="3">
        <f t="shared" si="3"/>
        <v>0.99573400250941024</v>
      </c>
      <c r="L70" s="3">
        <f t="shared" si="4"/>
        <v>0.85</v>
      </c>
      <c r="O70">
        <f>Reference_Data!O66-Dark!O66</f>
        <v>3621</v>
      </c>
      <c r="P70">
        <f>Reference_Data!P66-Dark!P66</f>
        <v>3995</v>
      </c>
      <c r="Q70">
        <f>Reference_Data!Q66-Dark!Q66</f>
        <v>556</v>
      </c>
      <c r="R70">
        <f>Sample_Data!O66-Dark!O66</f>
        <v>3622</v>
      </c>
      <c r="S70">
        <f>Sample_Data!P66-Dark!P66</f>
        <v>3995</v>
      </c>
      <c r="T70">
        <f>Sample_Data!Q66-Dark!Q66</f>
        <v>449</v>
      </c>
      <c r="U70">
        <f t="shared" ref="U70:U133" si="10">$U$3*(A70/320)+$U$2</f>
        <v>1801.34375</v>
      </c>
      <c r="V70">
        <f t="shared" si="5"/>
        <v>1.0002761668047502</v>
      </c>
      <c r="W70">
        <f t="shared" si="6"/>
        <v>1</v>
      </c>
      <c r="X70">
        <f t="shared" si="7"/>
        <v>0.80755395683453235</v>
      </c>
    </row>
    <row r="71" spans="1:24" x14ac:dyDescent="0.35">
      <c r="A71">
        <f t="shared" si="8"/>
        <v>2050</v>
      </c>
      <c r="C71">
        <f>Reference_Data!L67-Dark!L67</f>
        <v>3840</v>
      </c>
      <c r="D71">
        <f>Reference_Data!M67-Dark!M67</f>
        <v>3986</v>
      </c>
      <c r="E71">
        <f>Reference_Data!N67-Dark!N67</f>
        <v>225</v>
      </c>
      <c r="F71">
        <f>Sample_Data!L67-Dark!L67</f>
        <v>3841</v>
      </c>
      <c r="G71">
        <f>Sample_Data!M67-Dark!M67</f>
        <v>3970</v>
      </c>
      <c r="H71">
        <f>Sample_Data!N67-Dark!N67</f>
        <v>192</v>
      </c>
      <c r="I71">
        <f t="shared" si="9"/>
        <v>1007.28125</v>
      </c>
      <c r="J71" s="3">
        <f t="shared" ref="J71:J134" si="11">F71/C71</f>
        <v>1.0002604166666667</v>
      </c>
      <c r="K71" s="3">
        <f t="shared" ref="K71:K134" si="12">G71/D71</f>
        <v>0.99598595082789765</v>
      </c>
      <c r="L71" s="3">
        <f t="shared" ref="L71:L134" si="13">H71/E71</f>
        <v>0.85333333333333339</v>
      </c>
      <c r="O71">
        <f>Reference_Data!O67-Dark!O67</f>
        <v>3614</v>
      </c>
      <c r="P71">
        <f>Reference_Data!P67-Dark!P67</f>
        <v>3995</v>
      </c>
      <c r="Q71">
        <f>Reference_Data!Q67-Dark!Q67</f>
        <v>561</v>
      </c>
      <c r="R71">
        <f>Sample_Data!O67-Dark!O67</f>
        <v>3615</v>
      </c>
      <c r="S71">
        <f>Sample_Data!P67-Dark!P67</f>
        <v>3995</v>
      </c>
      <c r="T71">
        <f>Sample_Data!Q67-Dark!Q67</f>
        <v>451</v>
      </c>
      <c r="U71">
        <f t="shared" si="10"/>
        <v>1808.046875</v>
      </c>
      <c r="V71">
        <f t="shared" ref="V71:V134" si="14">R71/O71</f>
        <v>1.0002767017155507</v>
      </c>
      <c r="W71">
        <f t="shared" ref="W71:W134" si="15">S71/P71</f>
        <v>1</v>
      </c>
      <c r="X71">
        <f t="shared" ref="X71:X134" si="16">T71/Q71</f>
        <v>0.80392156862745101</v>
      </c>
    </row>
    <row r="72" spans="1:24" x14ac:dyDescent="0.35">
      <c r="A72">
        <f t="shared" si="8"/>
        <v>2080</v>
      </c>
      <c r="C72">
        <f>Reference_Data!L68-Dark!L68</f>
        <v>3835</v>
      </c>
      <c r="D72">
        <f>Reference_Data!M68-Dark!M68</f>
        <v>3988</v>
      </c>
      <c r="E72">
        <f>Reference_Data!N68-Dark!N68</f>
        <v>230</v>
      </c>
      <c r="F72">
        <f>Sample_Data!L68-Dark!L68</f>
        <v>3835</v>
      </c>
      <c r="G72">
        <f>Sample_Data!M68-Dark!M68</f>
        <v>3971</v>
      </c>
      <c r="H72">
        <f>Sample_Data!N68-Dark!N68</f>
        <v>194</v>
      </c>
      <c r="I72">
        <f t="shared" si="9"/>
        <v>1010.9</v>
      </c>
      <c r="J72" s="3">
        <f t="shared" si="11"/>
        <v>1</v>
      </c>
      <c r="K72" s="3">
        <f t="shared" si="12"/>
        <v>0.9957372116349047</v>
      </c>
      <c r="L72" s="3">
        <f t="shared" si="13"/>
        <v>0.84347826086956523</v>
      </c>
      <c r="O72">
        <f>Reference_Data!O68-Dark!O68</f>
        <v>3602</v>
      </c>
      <c r="P72">
        <f>Reference_Data!P68-Dark!P68</f>
        <v>3995</v>
      </c>
      <c r="Q72">
        <f>Reference_Data!Q68-Dark!Q68</f>
        <v>564</v>
      </c>
      <c r="R72">
        <f>Sample_Data!O68-Dark!O68</f>
        <v>3601</v>
      </c>
      <c r="S72">
        <f>Sample_Data!P68-Dark!P68</f>
        <v>3995</v>
      </c>
      <c r="T72">
        <f>Sample_Data!Q68-Dark!Q68</f>
        <v>453</v>
      </c>
      <c r="U72">
        <f t="shared" si="10"/>
        <v>1814.75</v>
      </c>
      <c r="V72">
        <f t="shared" si="14"/>
        <v>0.9997223764575236</v>
      </c>
      <c r="W72">
        <f t="shared" si="15"/>
        <v>1</v>
      </c>
      <c r="X72">
        <f t="shared" si="16"/>
        <v>0.80319148936170215</v>
      </c>
    </row>
    <row r="73" spans="1:24" x14ac:dyDescent="0.35">
      <c r="A73">
        <f t="shared" ref="A73:A136" si="17">A72+30</f>
        <v>2110</v>
      </c>
      <c r="C73">
        <f>Reference_Data!L69-Dark!L69</f>
        <v>3829</v>
      </c>
      <c r="D73">
        <f>Reference_Data!M69-Dark!M69</f>
        <v>3989</v>
      </c>
      <c r="E73">
        <f>Reference_Data!N69-Dark!N69</f>
        <v>232</v>
      </c>
      <c r="F73">
        <f>Sample_Data!L69-Dark!L69</f>
        <v>3828</v>
      </c>
      <c r="G73">
        <f>Sample_Data!M69-Dark!M69</f>
        <v>3974</v>
      </c>
      <c r="H73">
        <f>Sample_Data!N69-Dark!N69</f>
        <v>197</v>
      </c>
      <c r="I73">
        <f t="shared" si="9"/>
        <v>1014.51875</v>
      </c>
      <c r="J73" s="3">
        <f t="shared" si="11"/>
        <v>0.99973883520501439</v>
      </c>
      <c r="K73" s="3">
        <f t="shared" si="12"/>
        <v>0.99623965906242162</v>
      </c>
      <c r="L73" s="3">
        <f t="shared" si="13"/>
        <v>0.84913793103448276</v>
      </c>
      <c r="O73">
        <f>Reference_Data!O69-Dark!O69</f>
        <v>3593</v>
      </c>
      <c r="P73">
        <f>Reference_Data!P69-Dark!P69</f>
        <v>3994</v>
      </c>
      <c r="Q73">
        <f>Reference_Data!Q69-Dark!Q69</f>
        <v>567</v>
      </c>
      <c r="R73">
        <f>Sample_Data!O69-Dark!O69</f>
        <v>3593</v>
      </c>
      <c r="S73">
        <f>Sample_Data!P69-Dark!P69</f>
        <v>3994</v>
      </c>
      <c r="T73">
        <f>Sample_Data!Q69-Dark!Q69</f>
        <v>452</v>
      </c>
      <c r="U73">
        <f t="shared" si="10"/>
        <v>1821.453125</v>
      </c>
      <c r="V73">
        <f t="shared" si="14"/>
        <v>1</v>
      </c>
      <c r="W73">
        <f t="shared" si="15"/>
        <v>1</v>
      </c>
      <c r="X73">
        <f t="shared" si="16"/>
        <v>0.7971781305114638</v>
      </c>
    </row>
    <row r="74" spans="1:24" x14ac:dyDescent="0.35">
      <c r="A74">
        <f t="shared" si="17"/>
        <v>2140</v>
      </c>
      <c r="C74">
        <f>Reference_Data!L70-Dark!L70</f>
        <v>3829</v>
      </c>
      <c r="D74">
        <f>Reference_Data!M70-Dark!M70</f>
        <v>3990</v>
      </c>
      <c r="E74">
        <f>Reference_Data!N70-Dark!N70</f>
        <v>235</v>
      </c>
      <c r="F74">
        <f>Sample_Data!L70-Dark!L70</f>
        <v>3829</v>
      </c>
      <c r="G74">
        <f>Sample_Data!M70-Dark!M70</f>
        <v>3977</v>
      </c>
      <c r="H74">
        <f>Sample_Data!N70-Dark!N70</f>
        <v>199</v>
      </c>
      <c r="I74">
        <f t="shared" si="9"/>
        <v>1018.1375</v>
      </c>
      <c r="J74" s="3">
        <f t="shared" si="11"/>
        <v>1</v>
      </c>
      <c r="K74" s="3">
        <f t="shared" si="12"/>
        <v>0.99674185463659148</v>
      </c>
      <c r="L74" s="3">
        <f t="shared" si="13"/>
        <v>0.84680851063829787</v>
      </c>
      <c r="O74">
        <f>Reference_Data!O70-Dark!O70</f>
        <v>3577</v>
      </c>
      <c r="P74">
        <f>Reference_Data!P70-Dark!P70</f>
        <v>3995</v>
      </c>
      <c r="Q74">
        <f>Reference_Data!Q70-Dark!Q70</f>
        <v>564</v>
      </c>
      <c r="R74">
        <f>Sample_Data!O70-Dark!O70</f>
        <v>3578</v>
      </c>
      <c r="S74">
        <f>Sample_Data!P70-Dark!P70</f>
        <v>3995</v>
      </c>
      <c r="T74">
        <f>Sample_Data!Q70-Dark!Q70</f>
        <v>448</v>
      </c>
      <c r="U74">
        <f t="shared" si="10"/>
        <v>1828.15625</v>
      </c>
      <c r="V74">
        <f t="shared" si="14"/>
        <v>1.0002795638803466</v>
      </c>
      <c r="W74">
        <f t="shared" si="15"/>
        <v>1</v>
      </c>
      <c r="X74">
        <f t="shared" si="16"/>
        <v>0.79432624113475181</v>
      </c>
    </row>
    <row r="75" spans="1:24" x14ac:dyDescent="0.35">
      <c r="A75">
        <f t="shared" si="17"/>
        <v>2170</v>
      </c>
      <c r="C75">
        <f>Reference_Data!L71-Dark!L71</f>
        <v>3839</v>
      </c>
      <c r="D75">
        <f>Reference_Data!M71-Dark!M71</f>
        <v>3992</v>
      </c>
      <c r="E75">
        <f>Reference_Data!N71-Dark!N71</f>
        <v>239</v>
      </c>
      <c r="F75">
        <f>Sample_Data!L71-Dark!L71</f>
        <v>3838</v>
      </c>
      <c r="G75">
        <f>Sample_Data!M71-Dark!M71</f>
        <v>3976</v>
      </c>
      <c r="H75">
        <f>Sample_Data!N71-Dark!N71</f>
        <v>202</v>
      </c>
      <c r="I75">
        <f t="shared" si="9"/>
        <v>1021.75625</v>
      </c>
      <c r="J75" s="3">
        <f t="shared" si="11"/>
        <v>0.99973951549882778</v>
      </c>
      <c r="K75" s="3">
        <f t="shared" si="12"/>
        <v>0.99599198396793587</v>
      </c>
      <c r="L75" s="3">
        <f t="shared" si="13"/>
        <v>0.84518828451882844</v>
      </c>
      <c r="O75">
        <f>Reference_Data!O71-Dark!O71</f>
        <v>3570</v>
      </c>
      <c r="P75">
        <f>Reference_Data!P71-Dark!P71</f>
        <v>3993</v>
      </c>
      <c r="Q75">
        <f>Reference_Data!Q71-Dark!Q71</f>
        <v>562</v>
      </c>
      <c r="R75">
        <f>Sample_Data!O71-Dark!O71</f>
        <v>3570</v>
      </c>
      <c r="S75">
        <f>Sample_Data!P71-Dark!P71</f>
        <v>3993</v>
      </c>
      <c r="T75">
        <f>Sample_Data!Q71-Dark!Q71</f>
        <v>445</v>
      </c>
      <c r="U75">
        <f t="shared" si="10"/>
        <v>1834.859375</v>
      </c>
      <c r="V75">
        <f t="shared" si="14"/>
        <v>1</v>
      </c>
      <c r="W75">
        <f t="shared" si="15"/>
        <v>1</v>
      </c>
      <c r="X75">
        <f t="shared" si="16"/>
        <v>0.79181494661921703</v>
      </c>
    </row>
    <row r="76" spans="1:24" x14ac:dyDescent="0.35">
      <c r="A76">
        <f t="shared" si="17"/>
        <v>2200</v>
      </c>
      <c r="C76">
        <f>Reference_Data!L72-Dark!L72</f>
        <v>3833</v>
      </c>
      <c r="D76">
        <f>Reference_Data!M72-Dark!M72</f>
        <v>3993</v>
      </c>
      <c r="E76">
        <f>Reference_Data!N72-Dark!N72</f>
        <v>241</v>
      </c>
      <c r="F76">
        <f>Sample_Data!L72-Dark!L72</f>
        <v>3833</v>
      </c>
      <c r="G76">
        <f>Sample_Data!M72-Dark!M72</f>
        <v>3977</v>
      </c>
      <c r="H76">
        <f>Sample_Data!N72-Dark!N72</f>
        <v>205</v>
      </c>
      <c r="I76">
        <f t="shared" si="9"/>
        <v>1025.375</v>
      </c>
      <c r="J76" s="3">
        <f t="shared" si="11"/>
        <v>1</v>
      </c>
      <c r="K76" s="3">
        <f t="shared" si="12"/>
        <v>0.99599298772852496</v>
      </c>
      <c r="L76" s="3">
        <f t="shared" si="13"/>
        <v>0.85062240663900412</v>
      </c>
      <c r="O76">
        <f>Reference_Data!O72-Dark!O72</f>
        <v>3558</v>
      </c>
      <c r="P76">
        <f>Reference_Data!P72-Dark!P72</f>
        <v>3992</v>
      </c>
      <c r="Q76">
        <f>Reference_Data!Q72-Dark!Q72</f>
        <v>552</v>
      </c>
      <c r="R76">
        <f>Sample_Data!O72-Dark!O72</f>
        <v>3557</v>
      </c>
      <c r="S76">
        <f>Sample_Data!P72-Dark!P72</f>
        <v>3992</v>
      </c>
      <c r="T76">
        <f>Sample_Data!Q72-Dark!Q72</f>
        <v>438</v>
      </c>
      <c r="U76">
        <f t="shared" si="10"/>
        <v>1841.5625</v>
      </c>
      <c r="V76">
        <f t="shared" si="14"/>
        <v>0.99971894322653176</v>
      </c>
      <c r="W76">
        <f t="shared" si="15"/>
        <v>1</v>
      </c>
      <c r="X76">
        <f t="shared" si="16"/>
        <v>0.79347826086956519</v>
      </c>
    </row>
    <row r="77" spans="1:24" x14ac:dyDescent="0.35">
      <c r="A77">
        <f t="shared" si="17"/>
        <v>2230</v>
      </c>
      <c r="C77">
        <f>Reference_Data!L73-Dark!L73</f>
        <v>3832</v>
      </c>
      <c r="D77">
        <f>Reference_Data!M73-Dark!M73</f>
        <v>3993</v>
      </c>
      <c r="E77">
        <f>Reference_Data!N73-Dark!N73</f>
        <v>245</v>
      </c>
      <c r="F77">
        <f>Sample_Data!L73-Dark!L73</f>
        <v>3831</v>
      </c>
      <c r="G77">
        <f>Sample_Data!M73-Dark!M73</f>
        <v>3978</v>
      </c>
      <c r="H77">
        <f>Sample_Data!N73-Dark!N73</f>
        <v>207</v>
      </c>
      <c r="I77">
        <f t="shared" si="9"/>
        <v>1028.9937500000001</v>
      </c>
      <c r="J77" s="3">
        <f t="shared" si="11"/>
        <v>0.99973903966597077</v>
      </c>
      <c r="K77" s="3">
        <f t="shared" si="12"/>
        <v>0.99624342599549209</v>
      </c>
      <c r="L77" s="3">
        <f t="shared" si="13"/>
        <v>0.8448979591836735</v>
      </c>
      <c r="O77">
        <f>Reference_Data!O73-Dark!O73</f>
        <v>3545</v>
      </c>
      <c r="P77">
        <f>Reference_Data!P73-Dark!P73</f>
        <v>3992</v>
      </c>
      <c r="Q77">
        <f>Reference_Data!Q73-Dark!Q73</f>
        <v>548</v>
      </c>
      <c r="R77">
        <f>Sample_Data!O73-Dark!O73</f>
        <v>3544</v>
      </c>
      <c r="S77">
        <f>Sample_Data!P73-Dark!P73</f>
        <v>3993</v>
      </c>
      <c r="T77">
        <f>Sample_Data!Q73-Dark!Q73</f>
        <v>432</v>
      </c>
      <c r="U77">
        <f t="shared" si="10"/>
        <v>1848.265625</v>
      </c>
      <c r="V77">
        <f t="shared" si="14"/>
        <v>0.99971791255289144</v>
      </c>
      <c r="W77">
        <f t="shared" si="15"/>
        <v>1.000250501002004</v>
      </c>
      <c r="X77">
        <f t="shared" si="16"/>
        <v>0.78832116788321172</v>
      </c>
    </row>
    <row r="78" spans="1:24" x14ac:dyDescent="0.35">
      <c r="A78">
        <f t="shared" si="17"/>
        <v>2260</v>
      </c>
      <c r="C78">
        <f>Reference_Data!L74-Dark!L74</f>
        <v>3836</v>
      </c>
      <c r="D78">
        <f>Reference_Data!M74-Dark!M74</f>
        <v>3994</v>
      </c>
      <c r="E78">
        <f>Reference_Data!N74-Dark!N74</f>
        <v>247</v>
      </c>
      <c r="F78">
        <f>Sample_Data!L74-Dark!L74</f>
        <v>3836</v>
      </c>
      <c r="G78">
        <f>Sample_Data!M74-Dark!M74</f>
        <v>3980</v>
      </c>
      <c r="H78">
        <f>Sample_Data!N74-Dark!N74</f>
        <v>209</v>
      </c>
      <c r="I78">
        <f t="shared" si="9"/>
        <v>1032.6125</v>
      </c>
      <c r="J78" s="3">
        <f t="shared" si="11"/>
        <v>1</v>
      </c>
      <c r="K78" s="3">
        <f t="shared" si="12"/>
        <v>0.9964947421131698</v>
      </c>
      <c r="L78" s="3">
        <f t="shared" si="13"/>
        <v>0.84615384615384615</v>
      </c>
      <c r="O78">
        <f>Reference_Data!O74-Dark!O74</f>
        <v>3527</v>
      </c>
      <c r="P78">
        <f>Reference_Data!P74-Dark!P74</f>
        <v>3992</v>
      </c>
      <c r="Q78">
        <f>Reference_Data!Q74-Dark!Q74</f>
        <v>539</v>
      </c>
      <c r="R78">
        <f>Sample_Data!O74-Dark!O74</f>
        <v>3527</v>
      </c>
      <c r="S78">
        <f>Sample_Data!P74-Dark!P74</f>
        <v>3992</v>
      </c>
      <c r="T78">
        <f>Sample_Data!Q74-Dark!Q74</f>
        <v>426</v>
      </c>
      <c r="U78">
        <f t="shared" si="10"/>
        <v>1854.96875</v>
      </c>
      <c r="V78">
        <f t="shared" si="14"/>
        <v>1</v>
      </c>
      <c r="W78">
        <f t="shared" si="15"/>
        <v>1</v>
      </c>
      <c r="X78">
        <f t="shared" si="16"/>
        <v>0.79035250463821893</v>
      </c>
    </row>
    <row r="79" spans="1:24" x14ac:dyDescent="0.35">
      <c r="A79">
        <f t="shared" si="17"/>
        <v>2290</v>
      </c>
      <c r="C79">
        <f>Reference_Data!L75-Dark!L75</f>
        <v>3825</v>
      </c>
      <c r="D79">
        <f>Reference_Data!M75-Dark!M75</f>
        <v>3996</v>
      </c>
      <c r="E79">
        <f>Reference_Data!N75-Dark!N75</f>
        <v>252</v>
      </c>
      <c r="F79">
        <f>Sample_Data!L75-Dark!L75</f>
        <v>3827</v>
      </c>
      <c r="G79">
        <f>Sample_Data!M75-Dark!M75</f>
        <v>3982</v>
      </c>
      <c r="H79">
        <f>Sample_Data!N75-Dark!N75</f>
        <v>214</v>
      </c>
      <c r="I79">
        <f t="shared" si="9"/>
        <v>1036.23125</v>
      </c>
      <c r="J79" s="3">
        <f t="shared" si="11"/>
        <v>1.0005228758169935</v>
      </c>
      <c r="K79" s="3">
        <f t="shared" si="12"/>
        <v>0.99649649649649652</v>
      </c>
      <c r="L79" s="3">
        <f t="shared" si="13"/>
        <v>0.84920634920634919</v>
      </c>
      <c r="O79">
        <f>Reference_Data!O75-Dark!O75</f>
        <v>3510</v>
      </c>
      <c r="P79">
        <f>Reference_Data!P75-Dark!P75</f>
        <v>3992</v>
      </c>
      <c r="Q79">
        <f>Reference_Data!Q75-Dark!Q75</f>
        <v>538</v>
      </c>
      <c r="R79">
        <f>Sample_Data!O75-Dark!O75</f>
        <v>3510</v>
      </c>
      <c r="S79">
        <f>Sample_Data!P75-Dark!P75</f>
        <v>3992</v>
      </c>
      <c r="T79">
        <f>Sample_Data!Q75-Dark!Q75</f>
        <v>427</v>
      </c>
      <c r="U79">
        <f t="shared" si="10"/>
        <v>1861.671875</v>
      </c>
      <c r="V79">
        <f t="shared" si="14"/>
        <v>1</v>
      </c>
      <c r="W79">
        <f t="shared" si="15"/>
        <v>1</v>
      </c>
      <c r="X79">
        <f t="shared" si="16"/>
        <v>0.79368029739776946</v>
      </c>
    </row>
    <row r="80" spans="1:24" x14ac:dyDescent="0.35">
      <c r="A80">
        <f t="shared" si="17"/>
        <v>2320</v>
      </c>
      <c r="C80">
        <f>Reference_Data!L76-Dark!L76</f>
        <v>3829</v>
      </c>
      <c r="D80">
        <f>Reference_Data!M76-Dark!M76</f>
        <v>3997</v>
      </c>
      <c r="E80">
        <f>Reference_Data!N76-Dark!N76</f>
        <v>256</v>
      </c>
      <c r="F80">
        <f>Sample_Data!L76-Dark!L76</f>
        <v>3831</v>
      </c>
      <c r="G80">
        <f>Sample_Data!M76-Dark!M76</f>
        <v>3984</v>
      </c>
      <c r="H80">
        <f>Sample_Data!N76-Dark!N76</f>
        <v>218</v>
      </c>
      <c r="I80">
        <f t="shared" si="9"/>
        <v>1039.8499999999999</v>
      </c>
      <c r="J80" s="3">
        <f t="shared" si="11"/>
        <v>1.0005223295899712</v>
      </c>
      <c r="K80" s="3">
        <f t="shared" si="12"/>
        <v>0.99674756067050285</v>
      </c>
      <c r="L80" s="3">
        <f t="shared" si="13"/>
        <v>0.8515625</v>
      </c>
      <c r="O80">
        <f>Reference_Data!O76-Dark!O76</f>
        <v>3497</v>
      </c>
      <c r="P80">
        <f>Reference_Data!P76-Dark!P76</f>
        <v>3991</v>
      </c>
      <c r="Q80">
        <f>Reference_Data!Q76-Dark!Q76</f>
        <v>536</v>
      </c>
      <c r="R80">
        <f>Sample_Data!O76-Dark!O76</f>
        <v>3497</v>
      </c>
      <c r="S80">
        <f>Sample_Data!P76-Dark!P76</f>
        <v>3992</v>
      </c>
      <c r="T80">
        <f>Sample_Data!Q76-Dark!Q76</f>
        <v>425</v>
      </c>
      <c r="U80">
        <f t="shared" si="10"/>
        <v>1868.375</v>
      </c>
      <c r="V80">
        <f t="shared" si="14"/>
        <v>1</v>
      </c>
      <c r="W80">
        <f t="shared" si="15"/>
        <v>1.0002505637684791</v>
      </c>
      <c r="X80">
        <f t="shared" si="16"/>
        <v>0.79291044776119401</v>
      </c>
    </row>
    <row r="81" spans="1:24" x14ac:dyDescent="0.35">
      <c r="A81">
        <f t="shared" si="17"/>
        <v>2350</v>
      </c>
      <c r="C81">
        <f>Reference_Data!L77-Dark!L77</f>
        <v>3826</v>
      </c>
      <c r="D81">
        <f>Reference_Data!M77-Dark!M77</f>
        <v>3999</v>
      </c>
      <c r="E81">
        <f>Reference_Data!N77-Dark!N77</f>
        <v>265</v>
      </c>
      <c r="F81">
        <f>Sample_Data!L77-Dark!L77</f>
        <v>3827</v>
      </c>
      <c r="G81">
        <f>Sample_Data!M77-Dark!M77</f>
        <v>3986</v>
      </c>
      <c r="H81">
        <f>Sample_Data!N77-Dark!N77</f>
        <v>227</v>
      </c>
      <c r="I81">
        <f t="shared" si="9"/>
        <v>1043.46875</v>
      </c>
      <c r="J81" s="3">
        <f t="shared" si="11"/>
        <v>1.0002613695765812</v>
      </c>
      <c r="K81" s="3">
        <f t="shared" si="12"/>
        <v>0.99674918729682416</v>
      </c>
      <c r="L81" s="3">
        <f t="shared" si="13"/>
        <v>0.85660377358490569</v>
      </c>
      <c r="O81">
        <f>Reference_Data!O77-Dark!O77</f>
        <v>3478</v>
      </c>
      <c r="P81">
        <f>Reference_Data!P77-Dark!P77</f>
        <v>3992</v>
      </c>
      <c r="Q81">
        <f>Reference_Data!Q77-Dark!Q77</f>
        <v>535</v>
      </c>
      <c r="R81">
        <f>Sample_Data!O77-Dark!O77</f>
        <v>3478</v>
      </c>
      <c r="S81">
        <f>Sample_Data!P77-Dark!P77</f>
        <v>3992</v>
      </c>
      <c r="T81">
        <f>Sample_Data!Q77-Dark!Q77</f>
        <v>423</v>
      </c>
      <c r="U81">
        <f t="shared" si="10"/>
        <v>1875.078125</v>
      </c>
      <c r="V81">
        <f t="shared" si="14"/>
        <v>1</v>
      </c>
      <c r="W81">
        <f t="shared" si="15"/>
        <v>1</v>
      </c>
      <c r="X81">
        <f t="shared" si="16"/>
        <v>0.79065420560747668</v>
      </c>
    </row>
    <row r="82" spans="1:24" x14ac:dyDescent="0.35">
      <c r="A82">
        <f t="shared" si="17"/>
        <v>2380</v>
      </c>
      <c r="C82">
        <f>Reference_Data!L78-Dark!L78</f>
        <v>3837</v>
      </c>
      <c r="D82">
        <f>Reference_Data!M78-Dark!M78</f>
        <v>4001</v>
      </c>
      <c r="E82">
        <f>Reference_Data!N78-Dark!N78</f>
        <v>271</v>
      </c>
      <c r="F82">
        <f>Sample_Data!L78-Dark!L78</f>
        <v>3838</v>
      </c>
      <c r="G82">
        <f>Sample_Data!M78-Dark!M78</f>
        <v>3989</v>
      </c>
      <c r="H82">
        <f>Sample_Data!N78-Dark!N78</f>
        <v>231</v>
      </c>
      <c r="I82">
        <f t="shared" si="9"/>
        <v>1047.0875000000001</v>
      </c>
      <c r="J82" s="3">
        <f t="shared" si="11"/>
        <v>1.0002606202762574</v>
      </c>
      <c r="K82" s="3">
        <f t="shared" si="12"/>
        <v>0.99700074981254683</v>
      </c>
      <c r="L82" s="3">
        <f t="shared" si="13"/>
        <v>0.85239852398523985</v>
      </c>
      <c r="O82">
        <f>Reference_Data!O78-Dark!O78</f>
        <v>3456</v>
      </c>
      <c r="P82">
        <f>Reference_Data!P78-Dark!P78</f>
        <v>3990</v>
      </c>
      <c r="Q82">
        <f>Reference_Data!Q78-Dark!Q78</f>
        <v>532</v>
      </c>
      <c r="R82">
        <f>Sample_Data!O78-Dark!O78</f>
        <v>3456</v>
      </c>
      <c r="S82">
        <f>Sample_Data!P78-Dark!P78</f>
        <v>3990</v>
      </c>
      <c r="T82">
        <f>Sample_Data!Q78-Dark!Q78</f>
        <v>417</v>
      </c>
      <c r="U82">
        <f t="shared" si="10"/>
        <v>1881.78125</v>
      </c>
      <c r="V82">
        <f t="shared" si="14"/>
        <v>1</v>
      </c>
      <c r="W82">
        <f t="shared" si="15"/>
        <v>1</v>
      </c>
      <c r="X82">
        <f t="shared" si="16"/>
        <v>0.78383458646616544</v>
      </c>
    </row>
    <row r="83" spans="1:24" x14ac:dyDescent="0.35">
      <c r="A83">
        <f t="shared" si="17"/>
        <v>2410</v>
      </c>
      <c r="C83">
        <f>Reference_Data!L79-Dark!L79</f>
        <v>3827</v>
      </c>
      <c r="D83">
        <f>Reference_Data!M79-Dark!M79</f>
        <v>4002</v>
      </c>
      <c r="E83">
        <f>Reference_Data!N79-Dark!N79</f>
        <v>276</v>
      </c>
      <c r="F83">
        <f>Sample_Data!L79-Dark!L79</f>
        <v>3827</v>
      </c>
      <c r="G83">
        <f>Sample_Data!M79-Dark!M79</f>
        <v>3990</v>
      </c>
      <c r="H83">
        <f>Sample_Data!N79-Dark!N79</f>
        <v>235</v>
      </c>
      <c r="I83">
        <f t="shared" si="9"/>
        <v>1050.70625</v>
      </c>
      <c r="J83" s="3">
        <f t="shared" si="11"/>
        <v>1</v>
      </c>
      <c r="K83" s="3">
        <f t="shared" si="12"/>
        <v>0.99700149925037485</v>
      </c>
      <c r="L83" s="3">
        <f t="shared" si="13"/>
        <v>0.85144927536231885</v>
      </c>
      <c r="O83">
        <f>Reference_Data!O79-Dark!O79</f>
        <v>3442</v>
      </c>
      <c r="P83">
        <f>Reference_Data!P79-Dark!P79</f>
        <v>3989</v>
      </c>
      <c r="Q83">
        <f>Reference_Data!Q79-Dark!Q79</f>
        <v>532</v>
      </c>
      <c r="R83">
        <f>Sample_Data!O79-Dark!O79</f>
        <v>3442</v>
      </c>
      <c r="S83">
        <f>Sample_Data!P79-Dark!P79</f>
        <v>3989</v>
      </c>
      <c r="T83">
        <f>Sample_Data!Q79-Dark!Q79</f>
        <v>413</v>
      </c>
      <c r="U83">
        <f t="shared" si="10"/>
        <v>1888.484375</v>
      </c>
      <c r="V83">
        <f t="shared" si="14"/>
        <v>1</v>
      </c>
      <c r="W83">
        <f t="shared" si="15"/>
        <v>1</v>
      </c>
      <c r="X83">
        <f t="shared" si="16"/>
        <v>0.77631578947368418</v>
      </c>
    </row>
    <row r="84" spans="1:24" x14ac:dyDescent="0.35">
      <c r="A84">
        <f t="shared" si="17"/>
        <v>2440</v>
      </c>
      <c r="C84">
        <f>Reference_Data!L80-Dark!L80</f>
        <v>3828</v>
      </c>
      <c r="D84">
        <f>Reference_Data!M80-Dark!M80</f>
        <v>4002</v>
      </c>
      <c r="E84">
        <f>Reference_Data!N80-Dark!N80</f>
        <v>276</v>
      </c>
      <c r="F84">
        <f>Sample_Data!L80-Dark!L80</f>
        <v>3829</v>
      </c>
      <c r="G84">
        <f>Sample_Data!M80-Dark!M80</f>
        <v>3990</v>
      </c>
      <c r="H84">
        <f>Sample_Data!N80-Dark!N80</f>
        <v>235</v>
      </c>
      <c r="I84">
        <f t="shared" si="9"/>
        <v>1054.325</v>
      </c>
      <c r="J84" s="3">
        <f t="shared" si="11"/>
        <v>1.0002612330198537</v>
      </c>
      <c r="K84" s="3">
        <f t="shared" si="12"/>
        <v>0.99700149925037485</v>
      </c>
      <c r="L84" s="3">
        <f t="shared" si="13"/>
        <v>0.85144927536231885</v>
      </c>
      <c r="O84">
        <f>Reference_Data!O80-Dark!O80</f>
        <v>3421</v>
      </c>
      <c r="P84">
        <f>Reference_Data!P80-Dark!P80</f>
        <v>3989</v>
      </c>
      <c r="Q84">
        <f>Reference_Data!Q80-Dark!Q80</f>
        <v>541</v>
      </c>
      <c r="R84">
        <f>Sample_Data!O80-Dark!O80</f>
        <v>3420</v>
      </c>
      <c r="S84">
        <f>Sample_Data!P80-Dark!P80</f>
        <v>3989</v>
      </c>
      <c r="T84">
        <f>Sample_Data!Q80-Dark!Q80</f>
        <v>413</v>
      </c>
      <c r="U84">
        <f t="shared" si="10"/>
        <v>1895.1875</v>
      </c>
      <c r="V84">
        <f t="shared" si="14"/>
        <v>0.99970768781058172</v>
      </c>
      <c r="W84">
        <f t="shared" si="15"/>
        <v>1</v>
      </c>
      <c r="X84">
        <f t="shared" si="16"/>
        <v>0.7634011090573013</v>
      </c>
    </row>
    <row r="85" spans="1:24" x14ac:dyDescent="0.35">
      <c r="A85">
        <f t="shared" si="17"/>
        <v>2470</v>
      </c>
      <c r="C85">
        <f>Reference_Data!L81-Dark!L81</f>
        <v>3830</v>
      </c>
      <c r="D85">
        <f>Reference_Data!M81-Dark!M81</f>
        <v>4003</v>
      </c>
      <c r="E85">
        <f>Reference_Data!N81-Dark!N81</f>
        <v>277</v>
      </c>
      <c r="F85">
        <f>Sample_Data!L81-Dark!L81</f>
        <v>3831</v>
      </c>
      <c r="G85">
        <f>Sample_Data!M81-Dark!M81</f>
        <v>3990</v>
      </c>
      <c r="H85">
        <f>Sample_Data!N81-Dark!N81</f>
        <v>235</v>
      </c>
      <c r="I85">
        <f t="shared" si="9"/>
        <v>1057.9437499999999</v>
      </c>
      <c r="J85" s="3">
        <f t="shared" si="11"/>
        <v>1.0002610966057441</v>
      </c>
      <c r="K85" s="3">
        <f t="shared" si="12"/>
        <v>0.99675243567324512</v>
      </c>
      <c r="L85" s="3">
        <f t="shared" si="13"/>
        <v>0.84837545126353786</v>
      </c>
      <c r="O85">
        <f>Reference_Data!O81-Dark!O81</f>
        <v>3403</v>
      </c>
      <c r="P85">
        <f>Reference_Data!P81-Dark!P81</f>
        <v>3988</v>
      </c>
      <c r="Q85">
        <f>Reference_Data!Q81-Dark!Q81</f>
        <v>553</v>
      </c>
      <c r="R85">
        <f>Sample_Data!O81-Dark!O81</f>
        <v>3403</v>
      </c>
      <c r="S85">
        <f>Sample_Data!P81-Dark!P81</f>
        <v>3988</v>
      </c>
      <c r="T85">
        <f>Sample_Data!Q81-Dark!Q81</f>
        <v>412</v>
      </c>
      <c r="U85">
        <f t="shared" si="10"/>
        <v>1901.890625</v>
      </c>
      <c r="V85">
        <f t="shared" si="14"/>
        <v>1</v>
      </c>
      <c r="W85">
        <f t="shared" si="15"/>
        <v>1</v>
      </c>
      <c r="X85">
        <f t="shared" si="16"/>
        <v>0.74502712477396027</v>
      </c>
    </row>
    <row r="86" spans="1:24" x14ac:dyDescent="0.35">
      <c r="A86">
        <f t="shared" si="17"/>
        <v>2500</v>
      </c>
      <c r="C86">
        <f>Reference_Data!L82-Dark!L82</f>
        <v>3821</v>
      </c>
      <c r="D86">
        <f>Reference_Data!M82-Dark!M82</f>
        <v>4004</v>
      </c>
      <c r="E86">
        <f>Reference_Data!N82-Dark!N82</f>
        <v>281</v>
      </c>
      <c r="F86">
        <f>Sample_Data!L82-Dark!L82</f>
        <v>3821</v>
      </c>
      <c r="G86">
        <f>Sample_Data!M82-Dark!M82</f>
        <v>3992</v>
      </c>
      <c r="H86">
        <f>Sample_Data!N82-Dark!N82</f>
        <v>239</v>
      </c>
      <c r="I86">
        <f t="shared" si="9"/>
        <v>1061.5625</v>
      </c>
      <c r="J86" s="3">
        <f t="shared" si="11"/>
        <v>1</v>
      </c>
      <c r="K86" s="3">
        <f t="shared" si="12"/>
        <v>0.99700299700299699</v>
      </c>
      <c r="L86" s="3">
        <f t="shared" si="13"/>
        <v>0.85053380782918153</v>
      </c>
      <c r="O86">
        <f>Reference_Data!O82-Dark!O82</f>
        <v>3380</v>
      </c>
      <c r="P86">
        <f>Reference_Data!P82-Dark!P82</f>
        <v>3988</v>
      </c>
      <c r="Q86">
        <f>Reference_Data!Q82-Dark!Q82</f>
        <v>557</v>
      </c>
      <c r="R86">
        <f>Sample_Data!O82-Dark!O82</f>
        <v>3379</v>
      </c>
      <c r="S86">
        <f>Sample_Data!P82-Dark!P82</f>
        <v>3988</v>
      </c>
      <c r="T86">
        <f>Sample_Data!Q82-Dark!Q82</f>
        <v>404</v>
      </c>
      <c r="U86">
        <f t="shared" si="10"/>
        <v>1908.59375</v>
      </c>
      <c r="V86">
        <f t="shared" si="14"/>
        <v>0.99970414201183433</v>
      </c>
      <c r="W86">
        <f t="shared" si="15"/>
        <v>1</v>
      </c>
      <c r="X86">
        <f t="shared" si="16"/>
        <v>0.72531418312387796</v>
      </c>
    </row>
    <row r="87" spans="1:24" x14ac:dyDescent="0.35">
      <c r="A87">
        <f t="shared" si="17"/>
        <v>2530</v>
      </c>
      <c r="C87">
        <f>Reference_Data!L83-Dark!L83</f>
        <v>3835</v>
      </c>
      <c r="D87">
        <f>Reference_Data!M83-Dark!M83</f>
        <v>4005</v>
      </c>
      <c r="E87">
        <f>Reference_Data!N83-Dark!N83</f>
        <v>285</v>
      </c>
      <c r="F87">
        <f>Sample_Data!L83-Dark!L83</f>
        <v>3836</v>
      </c>
      <c r="G87">
        <f>Sample_Data!M83-Dark!M83</f>
        <v>3993</v>
      </c>
      <c r="H87">
        <f>Sample_Data!N83-Dark!N83</f>
        <v>242</v>
      </c>
      <c r="I87">
        <f t="shared" si="9"/>
        <v>1065.1812500000001</v>
      </c>
      <c r="J87" s="3">
        <f t="shared" si="11"/>
        <v>1.0002607561929595</v>
      </c>
      <c r="K87" s="3">
        <f t="shared" si="12"/>
        <v>0.99700374531835201</v>
      </c>
      <c r="L87" s="3">
        <f t="shared" si="13"/>
        <v>0.84912280701754383</v>
      </c>
      <c r="O87">
        <f>Reference_Data!O83-Dark!O83</f>
        <v>3363</v>
      </c>
      <c r="P87">
        <f>Reference_Data!P83-Dark!P83</f>
        <v>3986</v>
      </c>
      <c r="Q87">
        <f>Reference_Data!Q83-Dark!Q83</f>
        <v>555</v>
      </c>
      <c r="R87">
        <f>Sample_Data!O83-Dark!O83</f>
        <v>3363</v>
      </c>
      <c r="S87">
        <f>Sample_Data!P83-Dark!P83</f>
        <v>3986</v>
      </c>
      <c r="T87">
        <f>Sample_Data!Q83-Dark!Q83</f>
        <v>396</v>
      </c>
      <c r="U87">
        <f t="shared" si="10"/>
        <v>1915.296875</v>
      </c>
      <c r="V87">
        <f t="shared" si="14"/>
        <v>1</v>
      </c>
      <c r="W87">
        <f t="shared" si="15"/>
        <v>1</v>
      </c>
      <c r="X87">
        <f t="shared" si="16"/>
        <v>0.71351351351351355</v>
      </c>
    </row>
    <row r="88" spans="1:24" x14ac:dyDescent="0.35">
      <c r="A88">
        <f t="shared" si="17"/>
        <v>2560</v>
      </c>
      <c r="C88">
        <f>Reference_Data!L84-Dark!L84</f>
        <v>3830</v>
      </c>
      <c r="D88">
        <f>Reference_Data!M84-Dark!M84</f>
        <v>4006</v>
      </c>
      <c r="E88">
        <f>Reference_Data!N84-Dark!N84</f>
        <v>291</v>
      </c>
      <c r="F88">
        <f>Sample_Data!L84-Dark!L84</f>
        <v>3830</v>
      </c>
      <c r="G88">
        <f>Sample_Data!M84-Dark!M84</f>
        <v>3994</v>
      </c>
      <c r="H88">
        <f>Sample_Data!N84-Dark!N84</f>
        <v>247</v>
      </c>
      <c r="I88">
        <f t="shared" si="9"/>
        <v>1068.8</v>
      </c>
      <c r="J88" s="3">
        <f t="shared" si="11"/>
        <v>1</v>
      </c>
      <c r="K88" s="3">
        <f t="shared" si="12"/>
        <v>0.99700449326010987</v>
      </c>
      <c r="L88" s="3">
        <f t="shared" si="13"/>
        <v>0.84879725085910651</v>
      </c>
      <c r="O88">
        <f>Reference_Data!O84-Dark!O84</f>
        <v>3337</v>
      </c>
      <c r="P88">
        <f>Reference_Data!P84-Dark!P84</f>
        <v>3987</v>
      </c>
      <c r="Q88">
        <f>Reference_Data!Q84-Dark!Q84</f>
        <v>552</v>
      </c>
      <c r="R88">
        <f>Sample_Data!O84-Dark!O84</f>
        <v>3337</v>
      </c>
      <c r="S88">
        <f>Sample_Data!P84-Dark!P84</f>
        <v>3986</v>
      </c>
      <c r="T88">
        <f>Sample_Data!Q84-Dark!Q84</f>
        <v>386</v>
      </c>
      <c r="U88">
        <f t="shared" si="10"/>
        <v>1922</v>
      </c>
      <c r="V88">
        <f t="shared" si="14"/>
        <v>1</v>
      </c>
      <c r="W88">
        <f t="shared" si="15"/>
        <v>0.99974918485076503</v>
      </c>
      <c r="X88">
        <f t="shared" si="16"/>
        <v>0.69927536231884058</v>
      </c>
    </row>
    <row r="89" spans="1:24" x14ac:dyDescent="0.35">
      <c r="A89">
        <f t="shared" si="17"/>
        <v>2590</v>
      </c>
      <c r="C89">
        <f>Reference_Data!L85-Dark!L85</f>
        <v>3831</v>
      </c>
      <c r="D89">
        <f>Reference_Data!M85-Dark!M85</f>
        <v>4006</v>
      </c>
      <c r="E89">
        <f>Reference_Data!N85-Dark!N85</f>
        <v>294</v>
      </c>
      <c r="F89">
        <f>Sample_Data!L85-Dark!L85</f>
        <v>3832</v>
      </c>
      <c r="G89">
        <f>Sample_Data!M85-Dark!M85</f>
        <v>3994</v>
      </c>
      <c r="H89">
        <f>Sample_Data!N85-Dark!N85</f>
        <v>249</v>
      </c>
      <c r="I89">
        <f t="shared" si="9"/>
        <v>1072.41875</v>
      </c>
      <c r="J89" s="3">
        <f t="shared" si="11"/>
        <v>1.0002610284521012</v>
      </c>
      <c r="K89" s="3">
        <f t="shared" si="12"/>
        <v>0.99700449326010987</v>
      </c>
      <c r="L89" s="3">
        <f t="shared" si="13"/>
        <v>0.84693877551020413</v>
      </c>
      <c r="O89">
        <f>Reference_Data!O85-Dark!O85</f>
        <v>3313</v>
      </c>
      <c r="P89">
        <f>Reference_Data!P85-Dark!P85</f>
        <v>3984</v>
      </c>
      <c r="Q89">
        <f>Reference_Data!Q85-Dark!Q85</f>
        <v>551</v>
      </c>
      <c r="R89">
        <f>Sample_Data!O85-Dark!O85</f>
        <v>3313</v>
      </c>
      <c r="S89">
        <f>Sample_Data!P85-Dark!P85</f>
        <v>3984</v>
      </c>
      <c r="T89">
        <f>Sample_Data!Q85-Dark!Q85</f>
        <v>384</v>
      </c>
      <c r="U89">
        <f t="shared" si="10"/>
        <v>1928.703125</v>
      </c>
      <c r="V89">
        <f t="shared" si="14"/>
        <v>1</v>
      </c>
      <c r="W89">
        <f t="shared" si="15"/>
        <v>1</v>
      </c>
      <c r="X89">
        <f t="shared" si="16"/>
        <v>0.69691470054446458</v>
      </c>
    </row>
    <row r="90" spans="1:24" x14ac:dyDescent="0.35">
      <c r="A90">
        <f t="shared" si="17"/>
        <v>2620</v>
      </c>
      <c r="C90">
        <f>Reference_Data!L86-Dark!L86</f>
        <v>3834</v>
      </c>
      <c r="D90">
        <f>Reference_Data!M86-Dark!M86</f>
        <v>4007</v>
      </c>
      <c r="E90">
        <f>Reference_Data!N86-Dark!N86</f>
        <v>298</v>
      </c>
      <c r="F90">
        <f>Sample_Data!L86-Dark!L86</f>
        <v>3835</v>
      </c>
      <c r="G90">
        <f>Sample_Data!M86-Dark!M86</f>
        <v>3996</v>
      </c>
      <c r="H90">
        <f>Sample_Data!N86-Dark!N86</f>
        <v>252</v>
      </c>
      <c r="I90">
        <f t="shared" si="9"/>
        <v>1076.0374999999999</v>
      </c>
      <c r="J90" s="3">
        <f t="shared" si="11"/>
        <v>1.0002608242044861</v>
      </c>
      <c r="K90" s="3">
        <f t="shared" si="12"/>
        <v>0.99725480409283751</v>
      </c>
      <c r="L90" s="3">
        <f t="shared" si="13"/>
        <v>0.84563758389261745</v>
      </c>
      <c r="O90">
        <f>Reference_Data!O86-Dark!O86</f>
        <v>3288</v>
      </c>
      <c r="P90">
        <f>Reference_Data!P86-Dark!P86</f>
        <v>3985</v>
      </c>
      <c r="Q90">
        <f>Reference_Data!Q86-Dark!Q86</f>
        <v>553</v>
      </c>
      <c r="R90">
        <f>Sample_Data!O86-Dark!O86</f>
        <v>3288</v>
      </c>
      <c r="S90">
        <f>Sample_Data!P86-Dark!P86</f>
        <v>3984</v>
      </c>
      <c r="T90">
        <f>Sample_Data!Q86-Dark!Q86</f>
        <v>386</v>
      </c>
      <c r="U90">
        <f t="shared" si="10"/>
        <v>1935.40625</v>
      </c>
      <c r="V90">
        <f t="shared" si="14"/>
        <v>1</v>
      </c>
      <c r="W90">
        <f t="shared" si="15"/>
        <v>0.99974905897114175</v>
      </c>
      <c r="X90">
        <f t="shared" si="16"/>
        <v>0.69801084990958406</v>
      </c>
    </row>
    <row r="91" spans="1:24" x14ac:dyDescent="0.35">
      <c r="A91">
        <f t="shared" si="17"/>
        <v>2650</v>
      </c>
      <c r="C91">
        <f>Reference_Data!L87-Dark!L87</f>
        <v>3827</v>
      </c>
      <c r="D91">
        <f>Reference_Data!M87-Dark!M87</f>
        <v>4007</v>
      </c>
      <c r="E91">
        <f>Reference_Data!N87-Dark!N87</f>
        <v>302</v>
      </c>
      <c r="F91">
        <f>Sample_Data!L87-Dark!L87</f>
        <v>3826</v>
      </c>
      <c r="G91">
        <f>Sample_Data!M87-Dark!M87</f>
        <v>3996</v>
      </c>
      <c r="H91">
        <f>Sample_Data!N87-Dark!N87</f>
        <v>254</v>
      </c>
      <c r="I91">
        <f t="shared" si="9"/>
        <v>1079.65625</v>
      </c>
      <c r="J91" s="3">
        <f t="shared" si="11"/>
        <v>0.99973869871962373</v>
      </c>
      <c r="K91" s="3">
        <f t="shared" si="12"/>
        <v>0.99725480409283751</v>
      </c>
      <c r="L91" s="3">
        <f t="shared" si="13"/>
        <v>0.84105960264900659</v>
      </c>
      <c r="O91">
        <f>Reference_Data!O87-Dark!O87</f>
        <v>3256</v>
      </c>
      <c r="P91">
        <f>Reference_Data!P87-Dark!P87</f>
        <v>3983</v>
      </c>
      <c r="Q91">
        <f>Reference_Data!Q87-Dark!Q87</f>
        <v>558</v>
      </c>
      <c r="R91">
        <f>Sample_Data!O87-Dark!O87</f>
        <v>3256</v>
      </c>
      <c r="S91">
        <f>Sample_Data!P87-Dark!P87</f>
        <v>3983</v>
      </c>
      <c r="T91">
        <f>Sample_Data!Q87-Dark!Q87</f>
        <v>388</v>
      </c>
      <c r="U91">
        <f t="shared" si="10"/>
        <v>1942.109375</v>
      </c>
      <c r="V91">
        <f t="shared" si="14"/>
        <v>1</v>
      </c>
      <c r="W91">
        <f t="shared" si="15"/>
        <v>1</v>
      </c>
      <c r="X91">
        <f t="shared" si="16"/>
        <v>0.69534050179211471</v>
      </c>
    </row>
    <row r="92" spans="1:24" x14ac:dyDescent="0.35">
      <c r="A92">
        <f t="shared" si="17"/>
        <v>2680</v>
      </c>
      <c r="C92">
        <f>Reference_Data!L88-Dark!L88</f>
        <v>3833</v>
      </c>
      <c r="D92">
        <f>Reference_Data!M88-Dark!M88</f>
        <v>4007</v>
      </c>
      <c r="E92">
        <f>Reference_Data!N88-Dark!N88</f>
        <v>307</v>
      </c>
      <c r="F92">
        <f>Sample_Data!L88-Dark!L88</f>
        <v>3832</v>
      </c>
      <c r="G92">
        <f>Sample_Data!M88-Dark!M88</f>
        <v>3997</v>
      </c>
      <c r="H92">
        <f>Sample_Data!N88-Dark!N88</f>
        <v>258</v>
      </c>
      <c r="I92">
        <f t="shared" si="9"/>
        <v>1083.2750000000001</v>
      </c>
      <c r="J92" s="3">
        <f t="shared" si="11"/>
        <v>0.99973910774849983</v>
      </c>
      <c r="K92" s="3">
        <f t="shared" si="12"/>
        <v>0.997504367357125</v>
      </c>
      <c r="L92" s="3">
        <f t="shared" si="13"/>
        <v>0.8403908794788274</v>
      </c>
      <c r="O92">
        <f>Reference_Data!O88-Dark!O88</f>
        <v>3227</v>
      </c>
      <c r="P92">
        <f>Reference_Data!P88-Dark!P88</f>
        <v>3982</v>
      </c>
      <c r="Q92">
        <f>Reference_Data!Q88-Dark!Q88</f>
        <v>561</v>
      </c>
      <c r="R92">
        <f>Sample_Data!O88-Dark!O88</f>
        <v>3227</v>
      </c>
      <c r="S92">
        <f>Sample_Data!P88-Dark!P88</f>
        <v>3982</v>
      </c>
      <c r="T92">
        <f>Sample_Data!Q88-Dark!Q88</f>
        <v>390</v>
      </c>
      <c r="U92">
        <f t="shared" si="10"/>
        <v>1948.8125</v>
      </c>
      <c r="V92">
        <f t="shared" si="14"/>
        <v>1</v>
      </c>
      <c r="W92">
        <f t="shared" si="15"/>
        <v>1</v>
      </c>
      <c r="X92">
        <f t="shared" si="16"/>
        <v>0.69518716577540107</v>
      </c>
    </row>
    <row r="93" spans="1:24" x14ac:dyDescent="0.35">
      <c r="A93">
        <f t="shared" si="17"/>
        <v>2710</v>
      </c>
      <c r="C93">
        <f>Reference_Data!L89-Dark!L89</f>
        <v>3827</v>
      </c>
      <c r="D93">
        <f>Reference_Data!M89-Dark!M89</f>
        <v>4007</v>
      </c>
      <c r="E93">
        <f>Reference_Data!N89-Dark!N89</f>
        <v>310</v>
      </c>
      <c r="F93">
        <f>Sample_Data!L89-Dark!L89</f>
        <v>3825</v>
      </c>
      <c r="G93">
        <f>Sample_Data!M89-Dark!M89</f>
        <v>3998</v>
      </c>
      <c r="H93">
        <f>Sample_Data!N89-Dark!N89</f>
        <v>262</v>
      </c>
      <c r="I93">
        <f t="shared" si="9"/>
        <v>1086.89375</v>
      </c>
      <c r="J93" s="3">
        <f t="shared" si="11"/>
        <v>0.99947739743924746</v>
      </c>
      <c r="K93" s="3">
        <f t="shared" si="12"/>
        <v>0.99775393062141249</v>
      </c>
      <c r="L93" s="3">
        <f t="shared" si="13"/>
        <v>0.84516129032258069</v>
      </c>
      <c r="O93">
        <f>Reference_Data!O89-Dark!O89</f>
        <v>3200</v>
      </c>
      <c r="P93">
        <f>Reference_Data!P89-Dark!P89</f>
        <v>3984</v>
      </c>
      <c r="Q93">
        <f>Reference_Data!Q89-Dark!Q89</f>
        <v>564</v>
      </c>
      <c r="R93">
        <f>Sample_Data!O89-Dark!O89</f>
        <v>3200</v>
      </c>
      <c r="S93">
        <f>Sample_Data!P89-Dark!P89</f>
        <v>3983</v>
      </c>
      <c r="T93">
        <f>Sample_Data!Q89-Dark!Q89</f>
        <v>390</v>
      </c>
      <c r="U93">
        <f t="shared" si="10"/>
        <v>1955.515625</v>
      </c>
      <c r="V93">
        <f t="shared" si="14"/>
        <v>1</v>
      </c>
      <c r="W93">
        <f t="shared" si="15"/>
        <v>0.99974899598393574</v>
      </c>
      <c r="X93">
        <f t="shared" si="16"/>
        <v>0.69148936170212771</v>
      </c>
    </row>
    <row r="94" spans="1:24" x14ac:dyDescent="0.35">
      <c r="A94">
        <f t="shared" si="17"/>
        <v>2740</v>
      </c>
      <c r="C94">
        <f>Reference_Data!L90-Dark!L90</f>
        <v>3824</v>
      </c>
      <c r="D94">
        <f>Reference_Data!M90-Dark!M90</f>
        <v>4007</v>
      </c>
      <c r="E94">
        <f>Reference_Data!N90-Dark!N90</f>
        <v>314</v>
      </c>
      <c r="F94">
        <f>Sample_Data!L90-Dark!L90</f>
        <v>3824</v>
      </c>
      <c r="G94">
        <f>Sample_Data!M90-Dark!M90</f>
        <v>4000</v>
      </c>
      <c r="H94">
        <f>Sample_Data!N90-Dark!N90</f>
        <v>264</v>
      </c>
      <c r="I94">
        <f t="shared" si="9"/>
        <v>1090.5125</v>
      </c>
      <c r="J94" s="3">
        <f t="shared" si="11"/>
        <v>1</v>
      </c>
      <c r="K94" s="3">
        <f t="shared" si="12"/>
        <v>0.99825305714998758</v>
      </c>
      <c r="L94" s="3">
        <f t="shared" si="13"/>
        <v>0.84076433121019112</v>
      </c>
      <c r="O94">
        <f>Reference_Data!O90-Dark!O90</f>
        <v>3170</v>
      </c>
      <c r="P94">
        <f>Reference_Data!P90-Dark!P90</f>
        <v>3980</v>
      </c>
      <c r="Q94">
        <f>Reference_Data!Q90-Dark!Q90</f>
        <v>566</v>
      </c>
      <c r="R94">
        <f>Sample_Data!O90-Dark!O90</f>
        <v>3170</v>
      </c>
      <c r="S94">
        <f>Sample_Data!P90-Dark!P90</f>
        <v>3980</v>
      </c>
      <c r="T94">
        <f>Sample_Data!Q90-Dark!Q90</f>
        <v>394</v>
      </c>
      <c r="U94">
        <f t="shared" si="10"/>
        <v>1962.21875</v>
      </c>
      <c r="V94">
        <f t="shared" si="14"/>
        <v>1</v>
      </c>
      <c r="W94">
        <f t="shared" si="15"/>
        <v>1</v>
      </c>
      <c r="X94">
        <f t="shared" si="16"/>
        <v>0.69611307420494695</v>
      </c>
    </row>
    <row r="95" spans="1:24" x14ac:dyDescent="0.35">
      <c r="A95">
        <f t="shared" si="17"/>
        <v>2770</v>
      </c>
      <c r="C95">
        <f>Reference_Data!L91-Dark!L91</f>
        <v>3824</v>
      </c>
      <c r="D95">
        <f>Reference_Data!M91-Dark!M91</f>
        <v>4008</v>
      </c>
      <c r="E95">
        <f>Reference_Data!N91-Dark!N91</f>
        <v>320</v>
      </c>
      <c r="F95">
        <f>Sample_Data!L91-Dark!L91</f>
        <v>3824</v>
      </c>
      <c r="G95">
        <f>Sample_Data!M91-Dark!M91</f>
        <v>4000</v>
      </c>
      <c r="H95">
        <f>Sample_Data!N91-Dark!N91</f>
        <v>269</v>
      </c>
      <c r="I95">
        <f t="shared" si="9"/>
        <v>1094.1312499999999</v>
      </c>
      <c r="J95" s="3">
        <f t="shared" si="11"/>
        <v>1</v>
      </c>
      <c r="K95" s="3">
        <f t="shared" si="12"/>
        <v>0.99800399201596801</v>
      </c>
      <c r="L95" s="3">
        <f t="shared" si="13"/>
        <v>0.84062499999999996</v>
      </c>
      <c r="O95">
        <f>Reference_Data!O91-Dark!O91</f>
        <v>3145</v>
      </c>
      <c r="P95">
        <f>Reference_Data!P91-Dark!P91</f>
        <v>3980</v>
      </c>
      <c r="Q95">
        <f>Reference_Data!Q91-Dark!Q91</f>
        <v>567</v>
      </c>
      <c r="R95">
        <f>Sample_Data!O91-Dark!O91</f>
        <v>3145</v>
      </c>
      <c r="S95">
        <f>Sample_Data!P91-Dark!P91</f>
        <v>3980</v>
      </c>
      <c r="T95">
        <f>Sample_Data!Q91-Dark!Q91</f>
        <v>396</v>
      </c>
      <c r="U95">
        <f t="shared" si="10"/>
        <v>1968.921875</v>
      </c>
      <c r="V95">
        <f t="shared" si="14"/>
        <v>1</v>
      </c>
      <c r="W95">
        <f t="shared" si="15"/>
        <v>1</v>
      </c>
      <c r="X95">
        <f t="shared" si="16"/>
        <v>0.69841269841269837</v>
      </c>
    </row>
    <row r="96" spans="1:24" x14ac:dyDescent="0.35">
      <c r="A96">
        <f t="shared" si="17"/>
        <v>2800</v>
      </c>
      <c r="C96">
        <f>Reference_Data!L92-Dark!L92</f>
        <v>3823</v>
      </c>
      <c r="D96">
        <f>Reference_Data!M92-Dark!M92</f>
        <v>4005</v>
      </c>
      <c r="E96">
        <f>Reference_Data!N92-Dark!N92</f>
        <v>322</v>
      </c>
      <c r="F96">
        <f>Sample_Data!L92-Dark!L92</f>
        <v>3824</v>
      </c>
      <c r="G96">
        <f>Sample_Data!M92-Dark!M92</f>
        <v>4000</v>
      </c>
      <c r="H96">
        <f>Sample_Data!N92-Dark!N92</f>
        <v>271</v>
      </c>
      <c r="I96">
        <f t="shared" si="9"/>
        <v>1097.75</v>
      </c>
      <c r="J96" s="3">
        <f t="shared" si="11"/>
        <v>1.0002615746795711</v>
      </c>
      <c r="K96" s="3">
        <f t="shared" si="12"/>
        <v>0.99875156054931336</v>
      </c>
      <c r="L96" s="3">
        <f t="shared" si="13"/>
        <v>0.84161490683229812</v>
      </c>
      <c r="O96">
        <f>Reference_Data!O92-Dark!O92</f>
        <v>3115</v>
      </c>
      <c r="P96">
        <f>Reference_Data!P92-Dark!P92</f>
        <v>3979</v>
      </c>
      <c r="Q96">
        <f>Reference_Data!Q92-Dark!Q92</f>
        <v>566</v>
      </c>
      <c r="R96">
        <f>Sample_Data!O92-Dark!O92</f>
        <v>3116</v>
      </c>
      <c r="S96">
        <f>Sample_Data!P92-Dark!P92</f>
        <v>3979</v>
      </c>
      <c r="T96">
        <f>Sample_Data!Q92-Dark!Q92</f>
        <v>400</v>
      </c>
      <c r="U96">
        <f t="shared" si="10"/>
        <v>1975.625</v>
      </c>
      <c r="V96">
        <f t="shared" si="14"/>
        <v>1.0003210272873195</v>
      </c>
      <c r="W96">
        <f t="shared" si="15"/>
        <v>1</v>
      </c>
      <c r="X96">
        <f t="shared" si="16"/>
        <v>0.70671378091872794</v>
      </c>
    </row>
    <row r="97" spans="1:24" x14ac:dyDescent="0.35">
      <c r="A97">
        <f t="shared" si="17"/>
        <v>2830</v>
      </c>
      <c r="C97">
        <f>Reference_Data!L93-Dark!L93</f>
        <v>3831</v>
      </c>
      <c r="D97">
        <f>Reference_Data!M93-Dark!M93</f>
        <v>4006</v>
      </c>
      <c r="E97">
        <f>Reference_Data!N93-Dark!N93</f>
        <v>325</v>
      </c>
      <c r="F97">
        <f>Sample_Data!L93-Dark!L93</f>
        <v>3831</v>
      </c>
      <c r="G97">
        <f>Sample_Data!M93-Dark!M93</f>
        <v>4001</v>
      </c>
      <c r="H97">
        <f>Sample_Data!N93-Dark!N93</f>
        <v>272</v>
      </c>
      <c r="I97">
        <f t="shared" si="9"/>
        <v>1101.3687500000001</v>
      </c>
      <c r="J97" s="3">
        <f t="shared" si="11"/>
        <v>1</v>
      </c>
      <c r="K97" s="3">
        <f t="shared" si="12"/>
        <v>0.99875187219171246</v>
      </c>
      <c r="L97" s="3">
        <f t="shared" si="13"/>
        <v>0.83692307692307688</v>
      </c>
      <c r="O97">
        <f>Reference_Data!O93-Dark!O93</f>
        <v>3094</v>
      </c>
      <c r="P97">
        <f>Reference_Data!P93-Dark!P93</f>
        <v>3979</v>
      </c>
      <c r="Q97">
        <f>Reference_Data!Q93-Dark!Q93</f>
        <v>568</v>
      </c>
      <c r="R97">
        <f>Sample_Data!O93-Dark!O93</f>
        <v>3094</v>
      </c>
      <c r="S97">
        <f>Sample_Data!P93-Dark!P93</f>
        <v>3978</v>
      </c>
      <c r="T97">
        <f>Sample_Data!Q93-Dark!Q93</f>
        <v>402</v>
      </c>
      <c r="U97">
        <f t="shared" si="10"/>
        <v>1982.328125</v>
      </c>
      <c r="V97">
        <f t="shared" si="14"/>
        <v>1</v>
      </c>
      <c r="W97">
        <f t="shared" si="15"/>
        <v>0.99974868057300825</v>
      </c>
      <c r="X97">
        <f t="shared" si="16"/>
        <v>0.70774647887323938</v>
      </c>
    </row>
    <row r="98" spans="1:24" x14ac:dyDescent="0.35">
      <c r="A98">
        <f t="shared" si="17"/>
        <v>2860</v>
      </c>
      <c r="C98">
        <f>Reference_Data!L94-Dark!L94</f>
        <v>3831</v>
      </c>
      <c r="D98">
        <f>Reference_Data!M94-Dark!M94</f>
        <v>4007</v>
      </c>
      <c r="E98">
        <f>Reference_Data!N94-Dark!N94</f>
        <v>330</v>
      </c>
      <c r="F98">
        <f>Sample_Data!L94-Dark!L94</f>
        <v>3830</v>
      </c>
      <c r="G98">
        <f>Sample_Data!M94-Dark!M94</f>
        <v>4002</v>
      </c>
      <c r="H98">
        <f>Sample_Data!N94-Dark!N94</f>
        <v>277</v>
      </c>
      <c r="I98">
        <f t="shared" si="9"/>
        <v>1104.9875</v>
      </c>
      <c r="J98" s="3">
        <f t="shared" si="11"/>
        <v>0.9997389715478987</v>
      </c>
      <c r="K98" s="3">
        <f t="shared" si="12"/>
        <v>0.99875218367856256</v>
      </c>
      <c r="L98" s="3">
        <f t="shared" si="13"/>
        <v>0.83939393939393936</v>
      </c>
      <c r="O98">
        <f>Reference_Data!O94-Dark!O94</f>
        <v>3058</v>
      </c>
      <c r="P98">
        <f>Reference_Data!P94-Dark!P94</f>
        <v>3977</v>
      </c>
      <c r="Q98">
        <f>Reference_Data!Q94-Dark!Q94</f>
        <v>568</v>
      </c>
      <c r="R98">
        <f>Sample_Data!O94-Dark!O94</f>
        <v>3057</v>
      </c>
      <c r="S98">
        <f>Sample_Data!P94-Dark!P94</f>
        <v>3977</v>
      </c>
      <c r="T98">
        <f>Sample_Data!Q94-Dark!Q94</f>
        <v>402</v>
      </c>
      <c r="U98">
        <f t="shared" si="10"/>
        <v>1989.03125</v>
      </c>
      <c r="V98">
        <f t="shared" si="14"/>
        <v>0.99967298888162193</v>
      </c>
      <c r="W98">
        <f t="shared" si="15"/>
        <v>1</v>
      </c>
      <c r="X98">
        <f t="shared" si="16"/>
        <v>0.70774647887323938</v>
      </c>
    </row>
    <row r="99" spans="1:24" x14ac:dyDescent="0.35">
      <c r="A99">
        <f t="shared" si="17"/>
        <v>2890</v>
      </c>
      <c r="C99">
        <f>Reference_Data!L95-Dark!L95</f>
        <v>3824</v>
      </c>
      <c r="D99">
        <f>Reference_Data!M95-Dark!M95</f>
        <v>4006</v>
      </c>
      <c r="E99">
        <f>Reference_Data!N95-Dark!N95</f>
        <v>332</v>
      </c>
      <c r="F99">
        <f>Sample_Data!L95-Dark!L95</f>
        <v>3824</v>
      </c>
      <c r="G99">
        <f>Sample_Data!M95-Dark!M95</f>
        <v>4003</v>
      </c>
      <c r="H99">
        <f>Sample_Data!N95-Dark!N95</f>
        <v>279</v>
      </c>
      <c r="I99">
        <f t="shared" si="9"/>
        <v>1108.60625</v>
      </c>
      <c r="J99" s="3">
        <f t="shared" si="11"/>
        <v>1</v>
      </c>
      <c r="K99" s="3">
        <f t="shared" si="12"/>
        <v>0.99925112331502741</v>
      </c>
      <c r="L99" s="3">
        <f t="shared" si="13"/>
        <v>0.84036144578313254</v>
      </c>
      <c r="O99">
        <f>Reference_Data!O95-Dark!O95</f>
        <v>3034</v>
      </c>
      <c r="P99">
        <f>Reference_Data!P95-Dark!P95</f>
        <v>3976</v>
      </c>
      <c r="Q99">
        <f>Reference_Data!Q95-Dark!Q95</f>
        <v>568</v>
      </c>
      <c r="R99">
        <f>Sample_Data!O95-Dark!O95</f>
        <v>3033</v>
      </c>
      <c r="S99">
        <f>Sample_Data!P95-Dark!P95</f>
        <v>3977</v>
      </c>
      <c r="T99">
        <f>Sample_Data!Q95-Dark!Q95</f>
        <v>406</v>
      </c>
      <c r="U99">
        <f t="shared" si="10"/>
        <v>1995.734375</v>
      </c>
      <c r="V99">
        <f t="shared" si="14"/>
        <v>0.99967040210942648</v>
      </c>
      <c r="W99">
        <f t="shared" si="15"/>
        <v>1.000251509054326</v>
      </c>
      <c r="X99">
        <f t="shared" si="16"/>
        <v>0.71478873239436624</v>
      </c>
    </row>
    <row r="100" spans="1:24" x14ac:dyDescent="0.35">
      <c r="A100">
        <f t="shared" si="17"/>
        <v>2920</v>
      </c>
      <c r="C100">
        <f>Reference_Data!L96-Dark!L96</f>
        <v>3833</v>
      </c>
      <c r="D100">
        <f>Reference_Data!M96-Dark!M96</f>
        <v>4006</v>
      </c>
      <c r="E100">
        <f>Reference_Data!N96-Dark!N96</f>
        <v>336</v>
      </c>
      <c r="F100">
        <f>Sample_Data!L96-Dark!L96</f>
        <v>3833</v>
      </c>
      <c r="G100">
        <f>Sample_Data!M96-Dark!M96</f>
        <v>4005</v>
      </c>
      <c r="H100">
        <f>Sample_Data!N96-Dark!N96</f>
        <v>282</v>
      </c>
      <c r="I100">
        <f t="shared" si="9"/>
        <v>1112.2249999999999</v>
      </c>
      <c r="J100" s="3">
        <f t="shared" si="11"/>
        <v>1</v>
      </c>
      <c r="K100" s="3">
        <f t="shared" si="12"/>
        <v>0.99975037443834247</v>
      </c>
      <c r="L100" s="3">
        <f t="shared" si="13"/>
        <v>0.8392857142857143</v>
      </c>
      <c r="O100">
        <f>Reference_Data!O96-Dark!O96</f>
        <v>3005</v>
      </c>
      <c r="P100">
        <f>Reference_Data!P96-Dark!P96</f>
        <v>3975</v>
      </c>
      <c r="Q100">
        <f>Reference_Data!Q96-Dark!Q96</f>
        <v>570</v>
      </c>
      <c r="R100">
        <f>Sample_Data!O96-Dark!O96</f>
        <v>3006</v>
      </c>
      <c r="S100">
        <f>Sample_Data!P96-Dark!P96</f>
        <v>3975</v>
      </c>
      <c r="T100">
        <f>Sample_Data!Q96-Dark!Q96</f>
        <v>409</v>
      </c>
      <c r="U100">
        <f t="shared" si="10"/>
        <v>2002.4375</v>
      </c>
      <c r="V100">
        <f t="shared" si="14"/>
        <v>1.000332778702163</v>
      </c>
      <c r="W100">
        <f t="shared" si="15"/>
        <v>1</v>
      </c>
      <c r="X100">
        <f t="shared" si="16"/>
        <v>0.71754385964912282</v>
      </c>
    </row>
    <row r="101" spans="1:24" x14ac:dyDescent="0.35">
      <c r="A101">
        <f t="shared" si="17"/>
        <v>2950</v>
      </c>
      <c r="C101">
        <f>Reference_Data!L97-Dark!L97</f>
        <v>3833</v>
      </c>
      <c r="D101">
        <f>Reference_Data!M97-Dark!M97</f>
        <v>4006</v>
      </c>
      <c r="E101">
        <f>Reference_Data!N97-Dark!N97</f>
        <v>338</v>
      </c>
      <c r="F101">
        <f>Sample_Data!L97-Dark!L97</f>
        <v>3832</v>
      </c>
      <c r="G101">
        <f>Sample_Data!M97-Dark!M97</f>
        <v>4004</v>
      </c>
      <c r="H101">
        <f>Sample_Data!N97-Dark!N97</f>
        <v>282</v>
      </c>
      <c r="I101">
        <f t="shared" si="9"/>
        <v>1115.84375</v>
      </c>
      <c r="J101" s="3">
        <f t="shared" si="11"/>
        <v>0.99973910774849983</v>
      </c>
      <c r="K101" s="3">
        <f t="shared" si="12"/>
        <v>0.99950074887668494</v>
      </c>
      <c r="L101" s="3">
        <f t="shared" si="13"/>
        <v>0.83431952662721898</v>
      </c>
      <c r="O101">
        <f>Reference_Data!O97-Dark!O97</f>
        <v>2981</v>
      </c>
      <c r="P101">
        <f>Reference_Data!P97-Dark!P97</f>
        <v>3973</v>
      </c>
      <c r="Q101">
        <f>Reference_Data!Q97-Dark!Q97</f>
        <v>573</v>
      </c>
      <c r="R101">
        <f>Sample_Data!O97-Dark!O97</f>
        <v>2981</v>
      </c>
      <c r="S101">
        <f>Sample_Data!P97-Dark!P97</f>
        <v>3973</v>
      </c>
      <c r="T101">
        <f>Sample_Data!Q97-Dark!Q97</f>
        <v>411</v>
      </c>
      <c r="U101">
        <f t="shared" si="10"/>
        <v>2009.140625</v>
      </c>
      <c r="V101">
        <f t="shared" si="14"/>
        <v>1</v>
      </c>
      <c r="W101">
        <f t="shared" si="15"/>
        <v>1</v>
      </c>
      <c r="X101">
        <f t="shared" si="16"/>
        <v>0.7172774869109948</v>
      </c>
    </row>
    <row r="102" spans="1:24" x14ac:dyDescent="0.35">
      <c r="A102">
        <f t="shared" si="17"/>
        <v>2980</v>
      </c>
      <c r="C102">
        <f>Reference_Data!L98-Dark!L98</f>
        <v>3829</v>
      </c>
      <c r="D102">
        <f>Reference_Data!M98-Dark!M98</f>
        <v>4007</v>
      </c>
      <c r="E102">
        <f>Reference_Data!N98-Dark!N98</f>
        <v>341</v>
      </c>
      <c r="F102">
        <f>Sample_Data!L98-Dark!L98</f>
        <v>3828</v>
      </c>
      <c r="G102">
        <f>Sample_Data!M98-Dark!M98</f>
        <v>4004</v>
      </c>
      <c r="H102">
        <f>Sample_Data!N98-Dark!N98</f>
        <v>283</v>
      </c>
      <c r="I102">
        <f t="shared" si="9"/>
        <v>1119.4625000000001</v>
      </c>
      <c r="J102" s="3">
        <f t="shared" si="11"/>
        <v>0.99973883520501439</v>
      </c>
      <c r="K102" s="3">
        <f t="shared" si="12"/>
        <v>0.99925131020713753</v>
      </c>
      <c r="L102" s="3">
        <f t="shared" si="13"/>
        <v>0.8299120234604106</v>
      </c>
      <c r="O102">
        <f>Reference_Data!O98-Dark!O98</f>
        <v>2948</v>
      </c>
      <c r="P102">
        <f>Reference_Data!P98-Dark!P98</f>
        <v>3971</v>
      </c>
      <c r="Q102">
        <f>Reference_Data!Q98-Dark!Q98</f>
        <v>574</v>
      </c>
      <c r="R102">
        <f>Sample_Data!O98-Dark!O98</f>
        <v>2949</v>
      </c>
      <c r="S102">
        <f>Sample_Data!P98-Dark!P98</f>
        <v>3971</v>
      </c>
      <c r="T102">
        <f>Sample_Data!Q98-Dark!Q98</f>
        <v>412</v>
      </c>
      <c r="U102">
        <f t="shared" si="10"/>
        <v>2015.84375</v>
      </c>
      <c r="V102">
        <f t="shared" si="14"/>
        <v>1.0003392130257802</v>
      </c>
      <c r="W102">
        <f t="shared" si="15"/>
        <v>1</v>
      </c>
      <c r="X102">
        <f t="shared" si="16"/>
        <v>0.71777003484320556</v>
      </c>
    </row>
    <row r="103" spans="1:24" x14ac:dyDescent="0.35">
      <c r="A103">
        <f t="shared" si="17"/>
        <v>3010</v>
      </c>
      <c r="C103">
        <f>Reference_Data!L99-Dark!L99</f>
        <v>3837</v>
      </c>
      <c r="D103">
        <f>Reference_Data!M99-Dark!M99</f>
        <v>4006</v>
      </c>
      <c r="E103">
        <f>Reference_Data!N99-Dark!N99</f>
        <v>345</v>
      </c>
      <c r="F103">
        <f>Sample_Data!L99-Dark!L99</f>
        <v>3836</v>
      </c>
      <c r="G103">
        <f>Sample_Data!M99-Dark!M99</f>
        <v>4005</v>
      </c>
      <c r="H103">
        <f>Sample_Data!N99-Dark!N99</f>
        <v>288</v>
      </c>
      <c r="I103">
        <f t="shared" si="9"/>
        <v>1123.08125</v>
      </c>
      <c r="J103" s="3">
        <f t="shared" si="11"/>
        <v>0.99973937972374249</v>
      </c>
      <c r="K103" s="3">
        <f t="shared" si="12"/>
        <v>0.99975037443834247</v>
      </c>
      <c r="L103" s="3">
        <f t="shared" si="13"/>
        <v>0.83478260869565213</v>
      </c>
      <c r="O103">
        <f>Reference_Data!O99-Dark!O99</f>
        <v>2927</v>
      </c>
      <c r="P103">
        <f>Reference_Data!P99-Dark!P99</f>
        <v>3970</v>
      </c>
      <c r="Q103">
        <f>Reference_Data!Q99-Dark!Q99</f>
        <v>574</v>
      </c>
      <c r="R103">
        <f>Sample_Data!O99-Dark!O99</f>
        <v>2927</v>
      </c>
      <c r="S103">
        <f>Sample_Data!P99-Dark!P99</f>
        <v>3970</v>
      </c>
      <c r="T103">
        <f>Sample_Data!Q99-Dark!Q99</f>
        <v>414</v>
      </c>
      <c r="U103">
        <f t="shared" si="10"/>
        <v>2022.546875</v>
      </c>
      <c r="V103">
        <f t="shared" si="14"/>
        <v>1</v>
      </c>
      <c r="W103">
        <f t="shared" si="15"/>
        <v>1</v>
      </c>
      <c r="X103">
        <f t="shared" si="16"/>
        <v>0.72125435540069682</v>
      </c>
    </row>
    <row r="104" spans="1:24" x14ac:dyDescent="0.35">
      <c r="A104">
        <f t="shared" si="17"/>
        <v>3040</v>
      </c>
      <c r="C104">
        <f>Reference_Data!L100-Dark!L100</f>
        <v>3830</v>
      </c>
      <c r="D104">
        <f>Reference_Data!M100-Dark!M100</f>
        <v>4007</v>
      </c>
      <c r="E104">
        <f>Reference_Data!N100-Dark!N100</f>
        <v>349</v>
      </c>
      <c r="F104">
        <f>Sample_Data!L100-Dark!L100</f>
        <v>3829</v>
      </c>
      <c r="G104">
        <f>Sample_Data!M100-Dark!M100</f>
        <v>4006</v>
      </c>
      <c r="H104">
        <f>Sample_Data!N100-Dark!N100</f>
        <v>292</v>
      </c>
      <c r="I104">
        <f t="shared" si="9"/>
        <v>1126.7</v>
      </c>
      <c r="J104" s="3">
        <f t="shared" si="11"/>
        <v>0.99973890339425586</v>
      </c>
      <c r="K104" s="3">
        <f t="shared" si="12"/>
        <v>0.99975043673571251</v>
      </c>
      <c r="L104" s="3">
        <f t="shared" si="13"/>
        <v>0.83667621776504297</v>
      </c>
      <c r="O104">
        <f>Reference_Data!O100-Dark!O100</f>
        <v>2905</v>
      </c>
      <c r="P104">
        <f>Reference_Data!P100-Dark!P100</f>
        <v>3970</v>
      </c>
      <c r="Q104">
        <f>Reference_Data!Q100-Dark!Q100</f>
        <v>577</v>
      </c>
      <c r="R104">
        <f>Sample_Data!O100-Dark!O100</f>
        <v>2904</v>
      </c>
      <c r="S104">
        <f>Sample_Data!P100-Dark!P100</f>
        <v>3970</v>
      </c>
      <c r="T104">
        <f>Sample_Data!Q100-Dark!Q100</f>
        <v>417</v>
      </c>
      <c r="U104">
        <f t="shared" si="10"/>
        <v>2029.25</v>
      </c>
      <c r="V104">
        <f t="shared" si="14"/>
        <v>0.99965576592082617</v>
      </c>
      <c r="W104">
        <f t="shared" si="15"/>
        <v>1</v>
      </c>
      <c r="X104">
        <f t="shared" si="16"/>
        <v>0.72270363951473138</v>
      </c>
    </row>
    <row r="105" spans="1:24" x14ac:dyDescent="0.35">
      <c r="A105">
        <f t="shared" si="17"/>
        <v>3070</v>
      </c>
      <c r="C105">
        <f>Reference_Data!L101-Dark!L101</f>
        <v>3831</v>
      </c>
      <c r="D105">
        <f>Reference_Data!M101-Dark!M101</f>
        <v>4006</v>
      </c>
      <c r="E105">
        <f>Reference_Data!N101-Dark!N101</f>
        <v>351</v>
      </c>
      <c r="F105">
        <f>Sample_Data!L101-Dark!L101</f>
        <v>3831</v>
      </c>
      <c r="G105">
        <f>Sample_Data!M101-Dark!M101</f>
        <v>4006</v>
      </c>
      <c r="H105">
        <f>Sample_Data!N101-Dark!N101</f>
        <v>294</v>
      </c>
      <c r="I105">
        <f t="shared" si="9"/>
        <v>1130.3187499999999</v>
      </c>
      <c r="J105" s="3">
        <f t="shared" si="11"/>
        <v>1</v>
      </c>
      <c r="K105" s="3">
        <f t="shared" si="12"/>
        <v>1</v>
      </c>
      <c r="L105" s="3">
        <f t="shared" si="13"/>
        <v>0.83760683760683763</v>
      </c>
      <c r="O105">
        <f>Reference_Data!O101-Dark!O101</f>
        <v>2890</v>
      </c>
      <c r="P105">
        <f>Reference_Data!P101-Dark!P101</f>
        <v>3970</v>
      </c>
      <c r="Q105">
        <f>Reference_Data!Q101-Dark!Q101</f>
        <v>577</v>
      </c>
      <c r="R105">
        <f>Sample_Data!O101-Dark!O101</f>
        <v>2890</v>
      </c>
      <c r="S105">
        <f>Sample_Data!P101-Dark!P101</f>
        <v>3970</v>
      </c>
      <c r="T105">
        <f>Sample_Data!Q101-Dark!Q101</f>
        <v>417</v>
      </c>
      <c r="U105">
        <f t="shared" si="10"/>
        <v>2035.953125</v>
      </c>
      <c r="V105">
        <f t="shared" si="14"/>
        <v>1</v>
      </c>
      <c r="W105">
        <f t="shared" si="15"/>
        <v>1</v>
      </c>
      <c r="X105">
        <f t="shared" si="16"/>
        <v>0.72270363951473138</v>
      </c>
    </row>
    <row r="106" spans="1:24" x14ac:dyDescent="0.35">
      <c r="A106">
        <f t="shared" si="17"/>
        <v>3100</v>
      </c>
      <c r="C106">
        <f>Reference_Data!L102-Dark!L102</f>
        <v>3834</v>
      </c>
      <c r="D106">
        <f>Reference_Data!M102-Dark!M102</f>
        <v>4006</v>
      </c>
      <c r="E106">
        <f>Reference_Data!N102-Dark!N102</f>
        <v>355</v>
      </c>
      <c r="F106">
        <f>Sample_Data!L102-Dark!L102</f>
        <v>3834</v>
      </c>
      <c r="G106">
        <f>Sample_Data!M102-Dark!M102</f>
        <v>4007</v>
      </c>
      <c r="H106">
        <f>Sample_Data!N102-Dark!N102</f>
        <v>298</v>
      </c>
      <c r="I106">
        <f t="shared" si="9"/>
        <v>1133.9375</v>
      </c>
      <c r="J106" s="3">
        <f t="shared" si="11"/>
        <v>1</v>
      </c>
      <c r="K106" s="3">
        <f t="shared" si="12"/>
        <v>1.0002496255616575</v>
      </c>
      <c r="L106" s="3">
        <f t="shared" si="13"/>
        <v>0.83943661971830985</v>
      </c>
      <c r="O106">
        <f>Reference_Data!O102-Dark!O102</f>
        <v>2875</v>
      </c>
      <c r="P106">
        <f>Reference_Data!P102-Dark!P102</f>
        <v>3969</v>
      </c>
      <c r="Q106">
        <f>Reference_Data!Q102-Dark!Q102</f>
        <v>580</v>
      </c>
      <c r="R106">
        <f>Sample_Data!O102-Dark!O102</f>
        <v>2876</v>
      </c>
      <c r="S106">
        <f>Sample_Data!P102-Dark!P102</f>
        <v>3969</v>
      </c>
      <c r="T106">
        <f>Sample_Data!Q102-Dark!Q102</f>
        <v>417</v>
      </c>
      <c r="U106">
        <f t="shared" si="10"/>
        <v>2042.65625</v>
      </c>
      <c r="V106">
        <f t="shared" si="14"/>
        <v>1.0003478260869565</v>
      </c>
      <c r="W106">
        <f t="shared" si="15"/>
        <v>1</v>
      </c>
      <c r="X106">
        <f t="shared" si="16"/>
        <v>0.71896551724137936</v>
      </c>
    </row>
    <row r="107" spans="1:24" x14ac:dyDescent="0.35">
      <c r="A107">
        <f t="shared" si="17"/>
        <v>3130</v>
      </c>
      <c r="C107">
        <f>Reference_Data!L103-Dark!L103</f>
        <v>3828</v>
      </c>
      <c r="D107">
        <f>Reference_Data!M103-Dark!M103</f>
        <v>4007</v>
      </c>
      <c r="E107">
        <f>Reference_Data!N103-Dark!N103</f>
        <v>360</v>
      </c>
      <c r="F107">
        <f>Sample_Data!L103-Dark!L103</f>
        <v>3829</v>
      </c>
      <c r="G107">
        <f>Sample_Data!M103-Dark!M103</f>
        <v>4007</v>
      </c>
      <c r="H107">
        <f>Sample_Data!N103-Dark!N103</f>
        <v>301</v>
      </c>
      <c r="I107">
        <f t="shared" si="9"/>
        <v>1137.5562500000001</v>
      </c>
      <c r="J107" s="3">
        <f t="shared" si="11"/>
        <v>1.0002612330198537</v>
      </c>
      <c r="K107" s="3">
        <f t="shared" si="12"/>
        <v>1</v>
      </c>
      <c r="L107" s="3">
        <f t="shared" si="13"/>
        <v>0.83611111111111114</v>
      </c>
      <c r="O107">
        <f>Reference_Data!O103-Dark!O103</f>
        <v>2860</v>
      </c>
      <c r="P107">
        <f>Reference_Data!P103-Dark!P103</f>
        <v>3968</v>
      </c>
      <c r="Q107">
        <f>Reference_Data!Q103-Dark!Q103</f>
        <v>579</v>
      </c>
      <c r="R107">
        <f>Sample_Data!O103-Dark!O103</f>
        <v>2860</v>
      </c>
      <c r="S107">
        <f>Sample_Data!P103-Dark!P103</f>
        <v>3968</v>
      </c>
      <c r="T107">
        <f>Sample_Data!Q103-Dark!Q103</f>
        <v>415</v>
      </c>
      <c r="U107">
        <f t="shared" si="10"/>
        <v>2049.359375</v>
      </c>
      <c r="V107">
        <f t="shared" si="14"/>
        <v>1</v>
      </c>
      <c r="W107">
        <f t="shared" si="15"/>
        <v>1</v>
      </c>
      <c r="X107">
        <f t="shared" si="16"/>
        <v>0.71675302245250427</v>
      </c>
    </row>
    <row r="108" spans="1:24" x14ac:dyDescent="0.35">
      <c r="A108">
        <f t="shared" si="17"/>
        <v>3160</v>
      </c>
      <c r="C108">
        <f>Reference_Data!L104-Dark!L104</f>
        <v>3837</v>
      </c>
      <c r="D108">
        <f>Reference_Data!M104-Dark!M104</f>
        <v>4007</v>
      </c>
      <c r="E108">
        <f>Reference_Data!N104-Dark!N104</f>
        <v>362</v>
      </c>
      <c r="F108">
        <f>Sample_Data!L104-Dark!L104</f>
        <v>3837</v>
      </c>
      <c r="G108">
        <f>Sample_Data!M104-Dark!M104</f>
        <v>4006</v>
      </c>
      <c r="H108">
        <f>Sample_Data!N104-Dark!N104</f>
        <v>303</v>
      </c>
      <c r="I108">
        <f t="shared" si="9"/>
        <v>1141.175</v>
      </c>
      <c r="J108" s="3">
        <f t="shared" si="11"/>
        <v>1</v>
      </c>
      <c r="K108" s="3">
        <f t="shared" si="12"/>
        <v>0.99975043673571251</v>
      </c>
      <c r="L108" s="3">
        <f t="shared" si="13"/>
        <v>0.83701657458563539</v>
      </c>
      <c r="O108">
        <f>Reference_Data!O104-Dark!O104</f>
        <v>2852</v>
      </c>
      <c r="P108">
        <f>Reference_Data!P104-Dark!P104</f>
        <v>3969</v>
      </c>
      <c r="Q108">
        <f>Reference_Data!Q104-Dark!Q104</f>
        <v>580</v>
      </c>
      <c r="R108">
        <f>Sample_Data!O104-Dark!O104</f>
        <v>2852</v>
      </c>
      <c r="S108">
        <f>Sample_Data!P104-Dark!P104</f>
        <v>3968</v>
      </c>
      <c r="T108">
        <f>Sample_Data!Q104-Dark!Q104</f>
        <v>413</v>
      </c>
      <c r="U108">
        <f t="shared" si="10"/>
        <v>2056.0625</v>
      </c>
      <c r="V108">
        <f t="shared" si="14"/>
        <v>1</v>
      </c>
      <c r="W108">
        <f t="shared" si="15"/>
        <v>0.99974804736709499</v>
      </c>
      <c r="X108">
        <f t="shared" si="16"/>
        <v>0.71206896551724141</v>
      </c>
    </row>
    <row r="109" spans="1:24" x14ac:dyDescent="0.35">
      <c r="A109">
        <f t="shared" si="17"/>
        <v>3190</v>
      </c>
      <c r="C109">
        <f>Reference_Data!L105-Dark!L105</f>
        <v>3823</v>
      </c>
      <c r="D109">
        <f>Reference_Data!M105-Dark!M105</f>
        <v>4007</v>
      </c>
      <c r="E109">
        <f>Reference_Data!N105-Dark!N105</f>
        <v>367</v>
      </c>
      <c r="F109">
        <f>Sample_Data!L105-Dark!L105</f>
        <v>3823</v>
      </c>
      <c r="G109">
        <f>Sample_Data!M105-Dark!M105</f>
        <v>4006</v>
      </c>
      <c r="H109">
        <f>Sample_Data!N105-Dark!N105</f>
        <v>306</v>
      </c>
      <c r="I109">
        <f t="shared" si="9"/>
        <v>1144.79375</v>
      </c>
      <c r="J109" s="3">
        <f t="shared" si="11"/>
        <v>1</v>
      </c>
      <c r="K109" s="3">
        <f t="shared" si="12"/>
        <v>0.99975043673571251</v>
      </c>
      <c r="L109" s="3">
        <f t="shared" si="13"/>
        <v>0.83378746594005448</v>
      </c>
      <c r="O109">
        <f>Reference_Data!O105-Dark!O105</f>
        <v>2849</v>
      </c>
      <c r="P109">
        <f>Reference_Data!P105-Dark!P105</f>
        <v>3968</v>
      </c>
      <c r="Q109">
        <f>Reference_Data!Q105-Dark!Q105</f>
        <v>580</v>
      </c>
      <c r="R109">
        <f>Sample_Data!O105-Dark!O105</f>
        <v>2849</v>
      </c>
      <c r="S109">
        <f>Sample_Data!P105-Dark!P105</f>
        <v>3968</v>
      </c>
      <c r="T109">
        <f>Sample_Data!Q105-Dark!Q105</f>
        <v>412</v>
      </c>
      <c r="U109">
        <f t="shared" si="10"/>
        <v>2062.765625</v>
      </c>
      <c r="V109">
        <f t="shared" si="14"/>
        <v>1</v>
      </c>
      <c r="W109">
        <f t="shared" si="15"/>
        <v>1</v>
      </c>
      <c r="X109">
        <f t="shared" si="16"/>
        <v>0.71034482758620687</v>
      </c>
    </row>
    <row r="110" spans="1:24" x14ac:dyDescent="0.35">
      <c r="A110">
        <f t="shared" si="17"/>
        <v>3220</v>
      </c>
      <c r="C110">
        <f>Reference_Data!L106-Dark!L106</f>
        <v>3828</v>
      </c>
      <c r="D110">
        <f>Reference_Data!M106-Dark!M106</f>
        <v>4007</v>
      </c>
      <c r="E110">
        <f>Reference_Data!N106-Dark!N106</f>
        <v>368</v>
      </c>
      <c r="F110">
        <f>Sample_Data!L106-Dark!L106</f>
        <v>3827</v>
      </c>
      <c r="G110">
        <f>Sample_Data!M106-Dark!M106</f>
        <v>4006</v>
      </c>
      <c r="H110">
        <f>Sample_Data!N106-Dark!N106</f>
        <v>308</v>
      </c>
      <c r="I110">
        <f t="shared" si="9"/>
        <v>1148.4124999999999</v>
      </c>
      <c r="J110" s="3">
        <f t="shared" si="11"/>
        <v>0.9997387669801463</v>
      </c>
      <c r="K110" s="3">
        <f t="shared" si="12"/>
        <v>0.99975043673571251</v>
      </c>
      <c r="L110" s="3">
        <f t="shared" si="13"/>
        <v>0.83695652173913049</v>
      </c>
      <c r="O110">
        <f>Reference_Data!O106-Dark!O106</f>
        <v>2841</v>
      </c>
      <c r="P110">
        <f>Reference_Data!P106-Dark!P106</f>
        <v>3969</v>
      </c>
      <c r="Q110">
        <f>Reference_Data!Q106-Dark!Q106</f>
        <v>577</v>
      </c>
      <c r="R110">
        <f>Sample_Data!O106-Dark!O106</f>
        <v>2841</v>
      </c>
      <c r="S110">
        <f>Sample_Data!P106-Dark!P106</f>
        <v>3967</v>
      </c>
      <c r="T110">
        <f>Sample_Data!Q106-Dark!Q106</f>
        <v>408</v>
      </c>
      <c r="U110">
        <f t="shared" si="10"/>
        <v>2069.46875</v>
      </c>
      <c r="V110">
        <f t="shared" si="14"/>
        <v>1</v>
      </c>
      <c r="W110">
        <f t="shared" si="15"/>
        <v>0.99949609473418999</v>
      </c>
      <c r="X110">
        <f t="shared" si="16"/>
        <v>0.70710571923743504</v>
      </c>
    </row>
    <row r="111" spans="1:24" x14ac:dyDescent="0.35">
      <c r="A111">
        <f t="shared" si="17"/>
        <v>3250</v>
      </c>
      <c r="C111">
        <f>Reference_Data!L107-Dark!L107</f>
        <v>3826</v>
      </c>
      <c r="D111">
        <f>Reference_Data!M107-Dark!M107</f>
        <v>4006</v>
      </c>
      <c r="E111">
        <f>Reference_Data!N107-Dark!N107</f>
        <v>372</v>
      </c>
      <c r="F111">
        <f>Sample_Data!L107-Dark!L107</f>
        <v>3826</v>
      </c>
      <c r="G111">
        <f>Sample_Data!M107-Dark!M107</f>
        <v>4007</v>
      </c>
      <c r="H111">
        <f>Sample_Data!N107-Dark!N107</f>
        <v>310</v>
      </c>
      <c r="I111">
        <f t="shared" si="9"/>
        <v>1152.03125</v>
      </c>
      <c r="J111" s="3">
        <f t="shared" si="11"/>
        <v>1</v>
      </c>
      <c r="K111" s="3">
        <f t="shared" si="12"/>
        <v>1.0002496255616575</v>
      </c>
      <c r="L111" s="3">
        <f t="shared" si="13"/>
        <v>0.83333333333333337</v>
      </c>
      <c r="O111">
        <f>Reference_Data!O107-Dark!O107</f>
        <v>2834</v>
      </c>
      <c r="P111">
        <f>Reference_Data!P107-Dark!P107</f>
        <v>3968</v>
      </c>
      <c r="Q111">
        <f>Reference_Data!Q107-Dark!Q107</f>
        <v>576</v>
      </c>
      <c r="R111">
        <f>Sample_Data!O107-Dark!O107</f>
        <v>2834</v>
      </c>
      <c r="S111">
        <f>Sample_Data!P107-Dark!P107</f>
        <v>3968</v>
      </c>
      <c r="T111">
        <f>Sample_Data!Q107-Dark!Q107</f>
        <v>402</v>
      </c>
      <c r="U111">
        <f t="shared" si="10"/>
        <v>2076.171875</v>
      </c>
      <c r="V111">
        <f t="shared" si="14"/>
        <v>1</v>
      </c>
      <c r="W111">
        <f t="shared" si="15"/>
        <v>1</v>
      </c>
      <c r="X111">
        <f t="shared" si="16"/>
        <v>0.69791666666666663</v>
      </c>
    </row>
    <row r="112" spans="1:24" x14ac:dyDescent="0.35">
      <c r="A112">
        <f t="shared" si="17"/>
        <v>3280</v>
      </c>
      <c r="C112">
        <f>Reference_Data!L108-Dark!L108</f>
        <v>3834</v>
      </c>
      <c r="D112">
        <f>Reference_Data!M108-Dark!M108</f>
        <v>4006</v>
      </c>
      <c r="E112">
        <f>Reference_Data!N108-Dark!N108</f>
        <v>378</v>
      </c>
      <c r="F112">
        <f>Sample_Data!L108-Dark!L108</f>
        <v>3834</v>
      </c>
      <c r="G112">
        <f>Sample_Data!M108-Dark!M108</f>
        <v>4007</v>
      </c>
      <c r="H112">
        <f>Sample_Data!N108-Dark!N108</f>
        <v>315</v>
      </c>
      <c r="I112">
        <f t="shared" si="9"/>
        <v>1155.6500000000001</v>
      </c>
      <c r="J112" s="3">
        <f t="shared" si="11"/>
        <v>1</v>
      </c>
      <c r="K112" s="3">
        <f t="shared" si="12"/>
        <v>1.0002496255616575</v>
      </c>
      <c r="L112" s="3">
        <f t="shared" si="13"/>
        <v>0.83333333333333337</v>
      </c>
      <c r="O112">
        <f>Reference_Data!O108-Dark!O108</f>
        <v>2836</v>
      </c>
      <c r="P112">
        <f>Reference_Data!P108-Dark!P108</f>
        <v>3969</v>
      </c>
      <c r="Q112">
        <f>Reference_Data!Q108-Dark!Q108</f>
        <v>573</v>
      </c>
      <c r="R112">
        <f>Sample_Data!O108-Dark!O108</f>
        <v>2836</v>
      </c>
      <c r="S112">
        <f>Sample_Data!P108-Dark!P108</f>
        <v>3968</v>
      </c>
      <c r="T112">
        <f>Sample_Data!Q108-Dark!Q108</f>
        <v>397</v>
      </c>
      <c r="U112">
        <f t="shared" si="10"/>
        <v>2082.875</v>
      </c>
      <c r="V112">
        <f t="shared" si="14"/>
        <v>1</v>
      </c>
      <c r="W112">
        <f t="shared" si="15"/>
        <v>0.99974804736709499</v>
      </c>
      <c r="X112">
        <f t="shared" si="16"/>
        <v>0.6928446771378709</v>
      </c>
    </row>
    <row r="113" spans="1:24" x14ac:dyDescent="0.35">
      <c r="A113">
        <f t="shared" si="17"/>
        <v>3310</v>
      </c>
      <c r="C113">
        <f>Reference_Data!L109-Dark!L109</f>
        <v>3826</v>
      </c>
      <c r="D113">
        <f>Reference_Data!M109-Dark!M109</f>
        <v>4006</v>
      </c>
      <c r="E113">
        <f>Reference_Data!N109-Dark!N109</f>
        <v>381</v>
      </c>
      <c r="F113">
        <f>Sample_Data!L109-Dark!L109</f>
        <v>3826</v>
      </c>
      <c r="G113">
        <f>Sample_Data!M109-Dark!M109</f>
        <v>4007</v>
      </c>
      <c r="H113">
        <f>Sample_Data!N109-Dark!N109</f>
        <v>319</v>
      </c>
      <c r="I113">
        <f t="shared" si="9"/>
        <v>1159.26875</v>
      </c>
      <c r="J113" s="3">
        <f t="shared" si="11"/>
        <v>1</v>
      </c>
      <c r="K113" s="3">
        <f t="shared" si="12"/>
        <v>1.0002496255616575</v>
      </c>
      <c r="L113" s="3">
        <f t="shared" si="13"/>
        <v>0.83727034120734911</v>
      </c>
      <c r="O113">
        <f>Reference_Data!O109-Dark!O109</f>
        <v>2835</v>
      </c>
      <c r="P113">
        <f>Reference_Data!P109-Dark!P109</f>
        <v>3968</v>
      </c>
      <c r="Q113">
        <f>Reference_Data!Q109-Dark!Q109</f>
        <v>572</v>
      </c>
      <c r="R113">
        <f>Sample_Data!O109-Dark!O109</f>
        <v>2835</v>
      </c>
      <c r="S113">
        <f>Sample_Data!P109-Dark!P109</f>
        <v>3969</v>
      </c>
      <c r="T113">
        <f>Sample_Data!Q109-Dark!Q109</f>
        <v>392</v>
      </c>
      <c r="U113">
        <f t="shared" si="10"/>
        <v>2089.578125</v>
      </c>
      <c r="V113">
        <f t="shared" si="14"/>
        <v>1</v>
      </c>
      <c r="W113">
        <f t="shared" si="15"/>
        <v>1.0002520161290323</v>
      </c>
      <c r="X113">
        <f t="shared" si="16"/>
        <v>0.68531468531468531</v>
      </c>
    </row>
    <row r="114" spans="1:24" x14ac:dyDescent="0.35">
      <c r="A114">
        <f t="shared" si="17"/>
        <v>3340</v>
      </c>
      <c r="C114">
        <f>Reference_Data!L110-Dark!L110</f>
        <v>3829</v>
      </c>
      <c r="D114">
        <f>Reference_Data!M110-Dark!M110</f>
        <v>4007</v>
      </c>
      <c r="E114">
        <f>Reference_Data!N110-Dark!N110</f>
        <v>383</v>
      </c>
      <c r="F114">
        <f>Sample_Data!L110-Dark!L110</f>
        <v>3828</v>
      </c>
      <c r="G114">
        <f>Sample_Data!M110-Dark!M110</f>
        <v>4006</v>
      </c>
      <c r="H114">
        <f>Sample_Data!N110-Dark!N110</f>
        <v>321</v>
      </c>
      <c r="I114">
        <f t="shared" si="9"/>
        <v>1162.8875</v>
      </c>
      <c r="J114" s="3">
        <f t="shared" si="11"/>
        <v>0.99973883520501439</v>
      </c>
      <c r="K114" s="3">
        <f t="shared" si="12"/>
        <v>0.99975043673571251</v>
      </c>
      <c r="L114" s="3">
        <f t="shared" si="13"/>
        <v>0.83812010443864227</v>
      </c>
      <c r="O114">
        <f>Reference_Data!O110-Dark!O110</f>
        <v>2838</v>
      </c>
      <c r="P114">
        <f>Reference_Data!P110-Dark!P110</f>
        <v>3968</v>
      </c>
      <c r="Q114">
        <f>Reference_Data!Q110-Dark!Q110</f>
        <v>570</v>
      </c>
      <c r="R114">
        <f>Sample_Data!O110-Dark!O110</f>
        <v>2838</v>
      </c>
      <c r="S114">
        <f>Sample_Data!P110-Dark!P110</f>
        <v>3968</v>
      </c>
      <c r="T114">
        <f>Sample_Data!Q110-Dark!Q110</f>
        <v>387</v>
      </c>
      <c r="U114">
        <f t="shared" si="10"/>
        <v>2096.28125</v>
      </c>
      <c r="V114">
        <f t="shared" si="14"/>
        <v>1</v>
      </c>
      <c r="W114">
        <f t="shared" si="15"/>
        <v>1</v>
      </c>
      <c r="X114">
        <f t="shared" si="16"/>
        <v>0.67894736842105263</v>
      </c>
    </row>
    <row r="115" spans="1:24" x14ac:dyDescent="0.35">
      <c r="A115">
        <f t="shared" si="17"/>
        <v>3370</v>
      </c>
      <c r="C115">
        <f>Reference_Data!L111-Dark!L111</f>
        <v>3834</v>
      </c>
      <c r="D115">
        <f>Reference_Data!M111-Dark!M111</f>
        <v>4007</v>
      </c>
      <c r="E115">
        <f>Reference_Data!N111-Dark!N111</f>
        <v>388</v>
      </c>
      <c r="F115">
        <f>Sample_Data!L111-Dark!L111</f>
        <v>3834</v>
      </c>
      <c r="G115">
        <f>Sample_Data!M111-Dark!M111</f>
        <v>4006</v>
      </c>
      <c r="H115">
        <f>Sample_Data!N111-Dark!N111</f>
        <v>326</v>
      </c>
      <c r="I115">
        <f t="shared" si="9"/>
        <v>1166.5062499999999</v>
      </c>
      <c r="J115" s="3">
        <f t="shared" si="11"/>
        <v>1</v>
      </c>
      <c r="K115" s="3">
        <f t="shared" si="12"/>
        <v>0.99975043673571251</v>
      </c>
      <c r="L115" s="3">
        <f t="shared" si="13"/>
        <v>0.84020618556701032</v>
      </c>
      <c r="O115">
        <f>Reference_Data!O111-Dark!O111</f>
        <v>2837</v>
      </c>
      <c r="P115">
        <f>Reference_Data!P111-Dark!P111</f>
        <v>3968</v>
      </c>
      <c r="Q115">
        <f>Reference_Data!Q111-Dark!Q111</f>
        <v>568</v>
      </c>
      <c r="R115">
        <f>Sample_Data!O111-Dark!O111</f>
        <v>2838</v>
      </c>
      <c r="S115">
        <f>Sample_Data!P111-Dark!P111</f>
        <v>3968</v>
      </c>
      <c r="T115">
        <f>Sample_Data!Q111-Dark!Q111</f>
        <v>381</v>
      </c>
      <c r="U115">
        <f t="shared" si="10"/>
        <v>2102.984375</v>
      </c>
      <c r="V115">
        <f t="shared" si="14"/>
        <v>1.0003524850193868</v>
      </c>
      <c r="W115">
        <f t="shared" si="15"/>
        <v>1</v>
      </c>
      <c r="X115">
        <f t="shared" si="16"/>
        <v>0.67077464788732399</v>
      </c>
    </row>
    <row r="116" spans="1:24" x14ac:dyDescent="0.35">
      <c r="A116">
        <f t="shared" si="17"/>
        <v>3400</v>
      </c>
      <c r="C116">
        <f>Reference_Data!L112-Dark!L112</f>
        <v>3831</v>
      </c>
      <c r="D116">
        <f>Reference_Data!M112-Dark!M112</f>
        <v>4006</v>
      </c>
      <c r="E116">
        <f>Reference_Data!N112-Dark!N112</f>
        <v>390</v>
      </c>
      <c r="F116">
        <f>Sample_Data!L112-Dark!L112</f>
        <v>3832</v>
      </c>
      <c r="G116">
        <f>Sample_Data!M112-Dark!M112</f>
        <v>4006</v>
      </c>
      <c r="H116">
        <f>Sample_Data!N112-Dark!N112</f>
        <v>326</v>
      </c>
      <c r="I116">
        <f t="shared" si="9"/>
        <v>1170.125</v>
      </c>
      <c r="J116" s="3">
        <f t="shared" si="11"/>
        <v>1.0002610284521012</v>
      </c>
      <c r="K116" s="3">
        <f t="shared" si="12"/>
        <v>1</v>
      </c>
      <c r="L116" s="3">
        <f t="shared" si="13"/>
        <v>0.83589743589743593</v>
      </c>
      <c r="O116">
        <f>Reference_Data!O112-Dark!O112</f>
        <v>2841</v>
      </c>
      <c r="P116">
        <f>Reference_Data!P112-Dark!P112</f>
        <v>3969</v>
      </c>
      <c r="Q116">
        <f>Reference_Data!Q112-Dark!Q112</f>
        <v>565</v>
      </c>
      <c r="R116">
        <f>Sample_Data!O112-Dark!O112</f>
        <v>2841</v>
      </c>
      <c r="S116">
        <f>Sample_Data!P112-Dark!P112</f>
        <v>3968</v>
      </c>
      <c r="T116">
        <f>Sample_Data!Q112-Dark!Q112</f>
        <v>375</v>
      </c>
      <c r="U116">
        <f t="shared" si="10"/>
        <v>2109.6875</v>
      </c>
      <c r="V116">
        <f t="shared" si="14"/>
        <v>1</v>
      </c>
      <c r="W116">
        <f t="shared" si="15"/>
        <v>0.99974804736709499</v>
      </c>
      <c r="X116">
        <f t="shared" si="16"/>
        <v>0.66371681415929207</v>
      </c>
    </row>
    <row r="117" spans="1:24" x14ac:dyDescent="0.35">
      <c r="A117">
        <f t="shared" si="17"/>
        <v>3430</v>
      </c>
      <c r="C117">
        <f>Reference_Data!L113-Dark!L113</f>
        <v>3829</v>
      </c>
      <c r="D117">
        <f>Reference_Data!M113-Dark!M113</f>
        <v>4007</v>
      </c>
      <c r="E117">
        <f>Reference_Data!N113-Dark!N113</f>
        <v>395</v>
      </c>
      <c r="F117">
        <f>Sample_Data!L113-Dark!L113</f>
        <v>3828</v>
      </c>
      <c r="G117">
        <f>Sample_Data!M113-Dark!M113</f>
        <v>4006</v>
      </c>
      <c r="H117">
        <f>Sample_Data!N113-Dark!N113</f>
        <v>330</v>
      </c>
      <c r="I117">
        <f t="shared" si="9"/>
        <v>1173.7437500000001</v>
      </c>
      <c r="J117" s="3">
        <f t="shared" si="11"/>
        <v>0.99973883520501439</v>
      </c>
      <c r="K117" s="3">
        <f t="shared" si="12"/>
        <v>0.99975043673571251</v>
      </c>
      <c r="L117" s="3">
        <f t="shared" si="13"/>
        <v>0.83544303797468356</v>
      </c>
      <c r="O117">
        <f>Reference_Data!O113-Dark!O113</f>
        <v>2848</v>
      </c>
      <c r="P117">
        <f>Reference_Data!P113-Dark!P113</f>
        <v>3969</v>
      </c>
      <c r="Q117">
        <f>Reference_Data!Q113-Dark!Q113</f>
        <v>563</v>
      </c>
      <c r="R117">
        <f>Sample_Data!O113-Dark!O113</f>
        <v>2849</v>
      </c>
      <c r="S117">
        <f>Sample_Data!P113-Dark!P113</f>
        <v>3968</v>
      </c>
      <c r="T117">
        <f>Sample_Data!Q113-Dark!Q113</f>
        <v>368</v>
      </c>
      <c r="U117">
        <f t="shared" si="10"/>
        <v>2116.390625</v>
      </c>
      <c r="V117">
        <f t="shared" si="14"/>
        <v>1.0003511235955056</v>
      </c>
      <c r="W117">
        <f t="shared" si="15"/>
        <v>0.99974804736709499</v>
      </c>
      <c r="X117">
        <f t="shared" si="16"/>
        <v>0.65364120781527535</v>
      </c>
    </row>
    <row r="118" spans="1:24" x14ac:dyDescent="0.35">
      <c r="A118">
        <f t="shared" si="17"/>
        <v>3460</v>
      </c>
      <c r="C118">
        <f>Reference_Data!L114-Dark!L114</f>
        <v>3820</v>
      </c>
      <c r="D118">
        <f>Reference_Data!M114-Dark!M114</f>
        <v>4006</v>
      </c>
      <c r="E118">
        <f>Reference_Data!N114-Dark!N114</f>
        <v>397</v>
      </c>
      <c r="F118">
        <f>Sample_Data!L114-Dark!L114</f>
        <v>3820</v>
      </c>
      <c r="G118">
        <f>Sample_Data!M114-Dark!M114</f>
        <v>4007</v>
      </c>
      <c r="H118">
        <f>Sample_Data!N114-Dark!N114</f>
        <v>333</v>
      </c>
      <c r="I118">
        <f t="shared" si="9"/>
        <v>1177.3625</v>
      </c>
      <c r="J118" s="3">
        <f t="shared" si="11"/>
        <v>1</v>
      </c>
      <c r="K118" s="3">
        <f t="shared" si="12"/>
        <v>1.0002496255616575</v>
      </c>
      <c r="L118" s="3">
        <f t="shared" si="13"/>
        <v>0.83879093198992438</v>
      </c>
      <c r="O118">
        <f>Reference_Data!O114-Dark!O114</f>
        <v>2853</v>
      </c>
      <c r="P118">
        <f>Reference_Data!P114-Dark!P114</f>
        <v>3968</v>
      </c>
      <c r="Q118">
        <f>Reference_Data!Q114-Dark!Q114</f>
        <v>561</v>
      </c>
      <c r="R118">
        <f>Sample_Data!O114-Dark!O114</f>
        <v>2853</v>
      </c>
      <c r="S118">
        <f>Sample_Data!P114-Dark!P114</f>
        <v>3969</v>
      </c>
      <c r="T118">
        <f>Sample_Data!Q114-Dark!Q114</f>
        <v>362</v>
      </c>
      <c r="U118">
        <f t="shared" si="10"/>
        <v>2123.09375</v>
      </c>
      <c r="V118">
        <f t="shared" si="14"/>
        <v>1</v>
      </c>
      <c r="W118">
        <f t="shared" si="15"/>
        <v>1.0002520161290323</v>
      </c>
      <c r="X118">
        <f t="shared" si="16"/>
        <v>0.64527629233511585</v>
      </c>
    </row>
    <row r="119" spans="1:24" x14ac:dyDescent="0.35">
      <c r="A119">
        <f t="shared" si="17"/>
        <v>3490</v>
      </c>
      <c r="C119">
        <f>Reference_Data!L115-Dark!L115</f>
        <v>3837</v>
      </c>
      <c r="D119">
        <f>Reference_Data!M115-Dark!M115</f>
        <v>4007</v>
      </c>
      <c r="E119">
        <f>Reference_Data!N115-Dark!N115</f>
        <v>399</v>
      </c>
      <c r="F119">
        <f>Sample_Data!L115-Dark!L115</f>
        <v>3838</v>
      </c>
      <c r="G119">
        <f>Sample_Data!M115-Dark!M115</f>
        <v>4006</v>
      </c>
      <c r="H119">
        <f>Sample_Data!N115-Dark!N115</f>
        <v>335</v>
      </c>
      <c r="I119">
        <f t="shared" si="9"/>
        <v>1180.98125</v>
      </c>
      <c r="J119" s="3">
        <f t="shared" si="11"/>
        <v>1.0002606202762574</v>
      </c>
      <c r="K119" s="3">
        <f t="shared" si="12"/>
        <v>0.99975043673571251</v>
      </c>
      <c r="L119" s="3">
        <f t="shared" si="13"/>
        <v>0.83959899749373434</v>
      </c>
      <c r="O119">
        <f>Reference_Data!O115-Dark!O115</f>
        <v>2860</v>
      </c>
      <c r="P119">
        <f>Reference_Data!P115-Dark!P115</f>
        <v>3968</v>
      </c>
      <c r="Q119">
        <f>Reference_Data!Q115-Dark!Q115</f>
        <v>560</v>
      </c>
      <c r="R119">
        <f>Sample_Data!O115-Dark!O115</f>
        <v>2860</v>
      </c>
      <c r="S119">
        <f>Sample_Data!P115-Dark!P115</f>
        <v>3968</v>
      </c>
      <c r="T119">
        <f>Sample_Data!Q115-Dark!Q115</f>
        <v>356</v>
      </c>
      <c r="U119">
        <f t="shared" si="10"/>
        <v>2129.796875</v>
      </c>
      <c r="V119">
        <f t="shared" si="14"/>
        <v>1</v>
      </c>
      <c r="W119">
        <f t="shared" si="15"/>
        <v>1</v>
      </c>
      <c r="X119">
        <f t="shared" si="16"/>
        <v>0.63571428571428568</v>
      </c>
    </row>
    <row r="120" spans="1:24" x14ac:dyDescent="0.35">
      <c r="A120">
        <f t="shared" si="17"/>
        <v>3520</v>
      </c>
      <c r="C120">
        <f>Reference_Data!L116-Dark!L116</f>
        <v>3829</v>
      </c>
      <c r="D120">
        <f>Reference_Data!M116-Dark!M116</f>
        <v>4007</v>
      </c>
      <c r="E120">
        <f>Reference_Data!N116-Dark!N116</f>
        <v>404</v>
      </c>
      <c r="F120">
        <f>Sample_Data!L116-Dark!L116</f>
        <v>3831</v>
      </c>
      <c r="G120">
        <f>Sample_Data!M116-Dark!M116</f>
        <v>4007</v>
      </c>
      <c r="H120">
        <f>Sample_Data!N116-Dark!N116</f>
        <v>338</v>
      </c>
      <c r="I120">
        <f t="shared" si="9"/>
        <v>1184.5999999999999</v>
      </c>
      <c r="J120" s="3">
        <f t="shared" si="11"/>
        <v>1.0005223295899712</v>
      </c>
      <c r="K120" s="3">
        <f t="shared" si="12"/>
        <v>1</v>
      </c>
      <c r="L120" s="3">
        <f t="shared" si="13"/>
        <v>0.8366336633663366</v>
      </c>
      <c r="O120">
        <f>Reference_Data!O116-Dark!O116</f>
        <v>2871</v>
      </c>
      <c r="P120">
        <f>Reference_Data!P116-Dark!P116</f>
        <v>3970</v>
      </c>
      <c r="Q120">
        <f>Reference_Data!Q116-Dark!Q116</f>
        <v>560</v>
      </c>
      <c r="R120">
        <f>Sample_Data!O116-Dark!O116</f>
        <v>2870</v>
      </c>
      <c r="S120">
        <f>Sample_Data!P116-Dark!P116</f>
        <v>3970</v>
      </c>
      <c r="T120">
        <f>Sample_Data!Q116-Dark!Q116</f>
        <v>349</v>
      </c>
      <c r="U120">
        <f t="shared" si="10"/>
        <v>2136.5</v>
      </c>
      <c r="V120">
        <f t="shared" si="14"/>
        <v>0.99965168930686177</v>
      </c>
      <c r="W120">
        <f t="shared" si="15"/>
        <v>1</v>
      </c>
      <c r="X120">
        <f t="shared" si="16"/>
        <v>0.62321428571428572</v>
      </c>
    </row>
    <row r="121" spans="1:24" x14ac:dyDescent="0.35">
      <c r="A121">
        <f t="shared" si="17"/>
        <v>3550</v>
      </c>
      <c r="C121">
        <f>Reference_Data!L117-Dark!L117</f>
        <v>3828</v>
      </c>
      <c r="D121">
        <f>Reference_Data!M117-Dark!M117</f>
        <v>4007</v>
      </c>
      <c r="E121">
        <f>Reference_Data!N117-Dark!N117</f>
        <v>408</v>
      </c>
      <c r="F121">
        <f>Sample_Data!L117-Dark!L117</f>
        <v>3829</v>
      </c>
      <c r="G121">
        <f>Sample_Data!M117-Dark!M117</f>
        <v>4006</v>
      </c>
      <c r="H121">
        <f>Sample_Data!N117-Dark!N117</f>
        <v>340</v>
      </c>
      <c r="I121">
        <f t="shared" si="9"/>
        <v>1188.21875</v>
      </c>
      <c r="J121" s="3">
        <f t="shared" si="11"/>
        <v>1.0002612330198537</v>
      </c>
      <c r="K121" s="3">
        <f t="shared" si="12"/>
        <v>0.99975043673571251</v>
      </c>
      <c r="L121" s="3">
        <f t="shared" si="13"/>
        <v>0.83333333333333337</v>
      </c>
      <c r="O121">
        <f>Reference_Data!O117-Dark!O117</f>
        <v>2873</v>
      </c>
      <c r="P121">
        <f>Reference_Data!P117-Dark!P117</f>
        <v>3969</v>
      </c>
      <c r="Q121">
        <f>Reference_Data!Q117-Dark!Q117</f>
        <v>560</v>
      </c>
      <c r="R121">
        <f>Sample_Data!O117-Dark!O117</f>
        <v>2872</v>
      </c>
      <c r="S121">
        <f>Sample_Data!P117-Dark!P117</f>
        <v>3969</v>
      </c>
      <c r="T121">
        <f>Sample_Data!Q117-Dark!Q117</f>
        <v>342</v>
      </c>
      <c r="U121">
        <f t="shared" si="10"/>
        <v>2143.203125</v>
      </c>
      <c r="V121">
        <f t="shared" si="14"/>
        <v>0.99965193177862866</v>
      </c>
      <c r="W121">
        <f t="shared" si="15"/>
        <v>1</v>
      </c>
      <c r="X121">
        <f t="shared" si="16"/>
        <v>0.61071428571428577</v>
      </c>
    </row>
    <row r="122" spans="1:24" x14ac:dyDescent="0.35">
      <c r="A122">
        <f t="shared" si="17"/>
        <v>3580</v>
      </c>
      <c r="C122">
        <f>Reference_Data!L118-Dark!L118</f>
        <v>3830</v>
      </c>
      <c r="D122">
        <f>Reference_Data!M118-Dark!M118</f>
        <v>4007</v>
      </c>
      <c r="E122">
        <f>Reference_Data!N118-Dark!N118</f>
        <v>410</v>
      </c>
      <c r="F122">
        <f>Sample_Data!L118-Dark!L118</f>
        <v>3830</v>
      </c>
      <c r="G122">
        <f>Sample_Data!M118-Dark!M118</f>
        <v>4006</v>
      </c>
      <c r="H122">
        <f>Sample_Data!N118-Dark!N118</f>
        <v>343</v>
      </c>
      <c r="I122">
        <f t="shared" si="9"/>
        <v>1191.8375000000001</v>
      </c>
      <c r="J122" s="3">
        <f t="shared" si="11"/>
        <v>1</v>
      </c>
      <c r="K122" s="3">
        <f t="shared" si="12"/>
        <v>0.99975043673571251</v>
      </c>
      <c r="L122" s="3">
        <f t="shared" si="13"/>
        <v>0.8365853658536585</v>
      </c>
      <c r="O122">
        <f>Reference_Data!O118-Dark!O118</f>
        <v>2878</v>
      </c>
      <c r="P122">
        <f>Reference_Data!P118-Dark!P118</f>
        <v>3969</v>
      </c>
      <c r="Q122">
        <f>Reference_Data!Q118-Dark!Q118</f>
        <v>557</v>
      </c>
      <c r="R122">
        <f>Sample_Data!O118-Dark!O118</f>
        <v>2878</v>
      </c>
      <c r="S122">
        <f>Sample_Data!P118-Dark!P118</f>
        <v>3969</v>
      </c>
      <c r="T122">
        <f>Sample_Data!Q118-Dark!Q118</f>
        <v>330</v>
      </c>
      <c r="U122">
        <f t="shared" si="10"/>
        <v>2149.90625</v>
      </c>
      <c r="V122">
        <f t="shared" si="14"/>
        <v>1</v>
      </c>
      <c r="W122">
        <f t="shared" si="15"/>
        <v>1</v>
      </c>
      <c r="X122">
        <f t="shared" si="16"/>
        <v>0.59245960502692996</v>
      </c>
    </row>
    <row r="123" spans="1:24" x14ac:dyDescent="0.35">
      <c r="A123">
        <f t="shared" si="17"/>
        <v>3610</v>
      </c>
      <c r="C123">
        <f>Reference_Data!L119-Dark!L119</f>
        <v>3831</v>
      </c>
      <c r="D123">
        <f>Reference_Data!M119-Dark!M119</f>
        <v>4006</v>
      </c>
      <c r="E123">
        <f>Reference_Data!N119-Dark!N119</f>
        <v>415</v>
      </c>
      <c r="F123">
        <f>Sample_Data!L119-Dark!L119</f>
        <v>3832</v>
      </c>
      <c r="G123">
        <f>Sample_Data!M119-Dark!M119</f>
        <v>4006</v>
      </c>
      <c r="H123">
        <f>Sample_Data!N119-Dark!N119</f>
        <v>346</v>
      </c>
      <c r="I123">
        <f t="shared" si="9"/>
        <v>1195.45625</v>
      </c>
      <c r="J123" s="3">
        <f t="shared" si="11"/>
        <v>1.0002610284521012</v>
      </c>
      <c r="K123" s="3">
        <f t="shared" si="12"/>
        <v>1</v>
      </c>
      <c r="L123" s="3">
        <f t="shared" si="13"/>
        <v>0.83373493975903612</v>
      </c>
      <c r="O123">
        <f>Reference_Data!O119-Dark!O119</f>
        <v>2889</v>
      </c>
      <c r="P123">
        <f>Reference_Data!P119-Dark!P119</f>
        <v>3971</v>
      </c>
      <c r="Q123">
        <f>Reference_Data!Q119-Dark!Q119</f>
        <v>558</v>
      </c>
      <c r="R123">
        <f>Sample_Data!O119-Dark!O119</f>
        <v>2890</v>
      </c>
      <c r="S123">
        <f>Sample_Data!P119-Dark!P119</f>
        <v>3970</v>
      </c>
      <c r="T123">
        <f>Sample_Data!Q119-Dark!Q119</f>
        <v>317</v>
      </c>
      <c r="U123">
        <f t="shared" si="10"/>
        <v>2156.609375</v>
      </c>
      <c r="V123">
        <f t="shared" si="14"/>
        <v>1.0003461405330565</v>
      </c>
      <c r="W123">
        <f t="shared" si="15"/>
        <v>0.99974817426340967</v>
      </c>
      <c r="X123">
        <f t="shared" si="16"/>
        <v>0.56810035842293904</v>
      </c>
    </row>
    <row r="124" spans="1:24" x14ac:dyDescent="0.35">
      <c r="A124">
        <f t="shared" si="17"/>
        <v>3640</v>
      </c>
      <c r="C124">
        <f>Reference_Data!L120-Dark!L120</f>
        <v>3828</v>
      </c>
      <c r="D124">
        <f>Reference_Data!M120-Dark!M120</f>
        <v>4007</v>
      </c>
      <c r="E124">
        <f>Reference_Data!N120-Dark!N120</f>
        <v>419</v>
      </c>
      <c r="F124">
        <f>Sample_Data!L120-Dark!L120</f>
        <v>3828</v>
      </c>
      <c r="G124">
        <f>Sample_Data!M120-Dark!M120</f>
        <v>4006</v>
      </c>
      <c r="H124">
        <f>Sample_Data!N120-Dark!N120</f>
        <v>349</v>
      </c>
      <c r="I124">
        <f t="shared" si="9"/>
        <v>1199.075</v>
      </c>
      <c r="J124" s="3">
        <f t="shared" si="11"/>
        <v>1</v>
      </c>
      <c r="K124" s="3">
        <f t="shared" si="12"/>
        <v>0.99975043673571251</v>
      </c>
      <c r="L124" s="3">
        <f t="shared" si="13"/>
        <v>0.83293556085918852</v>
      </c>
      <c r="O124">
        <f>Reference_Data!O120-Dark!O120</f>
        <v>2893</v>
      </c>
      <c r="P124">
        <f>Reference_Data!P120-Dark!P120</f>
        <v>3970</v>
      </c>
      <c r="Q124">
        <f>Reference_Data!Q120-Dark!Q120</f>
        <v>558</v>
      </c>
      <c r="R124">
        <f>Sample_Data!O120-Dark!O120</f>
        <v>2893</v>
      </c>
      <c r="S124">
        <f>Sample_Data!P120-Dark!P120</f>
        <v>3969</v>
      </c>
      <c r="T124">
        <f>Sample_Data!Q120-Dark!Q120</f>
        <v>299</v>
      </c>
      <c r="U124">
        <f t="shared" si="10"/>
        <v>2163.3125</v>
      </c>
      <c r="V124">
        <f t="shared" si="14"/>
        <v>1</v>
      </c>
      <c r="W124">
        <f t="shared" si="15"/>
        <v>0.99974811083123427</v>
      </c>
      <c r="X124">
        <f t="shared" si="16"/>
        <v>0.53584229390681004</v>
      </c>
    </row>
    <row r="125" spans="1:24" x14ac:dyDescent="0.35">
      <c r="A125">
        <f t="shared" si="17"/>
        <v>3670</v>
      </c>
      <c r="C125">
        <f>Reference_Data!L121-Dark!L121</f>
        <v>3830</v>
      </c>
      <c r="D125">
        <f>Reference_Data!M121-Dark!M121</f>
        <v>4007</v>
      </c>
      <c r="E125">
        <f>Reference_Data!N121-Dark!N121</f>
        <v>424</v>
      </c>
      <c r="F125">
        <f>Sample_Data!L121-Dark!L121</f>
        <v>3831</v>
      </c>
      <c r="G125">
        <f>Sample_Data!M121-Dark!M121</f>
        <v>4007</v>
      </c>
      <c r="H125">
        <f>Sample_Data!N121-Dark!N121</f>
        <v>354</v>
      </c>
      <c r="I125">
        <f t="shared" si="9"/>
        <v>1202.6937499999999</v>
      </c>
      <c r="J125" s="3">
        <f t="shared" si="11"/>
        <v>1.0002610966057441</v>
      </c>
      <c r="K125" s="3">
        <f t="shared" si="12"/>
        <v>1</v>
      </c>
      <c r="L125" s="3">
        <f t="shared" si="13"/>
        <v>0.83490566037735847</v>
      </c>
      <c r="O125">
        <f>Reference_Data!O121-Dark!O121</f>
        <v>2899</v>
      </c>
      <c r="P125">
        <f>Reference_Data!P121-Dark!P121</f>
        <v>3970</v>
      </c>
      <c r="Q125">
        <f>Reference_Data!Q121-Dark!Q121</f>
        <v>556</v>
      </c>
      <c r="R125">
        <f>Sample_Data!O121-Dark!O121</f>
        <v>2898</v>
      </c>
      <c r="S125">
        <f>Sample_Data!P121-Dark!P121</f>
        <v>3968</v>
      </c>
      <c r="T125">
        <f>Sample_Data!Q121-Dark!Q121</f>
        <v>283</v>
      </c>
      <c r="U125">
        <f t="shared" si="10"/>
        <v>2170.015625</v>
      </c>
      <c r="V125">
        <f t="shared" si="14"/>
        <v>0.99965505346671268</v>
      </c>
      <c r="W125">
        <f t="shared" si="15"/>
        <v>0.99949622166246854</v>
      </c>
      <c r="X125">
        <f t="shared" si="16"/>
        <v>0.50899280575539574</v>
      </c>
    </row>
    <row r="126" spans="1:24" x14ac:dyDescent="0.35">
      <c r="A126">
        <f t="shared" si="17"/>
        <v>3700</v>
      </c>
      <c r="C126">
        <f>Reference_Data!L122-Dark!L122</f>
        <v>3827</v>
      </c>
      <c r="D126">
        <f>Reference_Data!M122-Dark!M122</f>
        <v>4007</v>
      </c>
      <c r="E126">
        <f>Reference_Data!N122-Dark!N122</f>
        <v>426</v>
      </c>
      <c r="F126">
        <f>Sample_Data!L122-Dark!L122</f>
        <v>3828</v>
      </c>
      <c r="G126">
        <f>Sample_Data!M122-Dark!M122</f>
        <v>4006</v>
      </c>
      <c r="H126">
        <f>Sample_Data!N122-Dark!N122</f>
        <v>356</v>
      </c>
      <c r="I126">
        <f t="shared" si="9"/>
        <v>1206.3125</v>
      </c>
      <c r="J126" s="3">
        <f t="shared" si="11"/>
        <v>1.0002613012803763</v>
      </c>
      <c r="K126" s="3">
        <f t="shared" si="12"/>
        <v>0.99975043673571251</v>
      </c>
      <c r="L126" s="3">
        <f t="shared" si="13"/>
        <v>0.83568075117370888</v>
      </c>
      <c r="O126">
        <f>Reference_Data!O122-Dark!O122</f>
        <v>2905</v>
      </c>
      <c r="P126">
        <f>Reference_Data!P122-Dark!P122</f>
        <v>3971</v>
      </c>
      <c r="Q126">
        <f>Reference_Data!Q122-Dark!Q122</f>
        <v>555</v>
      </c>
      <c r="R126">
        <f>Sample_Data!O122-Dark!O122</f>
        <v>2904</v>
      </c>
      <c r="S126">
        <f>Sample_Data!P122-Dark!P122</f>
        <v>3966</v>
      </c>
      <c r="T126">
        <f>Sample_Data!Q122-Dark!Q122</f>
        <v>276</v>
      </c>
      <c r="U126">
        <f t="shared" si="10"/>
        <v>2176.71875</v>
      </c>
      <c r="V126">
        <f t="shared" si="14"/>
        <v>0.99965576592082617</v>
      </c>
      <c r="W126">
        <f t="shared" si="15"/>
        <v>0.99874087131704858</v>
      </c>
      <c r="X126">
        <f t="shared" si="16"/>
        <v>0.49729729729729732</v>
      </c>
    </row>
    <row r="127" spans="1:24" x14ac:dyDescent="0.35">
      <c r="A127">
        <f t="shared" si="17"/>
        <v>3730</v>
      </c>
      <c r="C127">
        <f>Reference_Data!L123-Dark!L123</f>
        <v>3833</v>
      </c>
      <c r="D127">
        <f>Reference_Data!M123-Dark!M123</f>
        <v>4006</v>
      </c>
      <c r="E127">
        <f>Reference_Data!N123-Dark!N123</f>
        <v>432</v>
      </c>
      <c r="F127">
        <f>Sample_Data!L123-Dark!L123</f>
        <v>3834</v>
      </c>
      <c r="G127">
        <f>Sample_Data!M123-Dark!M123</f>
        <v>4007</v>
      </c>
      <c r="H127">
        <f>Sample_Data!N123-Dark!N123</f>
        <v>360</v>
      </c>
      <c r="I127">
        <f t="shared" si="9"/>
        <v>1209.9312500000001</v>
      </c>
      <c r="J127" s="3">
        <f t="shared" si="11"/>
        <v>1.0002608922515002</v>
      </c>
      <c r="K127" s="3">
        <f t="shared" si="12"/>
        <v>1.0002496255616575</v>
      </c>
      <c r="L127" s="3">
        <f t="shared" si="13"/>
        <v>0.83333333333333337</v>
      </c>
      <c r="O127">
        <f>Reference_Data!O123-Dark!O123</f>
        <v>2905</v>
      </c>
      <c r="P127">
        <f>Reference_Data!P123-Dark!P123</f>
        <v>3970</v>
      </c>
      <c r="Q127">
        <f>Reference_Data!Q123-Dark!Q123</f>
        <v>553</v>
      </c>
      <c r="R127">
        <f>Sample_Data!O123-Dark!O123</f>
        <v>2906</v>
      </c>
      <c r="S127">
        <f>Sample_Data!P123-Dark!P123</f>
        <v>3966</v>
      </c>
      <c r="T127">
        <f>Sample_Data!Q123-Dark!Q123</f>
        <v>273</v>
      </c>
      <c r="U127">
        <f t="shared" si="10"/>
        <v>2183.421875</v>
      </c>
      <c r="V127">
        <f t="shared" si="14"/>
        <v>1.0003442340791739</v>
      </c>
      <c r="W127">
        <f t="shared" si="15"/>
        <v>0.99899244332493697</v>
      </c>
      <c r="X127">
        <f t="shared" si="16"/>
        <v>0.49367088607594939</v>
      </c>
    </row>
    <row r="128" spans="1:24" x14ac:dyDescent="0.35">
      <c r="A128">
        <f t="shared" si="17"/>
        <v>3760</v>
      </c>
      <c r="C128">
        <f>Reference_Data!L124-Dark!L124</f>
        <v>3832</v>
      </c>
      <c r="D128">
        <f>Reference_Data!M124-Dark!M124</f>
        <v>4006</v>
      </c>
      <c r="E128">
        <f>Reference_Data!N124-Dark!N124</f>
        <v>437</v>
      </c>
      <c r="F128">
        <f>Sample_Data!L124-Dark!L124</f>
        <v>3832</v>
      </c>
      <c r="G128">
        <f>Sample_Data!M124-Dark!M124</f>
        <v>4007</v>
      </c>
      <c r="H128">
        <f>Sample_Data!N124-Dark!N124</f>
        <v>364</v>
      </c>
      <c r="I128">
        <f t="shared" si="9"/>
        <v>1213.55</v>
      </c>
      <c r="J128" s="3">
        <f t="shared" si="11"/>
        <v>1</v>
      </c>
      <c r="K128" s="3">
        <f t="shared" si="12"/>
        <v>1.0002496255616575</v>
      </c>
      <c r="L128" s="3">
        <f t="shared" si="13"/>
        <v>0.83295194508009152</v>
      </c>
      <c r="O128">
        <f>Reference_Data!O124-Dark!O124</f>
        <v>2906</v>
      </c>
      <c r="P128">
        <f>Reference_Data!P124-Dark!P124</f>
        <v>3970</v>
      </c>
      <c r="Q128">
        <f>Reference_Data!Q124-Dark!Q124</f>
        <v>551</v>
      </c>
      <c r="R128">
        <f>Sample_Data!O124-Dark!O124</f>
        <v>2907</v>
      </c>
      <c r="S128">
        <f>Sample_Data!P124-Dark!P124</f>
        <v>3965</v>
      </c>
      <c r="T128">
        <f>Sample_Data!Q124-Dark!Q124</f>
        <v>271</v>
      </c>
      <c r="U128">
        <f t="shared" si="10"/>
        <v>2190.125</v>
      </c>
      <c r="V128">
        <f t="shared" si="14"/>
        <v>1.0003441156228492</v>
      </c>
      <c r="W128">
        <f t="shared" si="15"/>
        <v>0.99874055415617125</v>
      </c>
      <c r="X128">
        <f t="shared" si="16"/>
        <v>0.49183303085299457</v>
      </c>
    </row>
    <row r="129" spans="1:24" x14ac:dyDescent="0.35">
      <c r="A129">
        <f t="shared" si="17"/>
        <v>3790</v>
      </c>
      <c r="C129">
        <f>Reference_Data!L125-Dark!L125</f>
        <v>3834</v>
      </c>
      <c r="D129">
        <f>Reference_Data!M125-Dark!M125</f>
        <v>4006</v>
      </c>
      <c r="E129">
        <f>Reference_Data!N125-Dark!N125</f>
        <v>443</v>
      </c>
      <c r="F129">
        <f>Sample_Data!L125-Dark!L125</f>
        <v>3834</v>
      </c>
      <c r="G129">
        <f>Sample_Data!M125-Dark!M125</f>
        <v>4006</v>
      </c>
      <c r="H129">
        <f>Sample_Data!N125-Dark!N125</f>
        <v>370</v>
      </c>
      <c r="I129">
        <f t="shared" si="9"/>
        <v>1217.16875</v>
      </c>
      <c r="J129" s="3">
        <f t="shared" si="11"/>
        <v>1</v>
      </c>
      <c r="K129" s="3">
        <f t="shared" si="12"/>
        <v>1</v>
      </c>
      <c r="L129" s="3">
        <f t="shared" si="13"/>
        <v>0.83521444695259595</v>
      </c>
      <c r="O129">
        <f>Reference_Data!O125-Dark!O125</f>
        <v>2911</v>
      </c>
      <c r="P129">
        <f>Reference_Data!P125-Dark!P125</f>
        <v>3970</v>
      </c>
      <c r="Q129">
        <f>Reference_Data!Q125-Dark!Q125</f>
        <v>547</v>
      </c>
      <c r="R129">
        <f>Sample_Data!O125-Dark!O125</f>
        <v>2910</v>
      </c>
      <c r="S129">
        <f>Sample_Data!P125-Dark!P125</f>
        <v>3965</v>
      </c>
      <c r="T129">
        <f>Sample_Data!Q125-Dark!Q125</f>
        <v>266</v>
      </c>
      <c r="U129">
        <f t="shared" si="10"/>
        <v>2196.828125</v>
      </c>
      <c r="V129">
        <f t="shared" si="14"/>
        <v>0.99965647543799385</v>
      </c>
      <c r="W129">
        <f t="shared" si="15"/>
        <v>0.99874055415617125</v>
      </c>
      <c r="X129">
        <f t="shared" si="16"/>
        <v>0.48628884826325414</v>
      </c>
    </row>
    <row r="130" spans="1:24" x14ac:dyDescent="0.35">
      <c r="A130">
        <f t="shared" si="17"/>
        <v>3820</v>
      </c>
      <c r="C130">
        <f>Reference_Data!L126-Dark!L126</f>
        <v>3833</v>
      </c>
      <c r="D130">
        <f>Reference_Data!M126-Dark!M126</f>
        <v>4006</v>
      </c>
      <c r="E130">
        <f>Reference_Data!N126-Dark!N126</f>
        <v>449</v>
      </c>
      <c r="F130">
        <f>Sample_Data!L126-Dark!L126</f>
        <v>3832</v>
      </c>
      <c r="G130">
        <f>Sample_Data!M126-Dark!M126</f>
        <v>4006</v>
      </c>
      <c r="H130">
        <f>Sample_Data!N126-Dark!N126</f>
        <v>374</v>
      </c>
      <c r="I130">
        <f t="shared" si="9"/>
        <v>1220.7874999999999</v>
      </c>
      <c r="J130" s="3">
        <f t="shared" si="11"/>
        <v>0.99973910774849983</v>
      </c>
      <c r="K130" s="3">
        <f t="shared" si="12"/>
        <v>1</v>
      </c>
      <c r="L130" s="3">
        <f t="shared" si="13"/>
        <v>0.83296213808463249</v>
      </c>
      <c r="O130">
        <f>Reference_Data!O126-Dark!O126</f>
        <v>2915</v>
      </c>
      <c r="P130">
        <f>Reference_Data!P126-Dark!P126</f>
        <v>3970</v>
      </c>
      <c r="Q130">
        <f>Reference_Data!Q126-Dark!Q126</f>
        <v>546</v>
      </c>
      <c r="R130">
        <f>Sample_Data!O126-Dark!O126</f>
        <v>2916</v>
      </c>
      <c r="S130">
        <f>Sample_Data!P126-Dark!P126</f>
        <v>3962</v>
      </c>
      <c r="T130">
        <f>Sample_Data!Q126-Dark!Q126</f>
        <v>261</v>
      </c>
      <c r="U130">
        <f t="shared" si="10"/>
        <v>2203.53125</v>
      </c>
      <c r="V130">
        <f t="shared" si="14"/>
        <v>1.0003430531732418</v>
      </c>
      <c r="W130">
        <f t="shared" si="15"/>
        <v>0.99798488664987406</v>
      </c>
      <c r="X130">
        <f t="shared" si="16"/>
        <v>0.47802197802197804</v>
      </c>
    </row>
    <row r="131" spans="1:24" x14ac:dyDescent="0.35">
      <c r="A131">
        <f t="shared" si="17"/>
        <v>3850</v>
      </c>
      <c r="C131">
        <f>Reference_Data!L127-Dark!L127</f>
        <v>3834</v>
      </c>
      <c r="D131">
        <f>Reference_Data!M127-Dark!M127</f>
        <v>4007</v>
      </c>
      <c r="E131">
        <f>Reference_Data!N127-Dark!N127</f>
        <v>464</v>
      </c>
      <c r="F131">
        <f>Sample_Data!L127-Dark!L127</f>
        <v>3834</v>
      </c>
      <c r="G131">
        <f>Sample_Data!M127-Dark!M127</f>
        <v>4006</v>
      </c>
      <c r="H131">
        <f>Sample_Data!N127-Dark!N127</f>
        <v>386</v>
      </c>
      <c r="I131">
        <f t="shared" si="9"/>
        <v>1224.40625</v>
      </c>
      <c r="J131" s="3">
        <f t="shared" si="11"/>
        <v>1</v>
      </c>
      <c r="K131" s="3">
        <f t="shared" si="12"/>
        <v>0.99975043673571251</v>
      </c>
      <c r="L131" s="3">
        <f t="shared" si="13"/>
        <v>0.8318965517241379</v>
      </c>
      <c r="O131">
        <f>Reference_Data!O127-Dark!O127</f>
        <v>2914</v>
      </c>
      <c r="P131">
        <f>Reference_Data!P127-Dark!P127</f>
        <v>3970</v>
      </c>
      <c r="Q131">
        <f>Reference_Data!Q127-Dark!Q127</f>
        <v>541</v>
      </c>
      <c r="R131">
        <f>Sample_Data!O127-Dark!O127</f>
        <v>2914</v>
      </c>
      <c r="S131">
        <f>Sample_Data!P127-Dark!P127</f>
        <v>3960</v>
      </c>
      <c r="T131">
        <f>Sample_Data!Q127-Dark!Q127</f>
        <v>253</v>
      </c>
      <c r="U131">
        <f t="shared" si="10"/>
        <v>2210.234375</v>
      </c>
      <c r="V131">
        <f t="shared" si="14"/>
        <v>1</v>
      </c>
      <c r="W131">
        <f t="shared" si="15"/>
        <v>0.9974811083123426</v>
      </c>
      <c r="X131">
        <f t="shared" si="16"/>
        <v>0.46765249537892789</v>
      </c>
    </row>
    <row r="132" spans="1:24" x14ac:dyDescent="0.35">
      <c r="A132">
        <f t="shared" si="17"/>
        <v>3880</v>
      </c>
      <c r="C132">
        <f>Reference_Data!L128-Dark!L128</f>
        <v>3831</v>
      </c>
      <c r="D132">
        <f>Reference_Data!M128-Dark!M128</f>
        <v>4006</v>
      </c>
      <c r="E132">
        <f>Reference_Data!N128-Dark!N128</f>
        <v>496</v>
      </c>
      <c r="F132">
        <f>Sample_Data!L128-Dark!L128</f>
        <v>3832</v>
      </c>
      <c r="G132">
        <f>Sample_Data!M128-Dark!M128</f>
        <v>4007</v>
      </c>
      <c r="H132">
        <f>Sample_Data!N128-Dark!N128</f>
        <v>410</v>
      </c>
      <c r="I132">
        <f t="shared" si="9"/>
        <v>1228.0250000000001</v>
      </c>
      <c r="J132" s="3">
        <f t="shared" si="11"/>
        <v>1.0002610284521012</v>
      </c>
      <c r="K132" s="3">
        <f t="shared" si="12"/>
        <v>1.0002496255616575</v>
      </c>
      <c r="L132" s="3">
        <f t="shared" si="13"/>
        <v>0.82661290322580649</v>
      </c>
      <c r="O132">
        <f>Reference_Data!O128-Dark!O128</f>
        <v>2912</v>
      </c>
      <c r="P132">
        <f>Reference_Data!P128-Dark!P128</f>
        <v>3970</v>
      </c>
      <c r="Q132">
        <f>Reference_Data!Q128-Dark!Q128</f>
        <v>539</v>
      </c>
      <c r="R132">
        <f>Sample_Data!O128-Dark!O128</f>
        <v>2912</v>
      </c>
      <c r="S132">
        <f>Sample_Data!P128-Dark!P128</f>
        <v>3958</v>
      </c>
      <c r="T132">
        <f>Sample_Data!Q128-Dark!Q128</f>
        <v>248</v>
      </c>
      <c r="U132">
        <f t="shared" si="10"/>
        <v>2216.9375</v>
      </c>
      <c r="V132">
        <f t="shared" si="14"/>
        <v>1</v>
      </c>
      <c r="W132">
        <f t="shared" si="15"/>
        <v>0.99697732997481103</v>
      </c>
      <c r="X132">
        <f t="shared" si="16"/>
        <v>0.46011131725417442</v>
      </c>
    </row>
    <row r="133" spans="1:24" x14ac:dyDescent="0.35">
      <c r="A133">
        <f t="shared" si="17"/>
        <v>3910</v>
      </c>
      <c r="C133">
        <f>Reference_Data!L129-Dark!L129</f>
        <v>3834</v>
      </c>
      <c r="D133">
        <f>Reference_Data!M129-Dark!M129</f>
        <v>4006</v>
      </c>
      <c r="E133">
        <f>Reference_Data!N129-Dark!N129</f>
        <v>561</v>
      </c>
      <c r="F133">
        <f>Sample_Data!L129-Dark!L129</f>
        <v>3834</v>
      </c>
      <c r="G133">
        <f>Sample_Data!M129-Dark!M129</f>
        <v>4006</v>
      </c>
      <c r="H133">
        <f>Sample_Data!N129-Dark!N129</f>
        <v>463</v>
      </c>
      <c r="I133">
        <f t="shared" si="9"/>
        <v>1231.64375</v>
      </c>
      <c r="J133" s="3">
        <f t="shared" si="11"/>
        <v>1</v>
      </c>
      <c r="K133" s="3">
        <f t="shared" si="12"/>
        <v>1</v>
      </c>
      <c r="L133" s="3">
        <f t="shared" si="13"/>
        <v>0.82531194295900179</v>
      </c>
      <c r="O133">
        <f>Reference_Data!O129-Dark!O129</f>
        <v>2915</v>
      </c>
      <c r="P133">
        <f>Reference_Data!P129-Dark!P129</f>
        <v>3970</v>
      </c>
      <c r="Q133">
        <f>Reference_Data!Q129-Dark!Q129</f>
        <v>536</v>
      </c>
      <c r="R133">
        <f>Sample_Data!O129-Dark!O129</f>
        <v>2916</v>
      </c>
      <c r="S133">
        <f>Sample_Data!P129-Dark!P129</f>
        <v>3960</v>
      </c>
      <c r="T133">
        <f>Sample_Data!Q129-Dark!Q129</f>
        <v>253</v>
      </c>
      <c r="U133">
        <f t="shared" si="10"/>
        <v>2223.640625</v>
      </c>
      <c r="V133">
        <f t="shared" si="14"/>
        <v>1.0003430531732418</v>
      </c>
      <c r="W133">
        <f t="shared" si="15"/>
        <v>0.9974811083123426</v>
      </c>
      <c r="X133">
        <f t="shared" si="16"/>
        <v>0.47201492537313433</v>
      </c>
    </row>
    <row r="134" spans="1:24" x14ac:dyDescent="0.35">
      <c r="A134">
        <f t="shared" si="17"/>
        <v>3940</v>
      </c>
      <c r="C134">
        <f>Reference_Data!L130-Dark!L130</f>
        <v>3824</v>
      </c>
      <c r="D134">
        <f>Reference_Data!M130-Dark!M130</f>
        <v>4006</v>
      </c>
      <c r="E134">
        <f>Reference_Data!N130-Dark!N130</f>
        <v>577</v>
      </c>
      <c r="F134">
        <f>Sample_Data!L130-Dark!L130</f>
        <v>3825</v>
      </c>
      <c r="G134">
        <f>Sample_Data!M130-Dark!M130</f>
        <v>4006</v>
      </c>
      <c r="H134">
        <f>Sample_Data!N130-Dark!N130</f>
        <v>476</v>
      </c>
      <c r="I134">
        <f t="shared" ref="I134:I197" si="18">$I$3*(A134/320)+$I$2</f>
        <v>1235.2625</v>
      </c>
      <c r="J134" s="3">
        <f t="shared" si="11"/>
        <v>1.0002615062761506</v>
      </c>
      <c r="K134" s="3">
        <f t="shared" si="12"/>
        <v>1</v>
      </c>
      <c r="L134" s="3">
        <f t="shared" si="13"/>
        <v>0.82495667244367421</v>
      </c>
      <c r="O134">
        <f>Reference_Data!O130-Dark!O130</f>
        <v>2912</v>
      </c>
      <c r="P134">
        <f>Reference_Data!P130-Dark!P130</f>
        <v>3970</v>
      </c>
      <c r="Q134">
        <f>Reference_Data!Q130-Dark!Q130</f>
        <v>534</v>
      </c>
      <c r="R134">
        <f>Sample_Data!O130-Dark!O130</f>
        <v>2912</v>
      </c>
      <c r="S134">
        <f>Sample_Data!P130-Dark!P130</f>
        <v>3965</v>
      </c>
      <c r="T134">
        <f>Sample_Data!Q130-Dark!Q130</f>
        <v>267</v>
      </c>
      <c r="U134">
        <f t="shared" ref="U134:U197" si="19">$U$3*(A134/320)+$U$2</f>
        <v>2230.34375</v>
      </c>
      <c r="V134">
        <f t="shared" si="14"/>
        <v>1</v>
      </c>
      <c r="W134">
        <f t="shared" si="15"/>
        <v>0.99874055415617125</v>
      </c>
      <c r="X134">
        <f t="shared" si="16"/>
        <v>0.5</v>
      </c>
    </row>
    <row r="135" spans="1:24" x14ac:dyDescent="0.35">
      <c r="A135">
        <f t="shared" si="17"/>
        <v>3970</v>
      </c>
      <c r="C135">
        <f>Reference_Data!L131-Dark!L131</f>
        <v>3826</v>
      </c>
      <c r="D135">
        <f>Reference_Data!M131-Dark!M131</f>
        <v>4005</v>
      </c>
      <c r="E135">
        <f>Reference_Data!N131-Dark!N131</f>
        <v>544</v>
      </c>
      <c r="F135">
        <f>Sample_Data!L131-Dark!L131</f>
        <v>3825</v>
      </c>
      <c r="G135">
        <f>Sample_Data!M131-Dark!M131</f>
        <v>4006</v>
      </c>
      <c r="H135">
        <f>Sample_Data!N131-Dark!N131</f>
        <v>449</v>
      </c>
      <c r="I135">
        <f t="shared" si="18"/>
        <v>1238.8812499999999</v>
      </c>
      <c r="J135" s="3">
        <f t="shared" ref="J135:J198" si="20">F135/C135</f>
        <v>0.99973863042341871</v>
      </c>
      <c r="K135" s="3">
        <f t="shared" ref="K135:K198" si="21">G135/D135</f>
        <v>1.0002496878901372</v>
      </c>
      <c r="L135" s="3">
        <f t="shared" ref="L135:L198" si="22">H135/E135</f>
        <v>0.82536764705882348</v>
      </c>
      <c r="O135">
        <f>Reference_Data!O131-Dark!O131</f>
        <v>2914</v>
      </c>
      <c r="P135">
        <f>Reference_Data!P131-Dark!P131</f>
        <v>3970</v>
      </c>
      <c r="Q135">
        <f>Reference_Data!Q131-Dark!Q131</f>
        <v>529</v>
      </c>
      <c r="R135">
        <f>Sample_Data!O131-Dark!O131</f>
        <v>2914</v>
      </c>
      <c r="S135">
        <f>Sample_Data!P131-Dark!P131</f>
        <v>3968</v>
      </c>
      <c r="T135">
        <f>Sample_Data!Q131-Dark!Q131</f>
        <v>281</v>
      </c>
      <c r="U135">
        <f t="shared" si="19"/>
        <v>2237.046875</v>
      </c>
      <c r="V135">
        <f t="shared" ref="V135:V198" si="23">R135/O135</f>
        <v>1</v>
      </c>
      <c r="W135">
        <f t="shared" ref="W135:W198" si="24">S135/P135</f>
        <v>0.99949622166246854</v>
      </c>
      <c r="X135">
        <f t="shared" ref="X135:X198" si="25">T135/Q135</f>
        <v>0.5311909262759924</v>
      </c>
    </row>
    <row r="136" spans="1:24" x14ac:dyDescent="0.35">
      <c r="A136">
        <f t="shared" si="17"/>
        <v>4000</v>
      </c>
      <c r="C136">
        <f>Reference_Data!L132-Dark!L132</f>
        <v>3826</v>
      </c>
      <c r="D136">
        <f>Reference_Data!M132-Dark!M132</f>
        <v>4006</v>
      </c>
      <c r="E136">
        <f>Reference_Data!N132-Dark!N132</f>
        <v>485</v>
      </c>
      <c r="F136">
        <f>Sample_Data!L132-Dark!L132</f>
        <v>3827</v>
      </c>
      <c r="G136">
        <f>Sample_Data!M132-Dark!M132</f>
        <v>4006</v>
      </c>
      <c r="H136">
        <f>Sample_Data!N132-Dark!N132</f>
        <v>401</v>
      </c>
      <c r="I136">
        <f t="shared" si="18"/>
        <v>1242.5</v>
      </c>
      <c r="J136" s="3">
        <f t="shared" si="20"/>
        <v>1.0002613695765812</v>
      </c>
      <c r="K136" s="3">
        <f t="shared" si="21"/>
        <v>1</v>
      </c>
      <c r="L136" s="3">
        <f t="shared" si="22"/>
        <v>0.82680412371134016</v>
      </c>
      <c r="O136">
        <f>Reference_Data!O132-Dark!O132</f>
        <v>2909</v>
      </c>
      <c r="P136">
        <f>Reference_Data!P132-Dark!P132</f>
        <v>3970</v>
      </c>
      <c r="Q136">
        <f>Reference_Data!Q132-Dark!Q132</f>
        <v>528</v>
      </c>
      <c r="R136">
        <f>Sample_Data!O132-Dark!O132</f>
        <v>2909</v>
      </c>
      <c r="S136">
        <f>Sample_Data!P132-Dark!P132</f>
        <v>3969</v>
      </c>
      <c r="T136">
        <f>Sample_Data!Q132-Dark!Q132</f>
        <v>290</v>
      </c>
      <c r="U136">
        <f t="shared" si="19"/>
        <v>2243.75</v>
      </c>
      <c r="V136">
        <f t="shared" si="23"/>
        <v>1</v>
      </c>
      <c r="W136">
        <f t="shared" si="24"/>
        <v>0.99974811083123427</v>
      </c>
      <c r="X136">
        <f t="shared" si="25"/>
        <v>0.5492424242424242</v>
      </c>
    </row>
    <row r="137" spans="1:24" x14ac:dyDescent="0.35">
      <c r="A137">
        <f t="shared" ref="A137:A200" si="26">A136+30</f>
        <v>4030</v>
      </c>
      <c r="C137">
        <f>Reference_Data!L133-Dark!L133</f>
        <v>3828</v>
      </c>
      <c r="D137">
        <f>Reference_Data!M133-Dark!M133</f>
        <v>4007</v>
      </c>
      <c r="E137">
        <f>Reference_Data!N133-Dark!N133</f>
        <v>486</v>
      </c>
      <c r="F137">
        <f>Sample_Data!L133-Dark!L133</f>
        <v>3827</v>
      </c>
      <c r="G137">
        <f>Sample_Data!M133-Dark!M133</f>
        <v>4007</v>
      </c>
      <c r="H137">
        <f>Sample_Data!N133-Dark!N133</f>
        <v>400</v>
      </c>
      <c r="I137">
        <f t="shared" si="18"/>
        <v>1246.1187500000001</v>
      </c>
      <c r="J137" s="3">
        <f t="shared" si="20"/>
        <v>0.9997387669801463</v>
      </c>
      <c r="K137" s="3">
        <f t="shared" si="21"/>
        <v>1</v>
      </c>
      <c r="L137" s="3">
        <f t="shared" si="22"/>
        <v>0.82304526748971196</v>
      </c>
      <c r="O137">
        <f>Reference_Data!O133-Dark!O133</f>
        <v>2907</v>
      </c>
      <c r="P137">
        <f>Reference_Data!P133-Dark!P133</f>
        <v>3970</v>
      </c>
      <c r="Q137">
        <f>Reference_Data!Q133-Dark!Q133</f>
        <v>526</v>
      </c>
      <c r="R137">
        <f>Sample_Data!O133-Dark!O133</f>
        <v>2907</v>
      </c>
      <c r="S137">
        <f>Sample_Data!P133-Dark!P133</f>
        <v>3970</v>
      </c>
      <c r="T137">
        <f>Sample_Data!Q133-Dark!Q133</f>
        <v>291</v>
      </c>
      <c r="U137">
        <f t="shared" si="19"/>
        <v>2250.453125</v>
      </c>
      <c r="V137">
        <f t="shared" si="23"/>
        <v>1</v>
      </c>
      <c r="W137">
        <f t="shared" si="24"/>
        <v>1</v>
      </c>
      <c r="X137">
        <f t="shared" si="25"/>
        <v>0.55323193916349811</v>
      </c>
    </row>
    <row r="138" spans="1:24" x14ac:dyDescent="0.35">
      <c r="A138">
        <f t="shared" si="26"/>
        <v>4060</v>
      </c>
      <c r="C138">
        <f>Reference_Data!L134-Dark!L134</f>
        <v>3834</v>
      </c>
      <c r="D138">
        <f>Reference_Data!M134-Dark!M134</f>
        <v>4007</v>
      </c>
      <c r="E138">
        <f>Reference_Data!N134-Dark!N134</f>
        <v>488</v>
      </c>
      <c r="F138">
        <f>Sample_Data!L134-Dark!L134</f>
        <v>3834</v>
      </c>
      <c r="G138">
        <f>Sample_Data!M134-Dark!M134</f>
        <v>4006</v>
      </c>
      <c r="H138">
        <f>Sample_Data!N134-Dark!N134</f>
        <v>402</v>
      </c>
      <c r="I138">
        <f t="shared" si="18"/>
        <v>1249.7375</v>
      </c>
      <c r="J138" s="3">
        <f t="shared" si="20"/>
        <v>1</v>
      </c>
      <c r="K138" s="3">
        <f t="shared" si="21"/>
        <v>0.99975043673571251</v>
      </c>
      <c r="L138" s="3">
        <f t="shared" si="22"/>
        <v>0.82377049180327866</v>
      </c>
      <c r="O138">
        <f>Reference_Data!O134-Dark!O134</f>
        <v>2905</v>
      </c>
      <c r="P138">
        <f>Reference_Data!P134-Dark!P134</f>
        <v>3972</v>
      </c>
      <c r="Q138">
        <f>Reference_Data!Q134-Dark!Q134</f>
        <v>523</v>
      </c>
      <c r="R138">
        <f>Sample_Data!O134-Dark!O134</f>
        <v>2905</v>
      </c>
      <c r="S138">
        <f>Sample_Data!P134-Dark!P134</f>
        <v>3972</v>
      </c>
      <c r="T138">
        <f>Sample_Data!Q134-Dark!Q134</f>
        <v>289</v>
      </c>
      <c r="U138">
        <f t="shared" si="19"/>
        <v>2257.15625</v>
      </c>
      <c r="V138">
        <f t="shared" si="23"/>
        <v>1</v>
      </c>
      <c r="W138">
        <f t="shared" si="24"/>
        <v>1</v>
      </c>
      <c r="X138">
        <f t="shared" si="25"/>
        <v>0.55258126195028678</v>
      </c>
    </row>
    <row r="139" spans="1:24" x14ac:dyDescent="0.35">
      <c r="A139">
        <f t="shared" si="26"/>
        <v>4090</v>
      </c>
      <c r="C139">
        <f>Reference_Data!L135-Dark!L135</f>
        <v>3830</v>
      </c>
      <c r="D139">
        <f>Reference_Data!M135-Dark!M135</f>
        <v>4006</v>
      </c>
      <c r="E139">
        <f>Reference_Data!N135-Dark!N135</f>
        <v>492</v>
      </c>
      <c r="F139">
        <f>Sample_Data!L135-Dark!L135</f>
        <v>3829</v>
      </c>
      <c r="G139">
        <f>Sample_Data!M135-Dark!M135</f>
        <v>4007</v>
      </c>
      <c r="H139">
        <f>Sample_Data!N135-Dark!N135</f>
        <v>405</v>
      </c>
      <c r="I139">
        <f t="shared" si="18"/>
        <v>1253.35625</v>
      </c>
      <c r="J139" s="3">
        <f t="shared" si="20"/>
        <v>0.99973890339425586</v>
      </c>
      <c r="K139" s="3">
        <f t="shared" si="21"/>
        <v>1.0002496255616575</v>
      </c>
      <c r="L139" s="3">
        <f t="shared" si="22"/>
        <v>0.82317073170731703</v>
      </c>
      <c r="O139">
        <f>Reference_Data!O135-Dark!O135</f>
        <v>2905</v>
      </c>
      <c r="P139">
        <f>Reference_Data!P135-Dark!P135</f>
        <v>3970</v>
      </c>
      <c r="Q139">
        <f>Reference_Data!Q135-Dark!Q135</f>
        <v>521</v>
      </c>
      <c r="R139">
        <f>Sample_Data!O135-Dark!O135</f>
        <v>2906</v>
      </c>
      <c r="S139">
        <f>Sample_Data!P135-Dark!P135</f>
        <v>3969</v>
      </c>
      <c r="T139">
        <f>Sample_Data!Q135-Dark!Q135</f>
        <v>289</v>
      </c>
      <c r="U139">
        <f t="shared" si="19"/>
        <v>2263.859375</v>
      </c>
      <c r="V139">
        <f t="shared" si="23"/>
        <v>1.0003442340791739</v>
      </c>
      <c r="W139">
        <f t="shared" si="24"/>
        <v>0.99974811083123427</v>
      </c>
      <c r="X139">
        <f t="shared" si="25"/>
        <v>0.55470249520153547</v>
      </c>
    </row>
    <row r="140" spans="1:24" x14ac:dyDescent="0.35">
      <c r="A140">
        <f t="shared" si="26"/>
        <v>4120</v>
      </c>
      <c r="C140">
        <f>Reference_Data!L136-Dark!L136</f>
        <v>3827</v>
      </c>
      <c r="D140">
        <f>Reference_Data!M136-Dark!M136</f>
        <v>4006</v>
      </c>
      <c r="E140">
        <f>Reference_Data!N136-Dark!N136</f>
        <v>495</v>
      </c>
      <c r="F140">
        <f>Sample_Data!L136-Dark!L136</f>
        <v>3827</v>
      </c>
      <c r="G140">
        <f>Sample_Data!M136-Dark!M136</f>
        <v>4006</v>
      </c>
      <c r="H140">
        <f>Sample_Data!N136-Dark!N136</f>
        <v>408</v>
      </c>
      <c r="I140">
        <f t="shared" si="18"/>
        <v>1256.9749999999999</v>
      </c>
      <c r="J140" s="3">
        <f t="shared" si="20"/>
        <v>1</v>
      </c>
      <c r="K140" s="3">
        <f t="shared" si="21"/>
        <v>1</v>
      </c>
      <c r="L140" s="3">
        <f t="shared" si="22"/>
        <v>0.82424242424242422</v>
      </c>
      <c r="O140">
        <f>Reference_Data!O136-Dark!O136</f>
        <v>2902</v>
      </c>
      <c r="P140">
        <f>Reference_Data!P136-Dark!P136</f>
        <v>3969</v>
      </c>
      <c r="Q140">
        <f>Reference_Data!Q136-Dark!Q136</f>
        <v>520</v>
      </c>
      <c r="R140">
        <f>Sample_Data!O136-Dark!O136</f>
        <v>2901</v>
      </c>
      <c r="S140">
        <f>Sample_Data!P136-Dark!P136</f>
        <v>3968</v>
      </c>
      <c r="T140">
        <f>Sample_Data!Q136-Dark!Q136</f>
        <v>285</v>
      </c>
      <c r="U140">
        <f t="shared" si="19"/>
        <v>2270.5625</v>
      </c>
      <c r="V140">
        <f t="shared" si="23"/>
        <v>0.99965541006202618</v>
      </c>
      <c r="W140">
        <f t="shared" si="24"/>
        <v>0.99974804736709499</v>
      </c>
      <c r="X140">
        <f t="shared" si="25"/>
        <v>0.54807692307692313</v>
      </c>
    </row>
    <row r="141" spans="1:24" x14ac:dyDescent="0.35">
      <c r="A141">
        <f t="shared" si="26"/>
        <v>4150</v>
      </c>
      <c r="C141">
        <f>Reference_Data!L137-Dark!L137</f>
        <v>3831</v>
      </c>
      <c r="D141">
        <f>Reference_Data!M137-Dark!M137</f>
        <v>4006</v>
      </c>
      <c r="E141">
        <f>Reference_Data!N137-Dark!N137</f>
        <v>502</v>
      </c>
      <c r="F141">
        <f>Sample_Data!L137-Dark!L137</f>
        <v>3831</v>
      </c>
      <c r="G141">
        <f>Sample_Data!M137-Dark!M137</f>
        <v>4006</v>
      </c>
      <c r="H141">
        <f>Sample_Data!N137-Dark!N137</f>
        <v>415</v>
      </c>
      <c r="I141">
        <f t="shared" si="18"/>
        <v>1260.59375</v>
      </c>
      <c r="J141" s="3">
        <f t="shared" si="20"/>
        <v>1</v>
      </c>
      <c r="K141" s="3">
        <f t="shared" si="21"/>
        <v>1</v>
      </c>
      <c r="L141" s="3">
        <f t="shared" si="22"/>
        <v>0.82669322709163351</v>
      </c>
      <c r="O141">
        <f>Reference_Data!O137-Dark!O137</f>
        <v>2899</v>
      </c>
      <c r="P141">
        <f>Reference_Data!P137-Dark!P137</f>
        <v>3970</v>
      </c>
      <c r="Q141">
        <f>Reference_Data!Q137-Dark!Q137</f>
        <v>517</v>
      </c>
      <c r="R141">
        <f>Sample_Data!O137-Dark!O137</f>
        <v>2899</v>
      </c>
      <c r="S141">
        <f>Sample_Data!P137-Dark!P137</f>
        <v>3968</v>
      </c>
      <c r="T141">
        <f>Sample_Data!Q137-Dark!Q137</f>
        <v>280</v>
      </c>
      <c r="U141">
        <f t="shared" si="19"/>
        <v>2277.265625</v>
      </c>
      <c r="V141">
        <f t="shared" si="23"/>
        <v>1</v>
      </c>
      <c r="W141">
        <f t="shared" si="24"/>
        <v>0.99949622166246854</v>
      </c>
      <c r="X141">
        <f t="shared" si="25"/>
        <v>0.5415860735009671</v>
      </c>
    </row>
    <row r="142" spans="1:24" x14ac:dyDescent="0.35">
      <c r="A142">
        <f t="shared" si="26"/>
        <v>4180</v>
      </c>
      <c r="C142">
        <f>Reference_Data!L138-Dark!L138</f>
        <v>3832</v>
      </c>
      <c r="D142">
        <f>Reference_Data!M138-Dark!M138</f>
        <v>4007</v>
      </c>
      <c r="E142">
        <f>Reference_Data!N138-Dark!N138</f>
        <v>503</v>
      </c>
      <c r="F142">
        <f>Sample_Data!L138-Dark!L138</f>
        <v>3832</v>
      </c>
      <c r="G142">
        <f>Sample_Data!M138-Dark!M138</f>
        <v>4007</v>
      </c>
      <c r="H142">
        <f>Sample_Data!N138-Dark!N138</f>
        <v>418</v>
      </c>
      <c r="I142">
        <f t="shared" si="18"/>
        <v>1264.2125000000001</v>
      </c>
      <c r="J142" s="3">
        <f t="shared" si="20"/>
        <v>1</v>
      </c>
      <c r="K142" s="3">
        <f t="shared" si="21"/>
        <v>1</v>
      </c>
      <c r="L142" s="3">
        <f t="shared" si="22"/>
        <v>0.83101391650099399</v>
      </c>
      <c r="O142">
        <f>Reference_Data!O138-Dark!O138</f>
        <v>2896</v>
      </c>
      <c r="P142">
        <f>Reference_Data!P138-Dark!P138</f>
        <v>3970</v>
      </c>
      <c r="Q142">
        <f>Reference_Data!Q138-Dark!Q138</f>
        <v>517</v>
      </c>
      <c r="R142">
        <f>Sample_Data!O138-Dark!O138</f>
        <v>2896</v>
      </c>
      <c r="S142">
        <f>Sample_Data!P138-Dark!P138</f>
        <v>3968</v>
      </c>
      <c r="T142">
        <f>Sample_Data!Q138-Dark!Q138</f>
        <v>278</v>
      </c>
      <c r="U142">
        <f t="shared" si="19"/>
        <v>2283.96875</v>
      </c>
      <c r="V142">
        <f t="shared" si="23"/>
        <v>1</v>
      </c>
      <c r="W142">
        <f t="shared" si="24"/>
        <v>0.99949622166246854</v>
      </c>
      <c r="X142">
        <f t="shared" si="25"/>
        <v>0.53771760154738879</v>
      </c>
    </row>
    <row r="143" spans="1:24" x14ac:dyDescent="0.35">
      <c r="A143">
        <f t="shared" si="26"/>
        <v>4210</v>
      </c>
      <c r="C143">
        <f>Reference_Data!L139-Dark!L139</f>
        <v>3831</v>
      </c>
      <c r="D143">
        <f>Reference_Data!M139-Dark!M139</f>
        <v>4009</v>
      </c>
      <c r="E143">
        <f>Reference_Data!N139-Dark!N139</f>
        <v>506</v>
      </c>
      <c r="F143">
        <f>Sample_Data!L139-Dark!L139</f>
        <v>3831</v>
      </c>
      <c r="G143">
        <f>Sample_Data!M139-Dark!M139</f>
        <v>4009</v>
      </c>
      <c r="H143">
        <f>Sample_Data!N139-Dark!N139</f>
        <v>421</v>
      </c>
      <c r="I143">
        <f t="shared" si="18"/>
        <v>1267.83125</v>
      </c>
      <c r="J143" s="3">
        <f t="shared" si="20"/>
        <v>1</v>
      </c>
      <c r="K143" s="3">
        <f t="shared" si="21"/>
        <v>1</v>
      </c>
      <c r="L143" s="3">
        <f t="shared" si="22"/>
        <v>0.83201581027667981</v>
      </c>
      <c r="O143">
        <f>Reference_Data!O139-Dark!O139</f>
        <v>2895</v>
      </c>
      <c r="P143">
        <f>Reference_Data!P139-Dark!P139</f>
        <v>3969</v>
      </c>
      <c r="Q143">
        <f>Reference_Data!Q139-Dark!Q139</f>
        <v>513</v>
      </c>
      <c r="R143">
        <f>Sample_Data!O139-Dark!O139</f>
        <v>2895</v>
      </c>
      <c r="S143">
        <f>Sample_Data!P139-Dark!P139</f>
        <v>3965</v>
      </c>
      <c r="T143">
        <f>Sample_Data!Q139-Dark!Q139</f>
        <v>273</v>
      </c>
      <c r="U143">
        <f t="shared" si="19"/>
        <v>2290.671875</v>
      </c>
      <c r="V143">
        <f t="shared" si="23"/>
        <v>1</v>
      </c>
      <c r="W143">
        <f t="shared" si="24"/>
        <v>0.99899218946837998</v>
      </c>
      <c r="X143">
        <f t="shared" si="25"/>
        <v>0.53216374269005851</v>
      </c>
    </row>
    <row r="144" spans="1:24" x14ac:dyDescent="0.35">
      <c r="A144">
        <f t="shared" si="26"/>
        <v>4240</v>
      </c>
      <c r="C144">
        <f>Reference_Data!L140-Dark!L140</f>
        <v>3833</v>
      </c>
      <c r="D144">
        <f>Reference_Data!M140-Dark!M140</f>
        <v>4007</v>
      </c>
      <c r="E144">
        <f>Reference_Data!N140-Dark!N140</f>
        <v>510</v>
      </c>
      <c r="F144">
        <f>Sample_Data!L140-Dark!L140</f>
        <v>3833</v>
      </c>
      <c r="G144">
        <f>Sample_Data!M140-Dark!M140</f>
        <v>4006</v>
      </c>
      <c r="H144">
        <f>Sample_Data!N140-Dark!N140</f>
        <v>422</v>
      </c>
      <c r="I144">
        <f t="shared" si="18"/>
        <v>1271.45</v>
      </c>
      <c r="J144" s="3">
        <f t="shared" si="20"/>
        <v>1</v>
      </c>
      <c r="K144" s="3">
        <f t="shared" si="21"/>
        <v>0.99975043673571251</v>
      </c>
      <c r="L144" s="3">
        <f t="shared" si="22"/>
        <v>0.82745098039215681</v>
      </c>
      <c r="O144">
        <f>Reference_Data!O140-Dark!O140</f>
        <v>2893</v>
      </c>
      <c r="P144">
        <f>Reference_Data!P140-Dark!P140</f>
        <v>3970</v>
      </c>
      <c r="Q144">
        <f>Reference_Data!Q140-Dark!Q140</f>
        <v>512</v>
      </c>
      <c r="R144">
        <f>Sample_Data!O140-Dark!O140</f>
        <v>2893</v>
      </c>
      <c r="S144">
        <f>Sample_Data!P140-Dark!P140</f>
        <v>3964</v>
      </c>
      <c r="T144">
        <f>Sample_Data!Q140-Dark!Q140</f>
        <v>267</v>
      </c>
      <c r="U144">
        <f t="shared" si="19"/>
        <v>2297.375</v>
      </c>
      <c r="V144">
        <f t="shared" si="23"/>
        <v>1</v>
      </c>
      <c r="W144">
        <f t="shared" si="24"/>
        <v>0.99848866498740552</v>
      </c>
      <c r="X144">
        <f t="shared" si="25"/>
        <v>0.521484375</v>
      </c>
    </row>
    <row r="145" spans="1:24" x14ac:dyDescent="0.35">
      <c r="A145">
        <f t="shared" si="26"/>
        <v>4270</v>
      </c>
      <c r="C145">
        <f>Reference_Data!L141-Dark!L141</f>
        <v>3834</v>
      </c>
      <c r="D145">
        <f>Reference_Data!M141-Dark!M141</f>
        <v>4007</v>
      </c>
      <c r="E145">
        <f>Reference_Data!N141-Dark!N141</f>
        <v>512</v>
      </c>
      <c r="F145">
        <f>Sample_Data!L141-Dark!L141</f>
        <v>3834</v>
      </c>
      <c r="G145">
        <f>Sample_Data!M141-Dark!M141</f>
        <v>4007</v>
      </c>
      <c r="H145">
        <f>Sample_Data!N141-Dark!N141</f>
        <v>426</v>
      </c>
      <c r="I145">
        <f t="shared" si="18"/>
        <v>1275.0687499999999</v>
      </c>
      <c r="J145" s="3">
        <f t="shared" si="20"/>
        <v>1</v>
      </c>
      <c r="K145" s="3">
        <f t="shared" si="21"/>
        <v>1</v>
      </c>
      <c r="L145" s="3">
        <f t="shared" si="22"/>
        <v>0.83203125</v>
      </c>
      <c r="O145">
        <f>Reference_Data!O141-Dark!O141</f>
        <v>2888</v>
      </c>
      <c r="P145">
        <f>Reference_Data!P141-Dark!P141</f>
        <v>3970</v>
      </c>
      <c r="Q145">
        <f>Reference_Data!Q141-Dark!Q141</f>
        <v>510</v>
      </c>
      <c r="R145">
        <f>Sample_Data!O141-Dark!O141</f>
        <v>2889</v>
      </c>
      <c r="S145">
        <f>Sample_Data!P141-Dark!P141</f>
        <v>3964</v>
      </c>
      <c r="T145">
        <f>Sample_Data!Q141-Dark!Q141</f>
        <v>262</v>
      </c>
      <c r="U145">
        <f t="shared" si="19"/>
        <v>2304.078125</v>
      </c>
      <c r="V145">
        <f t="shared" si="23"/>
        <v>1.0003462603878117</v>
      </c>
      <c r="W145">
        <f t="shared" si="24"/>
        <v>0.99848866498740552</v>
      </c>
      <c r="X145">
        <f t="shared" si="25"/>
        <v>0.51372549019607838</v>
      </c>
    </row>
    <row r="146" spans="1:24" x14ac:dyDescent="0.35">
      <c r="A146">
        <f t="shared" si="26"/>
        <v>4300</v>
      </c>
      <c r="C146">
        <f>Reference_Data!L142-Dark!L142</f>
        <v>3833</v>
      </c>
      <c r="D146">
        <f>Reference_Data!M142-Dark!M142</f>
        <v>4007</v>
      </c>
      <c r="E146">
        <f>Reference_Data!N142-Dark!N142</f>
        <v>514</v>
      </c>
      <c r="F146">
        <f>Sample_Data!L142-Dark!L142</f>
        <v>3833</v>
      </c>
      <c r="G146">
        <f>Sample_Data!M142-Dark!M142</f>
        <v>4006</v>
      </c>
      <c r="H146">
        <f>Sample_Data!N142-Dark!N142</f>
        <v>427</v>
      </c>
      <c r="I146">
        <f t="shared" si="18"/>
        <v>1278.6875</v>
      </c>
      <c r="J146" s="3">
        <f t="shared" si="20"/>
        <v>1</v>
      </c>
      <c r="K146" s="3">
        <f t="shared" si="21"/>
        <v>0.99975043673571251</v>
      </c>
      <c r="L146" s="3">
        <f t="shared" si="22"/>
        <v>0.83073929961089499</v>
      </c>
      <c r="O146">
        <f>Reference_Data!O142-Dark!O142</f>
        <v>2887</v>
      </c>
      <c r="P146">
        <f>Reference_Data!P142-Dark!P142</f>
        <v>3970</v>
      </c>
      <c r="Q146">
        <f>Reference_Data!Q142-Dark!Q142</f>
        <v>508</v>
      </c>
      <c r="R146">
        <f>Sample_Data!O142-Dark!O142</f>
        <v>2887</v>
      </c>
      <c r="S146">
        <f>Sample_Data!P142-Dark!P142</f>
        <v>3961</v>
      </c>
      <c r="T146">
        <f>Sample_Data!Q142-Dark!Q142</f>
        <v>257</v>
      </c>
      <c r="U146">
        <f t="shared" si="19"/>
        <v>2310.78125</v>
      </c>
      <c r="V146">
        <f t="shared" si="23"/>
        <v>1</v>
      </c>
      <c r="W146">
        <f t="shared" si="24"/>
        <v>0.99773299748110833</v>
      </c>
      <c r="X146">
        <f t="shared" si="25"/>
        <v>0.50590551181102361</v>
      </c>
    </row>
    <row r="147" spans="1:24" x14ac:dyDescent="0.35">
      <c r="A147">
        <f t="shared" si="26"/>
        <v>4330</v>
      </c>
      <c r="C147">
        <f>Reference_Data!L143-Dark!L143</f>
        <v>3822</v>
      </c>
      <c r="D147">
        <f>Reference_Data!M143-Dark!M143</f>
        <v>4006</v>
      </c>
      <c r="E147">
        <f>Reference_Data!N143-Dark!N143</f>
        <v>514</v>
      </c>
      <c r="F147">
        <f>Sample_Data!L143-Dark!L143</f>
        <v>3822</v>
      </c>
      <c r="G147">
        <f>Sample_Data!M143-Dark!M143</f>
        <v>4007</v>
      </c>
      <c r="H147">
        <f>Sample_Data!N143-Dark!N143</f>
        <v>427</v>
      </c>
      <c r="I147">
        <f t="shared" si="18"/>
        <v>1282.3062500000001</v>
      </c>
      <c r="J147" s="3">
        <f t="shared" si="20"/>
        <v>1</v>
      </c>
      <c r="K147" s="3">
        <f t="shared" si="21"/>
        <v>1.0002496255616575</v>
      </c>
      <c r="L147" s="3">
        <f t="shared" si="22"/>
        <v>0.83073929961089499</v>
      </c>
      <c r="O147">
        <f>Reference_Data!O143-Dark!O143</f>
        <v>2881</v>
      </c>
      <c r="P147">
        <f>Reference_Data!P143-Dark!P143</f>
        <v>3971</v>
      </c>
      <c r="Q147">
        <f>Reference_Data!Q143-Dark!Q143</f>
        <v>504</v>
      </c>
      <c r="R147">
        <f>Sample_Data!O143-Dark!O143</f>
        <v>2882</v>
      </c>
      <c r="S147">
        <f>Sample_Data!P143-Dark!P143</f>
        <v>3960</v>
      </c>
      <c r="T147">
        <f>Sample_Data!Q143-Dark!Q143</f>
        <v>251</v>
      </c>
      <c r="U147">
        <f t="shared" si="19"/>
        <v>2317.484375</v>
      </c>
      <c r="V147">
        <f t="shared" si="23"/>
        <v>1.0003471017007983</v>
      </c>
      <c r="W147">
        <f t="shared" si="24"/>
        <v>0.99722991689750695</v>
      </c>
      <c r="X147">
        <f t="shared" si="25"/>
        <v>0.49801587301587302</v>
      </c>
    </row>
    <row r="148" spans="1:24" x14ac:dyDescent="0.35">
      <c r="A148">
        <f t="shared" si="26"/>
        <v>4360</v>
      </c>
      <c r="C148">
        <f>Reference_Data!L144-Dark!L144</f>
        <v>3832</v>
      </c>
      <c r="D148">
        <f>Reference_Data!M144-Dark!M144</f>
        <v>4007</v>
      </c>
      <c r="E148">
        <f>Reference_Data!N144-Dark!N144</f>
        <v>516</v>
      </c>
      <c r="F148">
        <f>Sample_Data!L144-Dark!L144</f>
        <v>3831</v>
      </c>
      <c r="G148">
        <f>Sample_Data!M144-Dark!M144</f>
        <v>4006</v>
      </c>
      <c r="H148">
        <f>Sample_Data!N144-Dark!N144</f>
        <v>429</v>
      </c>
      <c r="I148">
        <f t="shared" si="18"/>
        <v>1285.9250000000002</v>
      </c>
      <c r="J148" s="3">
        <f t="shared" si="20"/>
        <v>0.99973903966597077</v>
      </c>
      <c r="K148" s="3">
        <f t="shared" si="21"/>
        <v>0.99975043673571251</v>
      </c>
      <c r="L148" s="3">
        <f t="shared" si="22"/>
        <v>0.83139534883720934</v>
      </c>
      <c r="O148">
        <f>Reference_Data!O144-Dark!O144</f>
        <v>2878</v>
      </c>
      <c r="P148">
        <f>Reference_Data!P144-Dark!P144</f>
        <v>3969</v>
      </c>
      <c r="Q148">
        <f>Reference_Data!Q144-Dark!Q144</f>
        <v>501</v>
      </c>
      <c r="R148">
        <f>Sample_Data!O144-Dark!O144</f>
        <v>2877</v>
      </c>
      <c r="S148">
        <f>Sample_Data!P144-Dark!P144</f>
        <v>3957</v>
      </c>
      <c r="T148">
        <f>Sample_Data!Q144-Dark!Q144</f>
        <v>248</v>
      </c>
      <c r="U148">
        <f t="shared" si="19"/>
        <v>2324.1875</v>
      </c>
      <c r="V148">
        <f t="shared" si="23"/>
        <v>0.99965253648366925</v>
      </c>
      <c r="W148">
        <f t="shared" si="24"/>
        <v>0.99697656840513982</v>
      </c>
      <c r="X148">
        <f t="shared" si="25"/>
        <v>0.49500998003992014</v>
      </c>
    </row>
    <row r="149" spans="1:24" x14ac:dyDescent="0.35">
      <c r="A149">
        <f t="shared" si="26"/>
        <v>4390</v>
      </c>
      <c r="C149">
        <f>Reference_Data!L145-Dark!L145</f>
        <v>3827</v>
      </c>
      <c r="D149">
        <f>Reference_Data!M145-Dark!M145</f>
        <v>4007</v>
      </c>
      <c r="E149">
        <f>Reference_Data!N145-Dark!N145</f>
        <v>519</v>
      </c>
      <c r="F149">
        <f>Sample_Data!L145-Dark!L145</f>
        <v>3827</v>
      </c>
      <c r="G149">
        <f>Sample_Data!M145-Dark!M145</f>
        <v>4007</v>
      </c>
      <c r="H149">
        <f>Sample_Data!N145-Dark!N145</f>
        <v>429</v>
      </c>
      <c r="I149">
        <f t="shared" si="18"/>
        <v>1289.54375</v>
      </c>
      <c r="J149" s="3">
        <f t="shared" si="20"/>
        <v>1</v>
      </c>
      <c r="K149" s="3">
        <f t="shared" si="21"/>
        <v>1</v>
      </c>
      <c r="L149" s="3">
        <f t="shared" si="22"/>
        <v>0.82658959537572252</v>
      </c>
      <c r="O149">
        <f>Reference_Data!O145-Dark!O145</f>
        <v>2873</v>
      </c>
      <c r="P149">
        <f>Reference_Data!P145-Dark!P145</f>
        <v>3969</v>
      </c>
      <c r="Q149">
        <f>Reference_Data!Q145-Dark!Q145</f>
        <v>495</v>
      </c>
      <c r="R149">
        <f>Sample_Data!O145-Dark!O145</f>
        <v>2872</v>
      </c>
      <c r="S149">
        <f>Sample_Data!P145-Dark!P145</f>
        <v>3956</v>
      </c>
      <c r="T149">
        <f>Sample_Data!Q145-Dark!Q145</f>
        <v>243</v>
      </c>
      <c r="U149">
        <f t="shared" si="19"/>
        <v>2330.890625</v>
      </c>
      <c r="V149">
        <f t="shared" si="23"/>
        <v>0.99965193177862866</v>
      </c>
      <c r="W149">
        <f t="shared" si="24"/>
        <v>0.99672461577223481</v>
      </c>
      <c r="X149">
        <f t="shared" si="25"/>
        <v>0.49090909090909091</v>
      </c>
    </row>
    <row r="150" spans="1:24" x14ac:dyDescent="0.35">
      <c r="A150">
        <f t="shared" si="26"/>
        <v>4420</v>
      </c>
      <c r="C150">
        <f>Reference_Data!L146-Dark!L146</f>
        <v>3840</v>
      </c>
      <c r="D150">
        <f>Reference_Data!M146-Dark!M146</f>
        <v>4006</v>
      </c>
      <c r="E150">
        <f>Reference_Data!N146-Dark!N146</f>
        <v>522</v>
      </c>
      <c r="F150">
        <f>Sample_Data!L146-Dark!L146</f>
        <v>3840</v>
      </c>
      <c r="G150">
        <f>Sample_Data!M146-Dark!M146</f>
        <v>4007</v>
      </c>
      <c r="H150">
        <f>Sample_Data!N146-Dark!N146</f>
        <v>429</v>
      </c>
      <c r="I150">
        <f t="shared" si="18"/>
        <v>1293.1624999999999</v>
      </c>
      <c r="J150" s="3">
        <f t="shared" si="20"/>
        <v>1</v>
      </c>
      <c r="K150" s="3">
        <f t="shared" si="21"/>
        <v>1.0002496255616575</v>
      </c>
      <c r="L150" s="3">
        <f t="shared" si="22"/>
        <v>0.82183908045977017</v>
      </c>
      <c r="O150">
        <f>Reference_Data!O146-Dark!O146</f>
        <v>2873</v>
      </c>
      <c r="P150">
        <f>Reference_Data!P146-Dark!P146</f>
        <v>3970</v>
      </c>
      <c r="Q150">
        <f>Reference_Data!Q146-Dark!Q146</f>
        <v>492</v>
      </c>
      <c r="R150">
        <f>Sample_Data!O146-Dark!O146</f>
        <v>2874</v>
      </c>
      <c r="S150">
        <f>Sample_Data!P146-Dark!P146</f>
        <v>3956</v>
      </c>
      <c r="T150">
        <f>Sample_Data!Q146-Dark!Q146</f>
        <v>240</v>
      </c>
      <c r="U150">
        <f t="shared" si="19"/>
        <v>2337.59375</v>
      </c>
      <c r="V150">
        <f t="shared" si="23"/>
        <v>1.0003480682213715</v>
      </c>
      <c r="W150">
        <f t="shared" si="24"/>
        <v>0.99647355163727958</v>
      </c>
      <c r="X150">
        <f t="shared" si="25"/>
        <v>0.48780487804878048</v>
      </c>
    </row>
    <row r="151" spans="1:24" x14ac:dyDescent="0.35">
      <c r="A151">
        <f t="shared" si="26"/>
        <v>4450</v>
      </c>
      <c r="C151">
        <f>Reference_Data!L147-Dark!L147</f>
        <v>3830</v>
      </c>
      <c r="D151">
        <f>Reference_Data!M147-Dark!M147</f>
        <v>4006</v>
      </c>
      <c r="E151">
        <f>Reference_Data!N147-Dark!N147</f>
        <v>525</v>
      </c>
      <c r="F151">
        <f>Sample_Data!L147-Dark!L147</f>
        <v>3830</v>
      </c>
      <c r="G151">
        <f>Sample_Data!M147-Dark!M147</f>
        <v>4007</v>
      </c>
      <c r="H151">
        <f>Sample_Data!N147-Dark!N147</f>
        <v>432</v>
      </c>
      <c r="I151">
        <f t="shared" si="18"/>
        <v>1296.78125</v>
      </c>
      <c r="J151" s="3">
        <f t="shared" si="20"/>
        <v>1</v>
      </c>
      <c r="K151" s="3">
        <f t="shared" si="21"/>
        <v>1.0002496255616575</v>
      </c>
      <c r="L151" s="3">
        <f t="shared" si="22"/>
        <v>0.82285714285714284</v>
      </c>
      <c r="O151">
        <f>Reference_Data!O147-Dark!O147</f>
        <v>2865</v>
      </c>
      <c r="P151">
        <f>Reference_Data!P147-Dark!P147</f>
        <v>3969</v>
      </c>
      <c r="Q151">
        <f>Reference_Data!Q147-Dark!Q147</f>
        <v>488</v>
      </c>
      <c r="R151">
        <f>Sample_Data!O147-Dark!O147</f>
        <v>2865</v>
      </c>
      <c r="S151">
        <f>Sample_Data!P147-Dark!P147</f>
        <v>3954</v>
      </c>
      <c r="T151">
        <f>Sample_Data!Q147-Dark!Q147</f>
        <v>236</v>
      </c>
      <c r="U151">
        <f t="shared" si="19"/>
        <v>2344.296875</v>
      </c>
      <c r="V151">
        <f t="shared" si="23"/>
        <v>1</v>
      </c>
      <c r="W151">
        <f t="shared" si="24"/>
        <v>0.9962207105064248</v>
      </c>
      <c r="X151">
        <f t="shared" si="25"/>
        <v>0.48360655737704916</v>
      </c>
    </row>
    <row r="152" spans="1:24" x14ac:dyDescent="0.35">
      <c r="A152">
        <f t="shared" si="26"/>
        <v>4480</v>
      </c>
      <c r="C152">
        <f>Reference_Data!L148-Dark!L148</f>
        <v>3827</v>
      </c>
      <c r="D152">
        <f>Reference_Data!M148-Dark!M148</f>
        <v>4006</v>
      </c>
      <c r="E152">
        <f>Reference_Data!N148-Dark!N148</f>
        <v>528</v>
      </c>
      <c r="F152">
        <f>Sample_Data!L148-Dark!L148</f>
        <v>3826</v>
      </c>
      <c r="G152">
        <f>Sample_Data!M148-Dark!M148</f>
        <v>4007</v>
      </c>
      <c r="H152">
        <f>Sample_Data!N148-Dark!N148</f>
        <v>432</v>
      </c>
      <c r="I152">
        <f t="shared" si="18"/>
        <v>1300.4000000000001</v>
      </c>
      <c r="J152" s="3">
        <f t="shared" si="20"/>
        <v>0.99973869871962373</v>
      </c>
      <c r="K152" s="3">
        <f t="shared" si="21"/>
        <v>1.0002496255616575</v>
      </c>
      <c r="L152" s="3">
        <f t="shared" si="22"/>
        <v>0.81818181818181823</v>
      </c>
      <c r="O152">
        <f>Reference_Data!O148-Dark!O148</f>
        <v>2867</v>
      </c>
      <c r="P152">
        <f>Reference_Data!P148-Dark!P148</f>
        <v>3968</v>
      </c>
      <c r="Q152">
        <f>Reference_Data!Q148-Dark!Q148</f>
        <v>483</v>
      </c>
      <c r="R152">
        <f>Sample_Data!O148-Dark!O148</f>
        <v>2866</v>
      </c>
      <c r="S152">
        <f>Sample_Data!P148-Dark!P148</f>
        <v>3951</v>
      </c>
      <c r="T152">
        <f>Sample_Data!Q148-Dark!Q148</f>
        <v>232</v>
      </c>
      <c r="U152">
        <f t="shared" si="19"/>
        <v>2351</v>
      </c>
      <c r="V152">
        <f t="shared" si="23"/>
        <v>0.99965120334844781</v>
      </c>
      <c r="W152">
        <f t="shared" si="24"/>
        <v>0.99571572580645162</v>
      </c>
      <c r="X152">
        <f t="shared" si="25"/>
        <v>0.48033126293995859</v>
      </c>
    </row>
    <row r="153" spans="1:24" x14ac:dyDescent="0.35">
      <c r="A153">
        <f t="shared" si="26"/>
        <v>4510</v>
      </c>
      <c r="C153">
        <f>Reference_Data!L149-Dark!L149</f>
        <v>3832</v>
      </c>
      <c r="D153">
        <f>Reference_Data!M149-Dark!M149</f>
        <v>4006</v>
      </c>
      <c r="E153">
        <f>Reference_Data!N149-Dark!N149</f>
        <v>529</v>
      </c>
      <c r="F153">
        <f>Sample_Data!L149-Dark!L149</f>
        <v>3833</v>
      </c>
      <c r="G153">
        <f>Sample_Data!M149-Dark!M149</f>
        <v>4006</v>
      </c>
      <c r="H153">
        <f>Sample_Data!N149-Dark!N149</f>
        <v>431</v>
      </c>
      <c r="I153">
        <f t="shared" si="18"/>
        <v>1304.0187500000002</v>
      </c>
      <c r="J153" s="3">
        <f t="shared" si="20"/>
        <v>1.0002609603340293</v>
      </c>
      <c r="K153" s="3">
        <f t="shared" si="21"/>
        <v>1</v>
      </c>
      <c r="L153" s="3">
        <f t="shared" si="22"/>
        <v>0.81474480151228734</v>
      </c>
      <c r="O153">
        <f>Reference_Data!O149-Dark!O149</f>
        <v>2868</v>
      </c>
      <c r="P153">
        <f>Reference_Data!P149-Dark!P149</f>
        <v>3969</v>
      </c>
      <c r="Q153">
        <f>Reference_Data!Q149-Dark!Q149</f>
        <v>475</v>
      </c>
      <c r="R153">
        <f>Sample_Data!O149-Dark!O149</f>
        <v>2868</v>
      </c>
      <c r="S153">
        <f>Sample_Data!P149-Dark!P149</f>
        <v>3950</v>
      </c>
      <c r="T153">
        <f>Sample_Data!Q149-Dark!Q149</f>
        <v>226</v>
      </c>
      <c r="U153">
        <f t="shared" si="19"/>
        <v>2357.703125</v>
      </c>
      <c r="V153">
        <f t="shared" si="23"/>
        <v>1</v>
      </c>
      <c r="W153">
        <f t="shared" si="24"/>
        <v>0.99521289997480478</v>
      </c>
      <c r="X153">
        <f t="shared" si="25"/>
        <v>0.47578947368421054</v>
      </c>
    </row>
    <row r="154" spans="1:24" x14ac:dyDescent="0.35">
      <c r="A154">
        <f t="shared" si="26"/>
        <v>4540</v>
      </c>
      <c r="C154">
        <f>Reference_Data!L150-Dark!L150</f>
        <v>3828</v>
      </c>
      <c r="D154">
        <f>Reference_Data!M150-Dark!M150</f>
        <v>4006</v>
      </c>
      <c r="E154">
        <f>Reference_Data!N150-Dark!N150</f>
        <v>531</v>
      </c>
      <c r="F154">
        <f>Sample_Data!L150-Dark!L150</f>
        <v>3829</v>
      </c>
      <c r="G154">
        <f>Sample_Data!M150-Dark!M150</f>
        <v>4007</v>
      </c>
      <c r="H154">
        <f>Sample_Data!N150-Dark!N150</f>
        <v>433</v>
      </c>
      <c r="I154">
        <f t="shared" si="18"/>
        <v>1307.6375</v>
      </c>
      <c r="J154" s="3">
        <f t="shared" si="20"/>
        <v>1.0002612330198537</v>
      </c>
      <c r="K154" s="3">
        <f t="shared" si="21"/>
        <v>1.0002496255616575</v>
      </c>
      <c r="L154" s="3">
        <f t="shared" si="22"/>
        <v>0.81544256120527303</v>
      </c>
      <c r="O154">
        <f>Reference_Data!O150-Dark!O150</f>
        <v>2862</v>
      </c>
      <c r="P154">
        <f>Reference_Data!P150-Dark!P150</f>
        <v>3970</v>
      </c>
      <c r="Q154">
        <f>Reference_Data!Q150-Dark!Q150</f>
        <v>468</v>
      </c>
      <c r="R154">
        <f>Sample_Data!O150-Dark!O150</f>
        <v>2862</v>
      </c>
      <c r="S154">
        <f>Sample_Data!P150-Dark!P150</f>
        <v>3949</v>
      </c>
      <c r="T154">
        <f>Sample_Data!Q150-Dark!Q150</f>
        <v>219</v>
      </c>
      <c r="U154">
        <f t="shared" si="19"/>
        <v>2364.40625</v>
      </c>
      <c r="V154">
        <f t="shared" si="23"/>
        <v>1</v>
      </c>
      <c r="W154">
        <f t="shared" si="24"/>
        <v>0.99471032745591936</v>
      </c>
      <c r="X154">
        <f t="shared" si="25"/>
        <v>0.46794871794871795</v>
      </c>
    </row>
    <row r="155" spans="1:24" x14ac:dyDescent="0.35">
      <c r="A155">
        <f t="shared" si="26"/>
        <v>4570</v>
      </c>
      <c r="C155">
        <f>Reference_Data!L151-Dark!L151</f>
        <v>3820</v>
      </c>
      <c r="D155">
        <f>Reference_Data!M151-Dark!M151</f>
        <v>4007</v>
      </c>
      <c r="E155">
        <f>Reference_Data!N151-Dark!N151</f>
        <v>532</v>
      </c>
      <c r="F155">
        <f>Sample_Data!L151-Dark!L151</f>
        <v>3820</v>
      </c>
      <c r="G155">
        <f>Sample_Data!M151-Dark!M151</f>
        <v>4007</v>
      </c>
      <c r="H155">
        <f>Sample_Data!N151-Dark!N151</f>
        <v>432</v>
      </c>
      <c r="I155">
        <f t="shared" si="18"/>
        <v>1311.2562499999999</v>
      </c>
      <c r="J155" s="3">
        <f t="shared" si="20"/>
        <v>1</v>
      </c>
      <c r="K155" s="3">
        <f t="shared" si="21"/>
        <v>1</v>
      </c>
      <c r="L155" s="3">
        <f t="shared" si="22"/>
        <v>0.81203007518796988</v>
      </c>
      <c r="O155">
        <f>Reference_Data!O151-Dark!O151</f>
        <v>2863</v>
      </c>
      <c r="P155">
        <f>Reference_Data!P151-Dark!P151</f>
        <v>3968</v>
      </c>
      <c r="Q155">
        <f>Reference_Data!Q151-Dark!Q151</f>
        <v>457</v>
      </c>
      <c r="R155">
        <f>Sample_Data!O151-Dark!O151</f>
        <v>2862</v>
      </c>
      <c r="S155">
        <f>Sample_Data!P151-Dark!P151</f>
        <v>3945</v>
      </c>
      <c r="T155">
        <f>Sample_Data!Q151-Dark!Q151</f>
        <v>213</v>
      </c>
      <c r="U155">
        <f t="shared" si="19"/>
        <v>2371.109375</v>
      </c>
      <c r="V155">
        <f t="shared" si="23"/>
        <v>0.99965071603213418</v>
      </c>
      <c r="W155">
        <f t="shared" si="24"/>
        <v>0.99420362903225812</v>
      </c>
      <c r="X155">
        <f t="shared" si="25"/>
        <v>0.46608315098468273</v>
      </c>
    </row>
    <row r="156" spans="1:24" x14ac:dyDescent="0.35">
      <c r="A156">
        <f t="shared" si="26"/>
        <v>4600</v>
      </c>
      <c r="C156">
        <f>Reference_Data!L152-Dark!L152</f>
        <v>3826</v>
      </c>
      <c r="D156">
        <f>Reference_Data!M152-Dark!M152</f>
        <v>4006</v>
      </c>
      <c r="E156">
        <f>Reference_Data!N152-Dark!N152</f>
        <v>536</v>
      </c>
      <c r="F156">
        <f>Sample_Data!L152-Dark!L152</f>
        <v>3826</v>
      </c>
      <c r="G156">
        <f>Sample_Data!M152-Dark!M152</f>
        <v>4006</v>
      </c>
      <c r="H156">
        <f>Sample_Data!N152-Dark!N152</f>
        <v>434</v>
      </c>
      <c r="I156">
        <f t="shared" si="18"/>
        <v>1314.875</v>
      </c>
      <c r="J156" s="3">
        <f t="shared" si="20"/>
        <v>1</v>
      </c>
      <c r="K156" s="3">
        <f t="shared" si="21"/>
        <v>1</v>
      </c>
      <c r="L156" s="3">
        <f t="shared" si="22"/>
        <v>0.80970149253731338</v>
      </c>
      <c r="O156">
        <f>Reference_Data!O152-Dark!O152</f>
        <v>2867</v>
      </c>
      <c r="P156">
        <f>Reference_Data!P152-Dark!P152</f>
        <v>3969</v>
      </c>
      <c r="Q156">
        <f>Reference_Data!Q152-Dark!Q152</f>
        <v>447</v>
      </c>
      <c r="R156">
        <f>Sample_Data!O152-Dark!O152</f>
        <v>2867</v>
      </c>
      <c r="S156">
        <f>Sample_Data!P152-Dark!P152</f>
        <v>3943</v>
      </c>
      <c r="T156">
        <f>Sample_Data!Q152-Dark!Q152</f>
        <v>205</v>
      </c>
      <c r="U156">
        <f t="shared" si="19"/>
        <v>2377.8125</v>
      </c>
      <c r="V156">
        <f t="shared" si="23"/>
        <v>1</v>
      </c>
      <c r="W156">
        <f t="shared" si="24"/>
        <v>0.99344923154446962</v>
      </c>
      <c r="X156">
        <f t="shared" si="25"/>
        <v>0.45861297539149887</v>
      </c>
    </row>
    <row r="157" spans="1:24" x14ac:dyDescent="0.35">
      <c r="A157">
        <f t="shared" si="26"/>
        <v>4630</v>
      </c>
      <c r="C157">
        <f>Reference_Data!L153-Dark!L153</f>
        <v>3829</v>
      </c>
      <c r="D157">
        <f>Reference_Data!M153-Dark!M153</f>
        <v>4006</v>
      </c>
      <c r="E157">
        <f>Reference_Data!N153-Dark!N153</f>
        <v>536</v>
      </c>
      <c r="F157">
        <f>Sample_Data!L153-Dark!L153</f>
        <v>3828</v>
      </c>
      <c r="G157">
        <f>Sample_Data!M153-Dark!M153</f>
        <v>4006</v>
      </c>
      <c r="H157">
        <f>Sample_Data!N153-Dark!N153</f>
        <v>433</v>
      </c>
      <c r="I157">
        <f t="shared" si="18"/>
        <v>1318.4937500000001</v>
      </c>
      <c r="J157" s="3">
        <f t="shared" si="20"/>
        <v>0.99973883520501439</v>
      </c>
      <c r="K157" s="3">
        <f t="shared" si="21"/>
        <v>1</v>
      </c>
      <c r="L157" s="3">
        <f t="shared" si="22"/>
        <v>0.80783582089552242</v>
      </c>
      <c r="O157">
        <f>Reference_Data!O153-Dark!O153</f>
        <v>2868</v>
      </c>
      <c r="P157">
        <f>Reference_Data!P153-Dark!P153</f>
        <v>3969</v>
      </c>
      <c r="Q157">
        <f>Reference_Data!Q153-Dark!Q153</f>
        <v>435</v>
      </c>
      <c r="R157">
        <f>Sample_Data!O153-Dark!O153</f>
        <v>2869</v>
      </c>
      <c r="S157">
        <f>Sample_Data!P153-Dark!P153</f>
        <v>3938</v>
      </c>
      <c r="T157">
        <f>Sample_Data!Q153-Dark!Q153</f>
        <v>198</v>
      </c>
      <c r="U157">
        <f t="shared" si="19"/>
        <v>2384.515625</v>
      </c>
      <c r="V157">
        <f t="shared" si="23"/>
        <v>1.0003486750348676</v>
      </c>
      <c r="W157">
        <f t="shared" si="24"/>
        <v>0.99218946837994459</v>
      </c>
      <c r="X157">
        <f t="shared" si="25"/>
        <v>0.45517241379310347</v>
      </c>
    </row>
    <row r="158" spans="1:24" x14ac:dyDescent="0.35">
      <c r="A158">
        <f t="shared" si="26"/>
        <v>4660</v>
      </c>
      <c r="C158">
        <f>Reference_Data!L154-Dark!L154</f>
        <v>3837</v>
      </c>
      <c r="D158">
        <f>Reference_Data!M154-Dark!M154</f>
        <v>4006</v>
      </c>
      <c r="E158">
        <f>Reference_Data!N154-Dark!N154</f>
        <v>539</v>
      </c>
      <c r="F158">
        <f>Sample_Data!L154-Dark!L154</f>
        <v>3838</v>
      </c>
      <c r="G158">
        <f>Sample_Data!M154-Dark!M154</f>
        <v>4006</v>
      </c>
      <c r="H158">
        <f>Sample_Data!N154-Dark!N154</f>
        <v>435</v>
      </c>
      <c r="I158">
        <f t="shared" si="18"/>
        <v>1322.1125000000002</v>
      </c>
      <c r="J158" s="3">
        <f t="shared" si="20"/>
        <v>1.0002606202762574</v>
      </c>
      <c r="K158" s="3">
        <f t="shared" si="21"/>
        <v>1</v>
      </c>
      <c r="L158" s="3">
        <f t="shared" si="22"/>
        <v>0.80705009276437845</v>
      </c>
      <c r="O158">
        <f>Reference_Data!O154-Dark!O154</f>
        <v>2872</v>
      </c>
      <c r="P158">
        <f>Reference_Data!P154-Dark!P154</f>
        <v>3968</v>
      </c>
      <c r="Q158">
        <f>Reference_Data!Q154-Dark!Q154</f>
        <v>421</v>
      </c>
      <c r="R158">
        <f>Sample_Data!O154-Dark!O154</f>
        <v>2872</v>
      </c>
      <c r="S158">
        <f>Sample_Data!P154-Dark!P154</f>
        <v>3934</v>
      </c>
      <c r="T158">
        <f>Sample_Data!Q154-Dark!Q154</f>
        <v>190</v>
      </c>
      <c r="U158">
        <f t="shared" si="19"/>
        <v>2391.21875</v>
      </c>
      <c r="V158">
        <f t="shared" si="23"/>
        <v>1</v>
      </c>
      <c r="W158">
        <f t="shared" si="24"/>
        <v>0.99143145161290325</v>
      </c>
      <c r="X158">
        <f t="shared" si="25"/>
        <v>0.45130641330166271</v>
      </c>
    </row>
    <row r="159" spans="1:24" x14ac:dyDescent="0.35">
      <c r="A159">
        <f t="shared" si="26"/>
        <v>4690</v>
      </c>
      <c r="C159">
        <f>Reference_Data!L155-Dark!L155</f>
        <v>3828</v>
      </c>
      <c r="D159">
        <f>Reference_Data!M155-Dark!M155</f>
        <v>4006</v>
      </c>
      <c r="E159">
        <f>Reference_Data!N155-Dark!N155</f>
        <v>541</v>
      </c>
      <c r="F159">
        <f>Sample_Data!L155-Dark!L155</f>
        <v>3828</v>
      </c>
      <c r="G159">
        <f>Sample_Data!M155-Dark!M155</f>
        <v>4006</v>
      </c>
      <c r="H159">
        <f>Sample_Data!N155-Dark!N155</f>
        <v>435</v>
      </c>
      <c r="I159">
        <f t="shared" si="18"/>
        <v>1325.73125</v>
      </c>
      <c r="J159" s="3">
        <f t="shared" si="20"/>
        <v>1</v>
      </c>
      <c r="K159" s="3">
        <f t="shared" si="21"/>
        <v>1</v>
      </c>
      <c r="L159" s="3">
        <f t="shared" si="22"/>
        <v>0.8040665434380776</v>
      </c>
      <c r="O159">
        <f>Reference_Data!O155-Dark!O155</f>
        <v>2872</v>
      </c>
      <c r="P159">
        <f>Reference_Data!P155-Dark!P155</f>
        <v>3969</v>
      </c>
      <c r="Q159">
        <f>Reference_Data!Q155-Dark!Q155</f>
        <v>404</v>
      </c>
      <c r="R159">
        <f>Sample_Data!O155-Dark!O155</f>
        <v>2872</v>
      </c>
      <c r="S159">
        <f>Sample_Data!P155-Dark!P155</f>
        <v>3930</v>
      </c>
      <c r="T159">
        <f>Sample_Data!Q155-Dark!Q155</f>
        <v>184</v>
      </c>
      <c r="U159">
        <f t="shared" si="19"/>
        <v>2397.921875</v>
      </c>
      <c r="V159">
        <f t="shared" si="23"/>
        <v>1</v>
      </c>
      <c r="W159">
        <f t="shared" si="24"/>
        <v>0.99017384731670444</v>
      </c>
      <c r="X159">
        <f t="shared" si="25"/>
        <v>0.45544554455445546</v>
      </c>
    </row>
    <row r="160" spans="1:24" x14ac:dyDescent="0.35">
      <c r="A160">
        <f t="shared" si="26"/>
        <v>4720</v>
      </c>
      <c r="C160">
        <f>Reference_Data!L156-Dark!L156</f>
        <v>3823</v>
      </c>
      <c r="D160">
        <f>Reference_Data!M156-Dark!M156</f>
        <v>4006</v>
      </c>
      <c r="E160">
        <f>Reference_Data!N156-Dark!N156</f>
        <v>541</v>
      </c>
      <c r="F160">
        <f>Sample_Data!L156-Dark!L156</f>
        <v>3823</v>
      </c>
      <c r="G160">
        <f>Sample_Data!M156-Dark!M156</f>
        <v>4006</v>
      </c>
      <c r="H160">
        <f>Sample_Data!N156-Dark!N156</f>
        <v>434</v>
      </c>
      <c r="I160">
        <f t="shared" si="18"/>
        <v>1329.35</v>
      </c>
      <c r="J160" s="3">
        <f t="shared" si="20"/>
        <v>1</v>
      </c>
      <c r="K160" s="3">
        <f t="shared" si="21"/>
        <v>1</v>
      </c>
      <c r="L160" s="3">
        <f t="shared" si="22"/>
        <v>0.80221811460258785</v>
      </c>
      <c r="O160">
        <f>Reference_Data!O156-Dark!O156</f>
        <v>2878</v>
      </c>
      <c r="P160">
        <f>Reference_Data!P156-Dark!P156</f>
        <v>3970</v>
      </c>
      <c r="Q160">
        <f>Reference_Data!Q156-Dark!Q156</f>
        <v>385</v>
      </c>
      <c r="R160">
        <f>Sample_Data!O156-Dark!O156</f>
        <v>2878</v>
      </c>
      <c r="S160">
        <f>Sample_Data!P156-Dark!P156</f>
        <v>3926</v>
      </c>
      <c r="T160">
        <f>Sample_Data!Q156-Dark!Q156</f>
        <v>176</v>
      </c>
      <c r="U160">
        <f t="shared" si="19"/>
        <v>2404.625</v>
      </c>
      <c r="V160">
        <f t="shared" si="23"/>
        <v>1</v>
      </c>
      <c r="W160">
        <f t="shared" si="24"/>
        <v>0.98891687657430727</v>
      </c>
      <c r="X160">
        <f t="shared" si="25"/>
        <v>0.45714285714285713</v>
      </c>
    </row>
    <row r="161" spans="1:24" x14ac:dyDescent="0.35">
      <c r="A161">
        <f t="shared" si="26"/>
        <v>4750</v>
      </c>
      <c r="C161">
        <f>Reference_Data!L157-Dark!L157</f>
        <v>3823</v>
      </c>
      <c r="D161">
        <f>Reference_Data!M157-Dark!M157</f>
        <v>4006</v>
      </c>
      <c r="E161">
        <f>Reference_Data!N157-Dark!N157</f>
        <v>541</v>
      </c>
      <c r="F161">
        <f>Sample_Data!L157-Dark!L157</f>
        <v>3823</v>
      </c>
      <c r="G161">
        <f>Sample_Data!M157-Dark!M157</f>
        <v>4007</v>
      </c>
      <c r="H161">
        <f>Sample_Data!N157-Dark!N157</f>
        <v>433</v>
      </c>
      <c r="I161">
        <f t="shared" si="18"/>
        <v>1332.96875</v>
      </c>
      <c r="J161" s="3">
        <f t="shared" si="20"/>
        <v>1</v>
      </c>
      <c r="K161" s="3">
        <f t="shared" si="21"/>
        <v>1.0002496255616575</v>
      </c>
      <c r="L161" s="3">
        <f t="shared" si="22"/>
        <v>0.80036968576709799</v>
      </c>
      <c r="O161">
        <f>Reference_Data!O157-Dark!O157</f>
        <v>2876</v>
      </c>
      <c r="P161">
        <f>Reference_Data!P157-Dark!P157</f>
        <v>3969</v>
      </c>
      <c r="Q161">
        <f>Reference_Data!Q157-Dark!Q157</f>
        <v>369</v>
      </c>
      <c r="R161">
        <f>Sample_Data!O157-Dark!O157</f>
        <v>2875</v>
      </c>
      <c r="S161">
        <f>Sample_Data!P157-Dark!P157</f>
        <v>3919</v>
      </c>
      <c r="T161">
        <f>Sample_Data!Q157-Dark!Q157</f>
        <v>168</v>
      </c>
      <c r="U161">
        <f t="shared" si="19"/>
        <v>2411.328125</v>
      </c>
      <c r="V161">
        <f t="shared" si="23"/>
        <v>0.99965229485396379</v>
      </c>
      <c r="W161">
        <f t="shared" si="24"/>
        <v>0.98740236835474926</v>
      </c>
      <c r="X161">
        <f t="shared" si="25"/>
        <v>0.45528455284552843</v>
      </c>
    </row>
    <row r="162" spans="1:24" x14ac:dyDescent="0.35">
      <c r="A162">
        <f t="shared" si="26"/>
        <v>4780</v>
      </c>
      <c r="C162">
        <f>Reference_Data!L158-Dark!L158</f>
        <v>3833</v>
      </c>
      <c r="D162">
        <f>Reference_Data!M158-Dark!M158</f>
        <v>4006</v>
      </c>
      <c r="E162">
        <f>Reference_Data!N158-Dark!N158</f>
        <v>541</v>
      </c>
      <c r="F162">
        <f>Sample_Data!L158-Dark!L158</f>
        <v>3834</v>
      </c>
      <c r="G162">
        <f>Sample_Data!M158-Dark!M158</f>
        <v>4006</v>
      </c>
      <c r="H162">
        <f>Sample_Data!N158-Dark!N158</f>
        <v>433</v>
      </c>
      <c r="I162">
        <f t="shared" si="18"/>
        <v>1336.5875000000001</v>
      </c>
      <c r="J162" s="3">
        <f t="shared" si="20"/>
        <v>1.0002608922515002</v>
      </c>
      <c r="K162" s="3">
        <f t="shared" si="21"/>
        <v>1</v>
      </c>
      <c r="L162" s="3">
        <f t="shared" si="22"/>
        <v>0.80036968576709799</v>
      </c>
      <c r="O162">
        <f>Reference_Data!O158-Dark!O158</f>
        <v>2887</v>
      </c>
      <c r="P162">
        <f>Reference_Data!P158-Dark!P158</f>
        <v>3969</v>
      </c>
      <c r="Q162">
        <f>Reference_Data!Q158-Dark!Q158</f>
        <v>348</v>
      </c>
      <c r="R162">
        <f>Sample_Data!O158-Dark!O158</f>
        <v>2888</v>
      </c>
      <c r="S162">
        <f>Sample_Data!P158-Dark!P158</f>
        <v>3908</v>
      </c>
      <c r="T162">
        <f>Sample_Data!Q158-Dark!Q158</f>
        <v>157</v>
      </c>
      <c r="U162">
        <f t="shared" si="19"/>
        <v>2418.03125</v>
      </c>
      <c r="V162">
        <f t="shared" si="23"/>
        <v>1.0003463803255974</v>
      </c>
      <c r="W162">
        <f t="shared" si="24"/>
        <v>0.9846308893927942</v>
      </c>
      <c r="X162">
        <f t="shared" si="25"/>
        <v>0.4511494252873563</v>
      </c>
    </row>
    <row r="163" spans="1:24" x14ac:dyDescent="0.35">
      <c r="A163">
        <f t="shared" si="26"/>
        <v>4810</v>
      </c>
      <c r="C163">
        <f>Reference_Data!L159-Dark!L159</f>
        <v>3831</v>
      </c>
      <c r="D163">
        <f>Reference_Data!M159-Dark!M159</f>
        <v>4006</v>
      </c>
      <c r="E163">
        <f>Reference_Data!N159-Dark!N159</f>
        <v>543</v>
      </c>
      <c r="F163">
        <f>Sample_Data!L159-Dark!L159</f>
        <v>3832</v>
      </c>
      <c r="G163">
        <f>Sample_Data!M159-Dark!M159</f>
        <v>4007</v>
      </c>
      <c r="H163">
        <f>Sample_Data!N159-Dark!N159</f>
        <v>433</v>
      </c>
      <c r="I163">
        <f t="shared" si="18"/>
        <v>1340.2062500000002</v>
      </c>
      <c r="J163" s="3">
        <f t="shared" si="20"/>
        <v>1.0002610284521012</v>
      </c>
      <c r="K163" s="3">
        <f t="shared" si="21"/>
        <v>1.0002496255616575</v>
      </c>
      <c r="L163" s="3">
        <f t="shared" si="22"/>
        <v>0.79742173112338854</v>
      </c>
      <c r="O163">
        <f>Reference_Data!O159-Dark!O159</f>
        <v>2896</v>
      </c>
      <c r="P163">
        <f>Reference_Data!P159-Dark!P159</f>
        <v>3970</v>
      </c>
      <c r="Q163">
        <f>Reference_Data!Q159-Dark!Q159</f>
        <v>324</v>
      </c>
      <c r="R163">
        <f>Sample_Data!O159-Dark!O159</f>
        <v>2895</v>
      </c>
      <c r="S163">
        <f>Sample_Data!P159-Dark!P159</f>
        <v>3889</v>
      </c>
      <c r="T163">
        <f>Sample_Data!Q159-Dark!Q159</f>
        <v>144</v>
      </c>
      <c r="U163">
        <f t="shared" si="19"/>
        <v>2424.734375</v>
      </c>
      <c r="V163">
        <f t="shared" si="23"/>
        <v>0.99965469613259672</v>
      </c>
      <c r="W163">
        <f t="shared" si="24"/>
        <v>0.97959697732997486</v>
      </c>
      <c r="X163">
        <f t="shared" si="25"/>
        <v>0.44444444444444442</v>
      </c>
    </row>
    <row r="164" spans="1:24" x14ac:dyDescent="0.35">
      <c r="A164">
        <f t="shared" si="26"/>
        <v>4840</v>
      </c>
      <c r="C164">
        <f>Reference_Data!L160-Dark!L160</f>
        <v>3828</v>
      </c>
      <c r="D164">
        <f>Reference_Data!M160-Dark!M160</f>
        <v>4007</v>
      </c>
      <c r="E164">
        <f>Reference_Data!N160-Dark!N160</f>
        <v>546</v>
      </c>
      <c r="F164">
        <f>Sample_Data!L160-Dark!L160</f>
        <v>3829</v>
      </c>
      <c r="G164">
        <f>Sample_Data!M160-Dark!M160</f>
        <v>4006</v>
      </c>
      <c r="H164">
        <f>Sample_Data!N160-Dark!N160</f>
        <v>434</v>
      </c>
      <c r="I164">
        <f t="shared" si="18"/>
        <v>1343.825</v>
      </c>
      <c r="J164" s="3">
        <f t="shared" si="20"/>
        <v>1.0002612330198537</v>
      </c>
      <c r="K164" s="3">
        <f t="shared" si="21"/>
        <v>0.99975043673571251</v>
      </c>
      <c r="L164" s="3">
        <f t="shared" si="22"/>
        <v>0.79487179487179482</v>
      </c>
      <c r="O164">
        <f>Reference_Data!O160-Dark!O160</f>
        <v>2904</v>
      </c>
      <c r="P164">
        <f>Reference_Data!P160-Dark!P160</f>
        <v>3970</v>
      </c>
      <c r="Q164">
        <f>Reference_Data!Q160-Dark!Q160</f>
        <v>292</v>
      </c>
      <c r="R164">
        <f>Sample_Data!O160-Dark!O160</f>
        <v>2904</v>
      </c>
      <c r="S164">
        <f>Sample_Data!P160-Dark!P160</f>
        <v>3821</v>
      </c>
      <c r="T164">
        <f>Sample_Data!Q160-Dark!Q160</f>
        <v>131</v>
      </c>
      <c r="U164">
        <f t="shared" si="19"/>
        <v>2431.4375</v>
      </c>
      <c r="V164">
        <f t="shared" si="23"/>
        <v>1</v>
      </c>
      <c r="W164">
        <f t="shared" si="24"/>
        <v>0.96246851385390431</v>
      </c>
      <c r="X164">
        <f t="shared" si="25"/>
        <v>0.44863013698630139</v>
      </c>
    </row>
    <row r="165" spans="1:24" x14ac:dyDescent="0.35">
      <c r="A165">
        <f t="shared" si="26"/>
        <v>4870</v>
      </c>
      <c r="C165">
        <f>Reference_Data!L161-Dark!L161</f>
        <v>3824</v>
      </c>
      <c r="D165">
        <f>Reference_Data!M161-Dark!M161</f>
        <v>4006</v>
      </c>
      <c r="E165">
        <f>Reference_Data!N161-Dark!N161</f>
        <v>546</v>
      </c>
      <c r="F165">
        <f>Sample_Data!L161-Dark!L161</f>
        <v>3824</v>
      </c>
      <c r="G165">
        <f>Sample_Data!M161-Dark!M161</f>
        <v>4007</v>
      </c>
      <c r="H165">
        <f>Sample_Data!N161-Dark!N161</f>
        <v>431</v>
      </c>
      <c r="I165">
        <f t="shared" si="18"/>
        <v>1347.4437499999999</v>
      </c>
      <c r="J165" s="3">
        <f t="shared" si="20"/>
        <v>1</v>
      </c>
      <c r="K165" s="3">
        <f t="shared" si="21"/>
        <v>1.0002496255616575</v>
      </c>
      <c r="L165" s="3">
        <f t="shared" si="22"/>
        <v>0.78937728937728935</v>
      </c>
      <c r="O165">
        <f>Reference_Data!O161-Dark!O161</f>
        <v>2916</v>
      </c>
      <c r="P165">
        <f>Reference_Data!P161-Dark!P161</f>
        <v>3962</v>
      </c>
      <c r="Q165">
        <f>Reference_Data!Q161-Dark!Q161</f>
        <v>261</v>
      </c>
      <c r="R165">
        <f>Sample_Data!O161-Dark!O161</f>
        <v>2917</v>
      </c>
      <c r="S165">
        <f>Sample_Data!P161-Dark!P161</f>
        <v>3393</v>
      </c>
      <c r="T165">
        <f>Sample_Data!Q161-Dark!Q161</f>
        <v>117</v>
      </c>
      <c r="U165">
        <f t="shared" si="19"/>
        <v>2438.140625</v>
      </c>
      <c r="V165">
        <f t="shared" si="23"/>
        <v>1.0003429355281208</v>
      </c>
      <c r="W165">
        <f t="shared" si="24"/>
        <v>0.85638566380615855</v>
      </c>
      <c r="X165">
        <f t="shared" si="25"/>
        <v>0.44827586206896552</v>
      </c>
    </row>
    <row r="166" spans="1:24" x14ac:dyDescent="0.35">
      <c r="A166">
        <f t="shared" si="26"/>
        <v>4900</v>
      </c>
      <c r="C166">
        <f>Reference_Data!L162-Dark!L162</f>
        <v>3824</v>
      </c>
      <c r="D166">
        <f>Reference_Data!M162-Dark!M162</f>
        <v>4006</v>
      </c>
      <c r="E166">
        <f>Reference_Data!N162-Dark!N162</f>
        <v>545</v>
      </c>
      <c r="F166">
        <f>Sample_Data!L162-Dark!L162</f>
        <v>3824</v>
      </c>
      <c r="G166">
        <f>Sample_Data!M162-Dark!M162</f>
        <v>4007</v>
      </c>
      <c r="H166">
        <f>Sample_Data!N162-Dark!N162</f>
        <v>429</v>
      </c>
      <c r="I166">
        <f t="shared" si="18"/>
        <v>1351.0625</v>
      </c>
      <c r="J166" s="3">
        <f t="shared" si="20"/>
        <v>1</v>
      </c>
      <c r="K166" s="3">
        <f t="shared" si="21"/>
        <v>1.0002496255616575</v>
      </c>
      <c r="L166" s="3">
        <f t="shared" si="22"/>
        <v>0.78715596330275228</v>
      </c>
      <c r="O166">
        <f>Reference_Data!O162-Dark!O162</f>
        <v>2924</v>
      </c>
      <c r="P166">
        <f>Reference_Data!P162-Dark!P162</f>
        <v>3953</v>
      </c>
      <c r="Q166">
        <f>Reference_Data!Q162-Dark!Q162</f>
        <v>228</v>
      </c>
      <c r="R166">
        <f>Sample_Data!O162-Dark!O162</f>
        <v>2924</v>
      </c>
      <c r="S166">
        <f>Sample_Data!P162-Dark!P162</f>
        <v>2924</v>
      </c>
      <c r="T166">
        <f>Sample_Data!Q162-Dark!Q162</f>
        <v>100</v>
      </c>
      <c r="U166">
        <f t="shared" si="19"/>
        <v>2444.84375</v>
      </c>
      <c r="V166">
        <f t="shared" si="23"/>
        <v>1</v>
      </c>
      <c r="W166">
        <f t="shared" si="24"/>
        <v>0.73969137364027326</v>
      </c>
      <c r="X166">
        <f t="shared" si="25"/>
        <v>0.43859649122807015</v>
      </c>
    </row>
    <row r="167" spans="1:24" x14ac:dyDescent="0.35">
      <c r="A167">
        <f t="shared" si="26"/>
        <v>4930</v>
      </c>
      <c r="C167">
        <f>Reference_Data!L163-Dark!L163</f>
        <v>3823</v>
      </c>
      <c r="D167">
        <f>Reference_Data!M163-Dark!M163</f>
        <v>4007</v>
      </c>
      <c r="E167">
        <f>Reference_Data!N163-Dark!N163</f>
        <v>542</v>
      </c>
      <c r="F167">
        <f>Sample_Data!L163-Dark!L163</f>
        <v>3823</v>
      </c>
      <c r="G167">
        <f>Sample_Data!M163-Dark!M163</f>
        <v>4007</v>
      </c>
      <c r="H167">
        <f>Sample_Data!N163-Dark!N163</f>
        <v>424</v>
      </c>
      <c r="I167">
        <f t="shared" si="18"/>
        <v>1354.6812500000001</v>
      </c>
      <c r="J167" s="3">
        <f t="shared" si="20"/>
        <v>1</v>
      </c>
      <c r="K167" s="3">
        <f t="shared" si="21"/>
        <v>1</v>
      </c>
      <c r="L167" s="3">
        <f t="shared" si="22"/>
        <v>0.78228782287822873</v>
      </c>
      <c r="O167">
        <f>Reference_Data!O163-Dark!O163</f>
        <v>2937</v>
      </c>
      <c r="P167">
        <f>Reference_Data!P163-Dark!P163</f>
        <v>3938</v>
      </c>
      <c r="Q167">
        <f>Reference_Data!Q163-Dark!Q163</f>
        <v>193</v>
      </c>
      <c r="R167">
        <f>Sample_Data!O163-Dark!O163</f>
        <v>2938</v>
      </c>
      <c r="S167">
        <f>Sample_Data!P163-Dark!P163</f>
        <v>2492</v>
      </c>
      <c r="T167">
        <f>Sample_Data!Q163-Dark!Q163</f>
        <v>84</v>
      </c>
      <c r="U167">
        <f t="shared" si="19"/>
        <v>2451.546875</v>
      </c>
      <c r="V167">
        <f t="shared" si="23"/>
        <v>1.0003404834865508</v>
      </c>
      <c r="W167">
        <f t="shared" si="24"/>
        <v>0.63280853224987299</v>
      </c>
      <c r="X167">
        <f t="shared" si="25"/>
        <v>0.43523316062176165</v>
      </c>
    </row>
    <row r="168" spans="1:24" x14ac:dyDescent="0.35">
      <c r="A168">
        <f t="shared" si="26"/>
        <v>4960</v>
      </c>
      <c r="C168">
        <f>Reference_Data!L164-Dark!L164</f>
        <v>3826</v>
      </c>
      <c r="D168">
        <f>Reference_Data!M164-Dark!M164</f>
        <v>4006</v>
      </c>
      <c r="E168">
        <f>Reference_Data!N164-Dark!N164</f>
        <v>538</v>
      </c>
      <c r="F168">
        <f>Sample_Data!L164-Dark!L164</f>
        <v>3826</v>
      </c>
      <c r="G168">
        <f>Sample_Data!M164-Dark!M164</f>
        <v>4006</v>
      </c>
      <c r="H168">
        <f>Sample_Data!N164-Dark!N164</f>
        <v>417</v>
      </c>
      <c r="I168">
        <f t="shared" si="18"/>
        <v>1358.3000000000002</v>
      </c>
      <c r="J168" s="3">
        <f t="shared" si="20"/>
        <v>1</v>
      </c>
      <c r="K168" s="3">
        <f t="shared" si="21"/>
        <v>1</v>
      </c>
      <c r="L168" s="3">
        <f t="shared" si="22"/>
        <v>0.77509293680297398</v>
      </c>
      <c r="O168">
        <f>Reference_Data!O164-Dark!O164</f>
        <v>2944</v>
      </c>
      <c r="P168">
        <f>Reference_Data!P164-Dark!P164</f>
        <v>3919</v>
      </c>
      <c r="Q168">
        <f>Reference_Data!Q164-Dark!Q164</f>
        <v>164</v>
      </c>
      <c r="R168">
        <f>Sample_Data!O164-Dark!O164</f>
        <v>2944</v>
      </c>
      <c r="S168">
        <f>Sample_Data!P164-Dark!P164</f>
        <v>2104</v>
      </c>
      <c r="T168">
        <f>Sample_Data!Q164-Dark!Q164</f>
        <v>71</v>
      </c>
      <c r="U168">
        <f t="shared" si="19"/>
        <v>2458.25</v>
      </c>
      <c r="V168">
        <f t="shared" si="23"/>
        <v>1</v>
      </c>
      <c r="W168">
        <f t="shared" si="24"/>
        <v>0.53687165093136002</v>
      </c>
      <c r="X168">
        <f t="shared" si="25"/>
        <v>0.43292682926829268</v>
      </c>
    </row>
    <row r="169" spans="1:24" x14ac:dyDescent="0.35">
      <c r="A169">
        <f t="shared" si="26"/>
        <v>4990</v>
      </c>
      <c r="C169">
        <f>Reference_Data!L165-Dark!L165</f>
        <v>3828</v>
      </c>
      <c r="D169">
        <f>Reference_Data!M165-Dark!M165</f>
        <v>4006</v>
      </c>
      <c r="E169">
        <f>Reference_Data!N165-Dark!N165</f>
        <v>538</v>
      </c>
      <c r="F169">
        <f>Sample_Data!L165-Dark!L165</f>
        <v>3828</v>
      </c>
      <c r="G169">
        <f>Sample_Data!M165-Dark!M165</f>
        <v>4007</v>
      </c>
      <c r="H169">
        <f>Sample_Data!N165-Dark!N165</f>
        <v>412</v>
      </c>
      <c r="I169">
        <f t="shared" si="18"/>
        <v>1361.91875</v>
      </c>
      <c r="J169" s="3">
        <f t="shared" si="20"/>
        <v>1</v>
      </c>
      <c r="K169" s="3">
        <f t="shared" si="21"/>
        <v>1.0002496255616575</v>
      </c>
      <c r="L169" s="3">
        <f t="shared" si="22"/>
        <v>0.76579925650557623</v>
      </c>
      <c r="O169">
        <f>Reference_Data!O165-Dark!O165</f>
        <v>2951</v>
      </c>
      <c r="P169">
        <f>Reference_Data!P165-Dark!P165</f>
        <v>3875</v>
      </c>
      <c r="Q169">
        <f>Reference_Data!Q165-Dark!Q165</f>
        <v>138</v>
      </c>
      <c r="R169">
        <f>Sample_Data!O165-Dark!O165</f>
        <v>2951</v>
      </c>
      <c r="S169">
        <f>Sample_Data!P165-Dark!P165</f>
        <v>1794</v>
      </c>
      <c r="T169">
        <f>Sample_Data!Q165-Dark!Q165</f>
        <v>59</v>
      </c>
      <c r="U169">
        <f t="shared" si="19"/>
        <v>2464.953125</v>
      </c>
      <c r="V169">
        <f t="shared" si="23"/>
        <v>1</v>
      </c>
      <c r="W169">
        <f t="shared" si="24"/>
        <v>0.46296774193548385</v>
      </c>
      <c r="X169">
        <f t="shared" si="25"/>
        <v>0.42753623188405798</v>
      </c>
    </row>
    <row r="170" spans="1:24" x14ac:dyDescent="0.35">
      <c r="A170">
        <f t="shared" si="26"/>
        <v>5020</v>
      </c>
      <c r="C170">
        <f>Reference_Data!L166-Dark!L166</f>
        <v>3830</v>
      </c>
      <c r="D170">
        <f>Reference_Data!M166-Dark!M166</f>
        <v>4006</v>
      </c>
      <c r="E170">
        <f>Reference_Data!N166-Dark!N166</f>
        <v>537</v>
      </c>
      <c r="F170">
        <f>Sample_Data!L166-Dark!L166</f>
        <v>3831</v>
      </c>
      <c r="G170">
        <f>Sample_Data!M166-Dark!M166</f>
        <v>4006</v>
      </c>
      <c r="H170">
        <f>Sample_Data!N166-Dark!N166</f>
        <v>409</v>
      </c>
      <c r="I170">
        <f t="shared" si="18"/>
        <v>1365.5374999999999</v>
      </c>
      <c r="J170" s="3">
        <f t="shared" si="20"/>
        <v>1.0002610966057441</v>
      </c>
      <c r="K170" s="3">
        <f t="shared" si="21"/>
        <v>1</v>
      </c>
      <c r="L170" s="3">
        <f t="shared" si="22"/>
        <v>0.76163873370577284</v>
      </c>
      <c r="O170">
        <f>Reference_Data!O166-Dark!O166</f>
        <v>2960</v>
      </c>
      <c r="P170">
        <f>Reference_Data!P166-Dark!P166</f>
        <v>3528</v>
      </c>
      <c r="Q170">
        <f>Reference_Data!Q166-Dark!Q166</f>
        <v>120</v>
      </c>
      <c r="R170">
        <f>Sample_Data!O166-Dark!O166</f>
        <v>2961</v>
      </c>
      <c r="S170">
        <f>Sample_Data!P166-Dark!P166</f>
        <v>1536</v>
      </c>
      <c r="T170">
        <f>Sample_Data!Q166-Dark!Q166</f>
        <v>52</v>
      </c>
      <c r="U170">
        <f t="shared" si="19"/>
        <v>2471.65625</v>
      </c>
      <c r="V170">
        <f t="shared" si="23"/>
        <v>1.0003378378378378</v>
      </c>
      <c r="W170">
        <f t="shared" si="24"/>
        <v>0.43537414965986393</v>
      </c>
      <c r="X170">
        <f t="shared" si="25"/>
        <v>0.43333333333333335</v>
      </c>
    </row>
    <row r="171" spans="1:24" x14ac:dyDescent="0.35">
      <c r="A171">
        <f t="shared" si="26"/>
        <v>5050</v>
      </c>
      <c r="C171">
        <f>Reference_Data!L167-Dark!L167</f>
        <v>3830</v>
      </c>
      <c r="D171">
        <f>Reference_Data!M167-Dark!M167</f>
        <v>4006</v>
      </c>
      <c r="E171">
        <f>Reference_Data!N167-Dark!N167</f>
        <v>539</v>
      </c>
      <c r="F171">
        <f>Sample_Data!L167-Dark!L167</f>
        <v>3831</v>
      </c>
      <c r="G171">
        <f>Sample_Data!M167-Dark!M167</f>
        <v>4006</v>
      </c>
      <c r="H171">
        <f>Sample_Data!N167-Dark!N167</f>
        <v>410</v>
      </c>
      <c r="I171">
        <f t="shared" si="18"/>
        <v>1369.15625</v>
      </c>
      <c r="J171" s="3">
        <f t="shared" si="20"/>
        <v>1.0002610966057441</v>
      </c>
      <c r="K171" s="3">
        <f t="shared" si="21"/>
        <v>1</v>
      </c>
      <c r="L171" s="3">
        <f t="shared" si="22"/>
        <v>0.76066790352504643</v>
      </c>
      <c r="O171">
        <f>Reference_Data!O167-Dark!O167</f>
        <v>2971</v>
      </c>
      <c r="P171">
        <f>Reference_Data!P167-Dark!P167</f>
        <v>3066</v>
      </c>
      <c r="Q171">
        <f>Reference_Data!Q167-Dark!Q167</f>
        <v>103</v>
      </c>
      <c r="R171">
        <f>Sample_Data!O167-Dark!O167</f>
        <v>2970</v>
      </c>
      <c r="S171">
        <f>Sample_Data!P167-Dark!P167</f>
        <v>1345</v>
      </c>
      <c r="T171">
        <f>Sample_Data!Q167-Dark!Q167</f>
        <v>46</v>
      </c>
      <c r="U171">
        <f t="shared" si="19"/>
        <v>2478.359375</v>
      </c>
      <c r="V171">
        <f t="shared" si="23"/>
        <v>0.99966341299225847</v>
      </c>
      <c r="W171">
        <f t="shared" si="24"/>
        <v>0.43868232224396608</v>
      </c>
      <c r="X171">
        <f t="shared" si="25"/>
        <v>0.44660194174757284</v>
      </c>
    </row>
    <row r="172" spans="1:24" x14ac:dyDescent="0.35">
      <c r="A172">
        <f t="shared" si="26"/>
        <v>5080</v>
      </c>
      <c r="C172">
        <f>Reference_Data!L168-Dark!L168</f>
        <v>3823</v>
      </c>
      <c r="D172">
        <f>Reference_Data!M168-Dark!M168</f>
        <v>4006</v>
      </c>
      <c r="E172">
        <f>Reference_Data!N168-Dark!N168</f>
        <v>544</v>
      </c>
      <c r="F172">
        <f>Sample_Data!L168-Dark!L168</f>
        <v>3824</v>
      </c>
      <c r="G172">
        <f>Sample_Data!M168-Dark!M168</f>
        <v>4006</v>
      </c>
      <c r="H172">
        <f>Sample_Data!N168-Dark!N168</f>
        <v>412</v>
      </c>
      <c r="I172">
        <f t="shared" si="18"/>
        <v>1372.7750000000001</v>
      </c>
      <c r="J172" s="3">
        <f t="shared" si="20"/>
        <v>1.0002615746795711</v>
      </c>
      <c r="K172" s="3">
        <f t="shared" si="21"/>
        <v>1</v>
      </c>
      <c r="L172" s="3">
        <f t="shared" si="22"/>
        <v>0.75735294117647056</v>
      </c>
      <c r="O172">
        <f>Reference_Data!O168-Dark!O168</f>
        <v>2984</v>
      </c>
      <c r="P172">
        <f>Reference_Data!P168-Dark!P168</f>
        <v>2673</v>
      </c>
      <c r="Q172">
        <f>Reference_Data!Q168-Dark!Q168</f>
        <v>91</v>
      </c>
      <c r="R172">
        <f>Sample_Data!O168-Dark!O168</f>
        <v>2985</v>
      </c>
      <c r="S172">
        <f>Sample_Data!P168-Dark!P168</f>
        <v>1175</v>
      </c>
      <c r="T172">
        <f>Sample_Data!Q168-Dark!Q168</f>
        <v>41</v>
      </c>
      <c r="U172">
        <f t="shared" si="19"/>
        <v>2485.0625</v>
      </c>
      <c r="V172">
        <f t="shared" si="23"/>
        <v>1.0003351206434317</v>
      </c>
      <c r="W172">
        <f t="shared" si="24"/>
        <v>0.43958099513655069</v>
      </c>
      <c r="X172">
        <f t="shared" si="25"/>
        <v>0.45054945054945056</v>
      </c>
    </row>
    <row r="173" spans="1:24" x14ac:dyDescent="0.35">
      <c r="A173">
        <f t="shared" si="26"/>
        <v>5110</v>
      </c>
      <c r="C173">
        <f>Reference_Data!L169-Dark!L169</f>
        <v>3829</v>
      </c>
      <c r="D173">
        <f>Reference_Data!M169-Dark!M169</f>
        <v>4007</v>
      </c>
      <c r="E173">
        <f>Reference_Data!N169-Dark!N169</f>
        <v>553</v>
      </c>
      <c r="F173">
        <f>Sample_Data!L169-Dark!L169</f>
        <v>3828</v>
      </c>
      <c r="G173">
        <f>Sample_Data!M169-Dark!M169</f>
        <v>4006</v>
      </c>
      <c r="H173">
        <f>Sample_Data!N169-Dark!N169</f>
        <v>415</v>
      </c>
      <c r="I173">
        <f t="shared" si="18"/>
        <v>1376.3937500000002</v>
      </c>
      <c r="J173" s="3">
        <f t="shared" si="20"/>
        <v>0.99973883520501439</v>
      </c>
      <c r="K173" s="3">
        <f t="shared" si="21"/>
        <v>0.99975043673571251</v>
      </c>
      <c r="L173" s="3">
        <f t="shared" si="22"/>
        <v>0.75045207956600357</v>
      </c>
      <c r="O173">
        <f>Reference_Data!O169-Dark!O169</f>
        <v>2991</v>
      </c>
      <c r="P173">
        <f>Reference_Data!P169-Dark!P169</f>
        <v>2339</v>
      </c>
      <c r="Q173">
        <f>Reference_Data!Q169-Dark!Q169</f>
        <v>77</v>
      </c>
      <c r="R173">
        <f>Sample_Data!O169-Dark!O169</f>
        <v>2992</v>
      </c>
      <c r="S173">
        <f>Sample_Data!P169-Dark!P169</f>
        <v>1033</v>
      </c>
      <c r="T173">
        <f>Sample_Data!Q169-Dark!Q169</f>
        <v>33</v>
      </c>
      <c r="U173">
        <f t="shared" si="19"/>
        <v>2491.765625</v>
      </c>
      <c r="V173">
        <f t="shared" si="23"/>
        <v>1.0003343363423605</v>
      </c>
      <c r="W173">
        <f t="shared" si="24"/>
        <v>0.44164172723386064</v>
      </c>
      <c r="X173">
        <f t="shared" si="25"/>
        <v>0.42857142857142855</v>
      </c>
    </row>
    <row r="174" spans="1:24" x14ac:dyDescent="0.35">
      <c r="A174">
        <f t="shared" si="26"/>
        <v>5140</v>
      </c>
      <c r="C174">
        <f>Reference_Data!L170-Dark!L170</f>
        <v>3832</v>
      </c>
      <c r="D174">
        <f>Reference_Data!M170-Dark!M170</f>
        <v>4006</v>
      </c>
      <c r="E174">
        <f>Reference_Data!N170-Dark!N170</f>
        <v>567</v>
      </c>
      <c r="F174">
        <f>Sample_Data!L170-Dark!L170</f>
        <v>3832</v>
      </c>
      <c r="G174">
        <f>Sample_Data!M170-Dark!M170</f>
        <v>4006</v>
      </c>
      <c r="H174">
        <f>Sample_Data!N170-Dark!N170</f>
        <v>423</v>
      </c>
      <c r="I174">
        <f t="shared" si="18"/>
        <v>1380.0125</v>
      </c>
      <c r="J174" s="3">
        <f t="shared" si="20"/>
        <v>1</v>
      </c>
      <c r="K174" s="3">
        <f t="shared" si="21"/>
        <v>1</v>
      </c>
      <c r="L174" s="3">
        <f t="shared" si="22"/>
        <v>0.74603174603174605</v>
      </c>
      <c r="O174">
        <f>Reference_Data!O170-Dark!O170</f>
        <v>3000</v>
      </c>
      <c r="P174">
        <f>Reference_Data!P170-Dark!P170</f>
        <v>2035</v>
      </c>
      <c r="Q174">
        <f>Reference_Data!Q170-Dark!Q170</f>
        <v>69</v>
      </c>
      <c r="R174">
        <f>Sample_Data!O170-Dark!O170</f>
        <v>3000</v>
      </c>
      <c r="S174">
        <f>Sample_Data!P170-Dark!P170</f>
        <v>907</v>
      </c>
      <c r="T174">
        <f>Sample_Data!Q170-Dark!Q170</f>
        <v>31</v>
      </c>
      <c r="U174">
        <f t="shared" si="19"/>
        <v>2498.46875</v>
      </c>
      <c r="V174">
        <f t="shared" si="23"/>
        <v>1</v>
      </c>
      <c r="W174">
        <f t="shared" si="24"/>
        <v>0.44570024570024569</v>
      </c>
      <c r="X174">
        <f t="shared" si="25"/>
        <v>0.44927536231884058</v>
      </c>
    </row>
    <row r="175" spans="1:24" x14ac:dyDescent="0.35">
      <c r="A175">
        <f t="shared" si="26"/>
        <v>5170</v>
      </c>
      <c r="C175">
        <f>Reference_Data!L171-Dark!L171</f>
        <v>3823</v>
      </c>
      <c r="D175">
        <f>Reference_Data!M171-Dark!M171</f>
        <v>4006</v>
      </c>
      <c r="E175">
        <f>Reference_Data!N171-Dark!N171</f>
        <v>575</v>
      </c>
      <c r="F175">
        <f>Sample_Data!L171-Dark!L171</f>
        <v>3824</v>
      </c>
      <c r="G175">
        <f>Sample_Data!M171-Dark!M171</f>
        <v>4006</v>
      </c>
      <c r="H175">
        <f>Sample_Data!N171-Dark!N171</f>
        <v>421</v>
      </c>
      <c r="I175">
        <f t="shared" si="18"/>
        <v>1383.6312499999999</v>
      </c>
      <c r="J175" s="3">
        <f t="shared" si="20"/>
        <v>1.0002615746795711</v>
      </c>
      <c r="K175" s="3">
        <f t="shared" si="21"/>
        <v>1</v>
      </c>
      <c r="L175" s="3">
        <f t="shared" si="22"/>
        <v>0.73217391304347823</v>
      </c>
      <c r="O175">
        <f>Reference_Data!O171-Dark!O171</f>
        <v>3007</v>
      </c>
      <c r="P175">
        <f>Reference_Data!P171-Dark!P171</f>
        <v>1767</v>
      </c>
      <c r="Q175">
        <f>Reference_Data!Q171-Dark!Q171</f>
        <v>60</v>
      </c>
      <c r="R175">
        <f>Sample_Data!O171-Dark!O171</f>
        <v>3008</v>
      </c>
      <c r="S175">
        <f>Sample_Data!P171-Dark!P171</f>
        <v>801</v>
      </c>
      <c r="T175">
        <f>Sample_Data!Q171-Dark!Q171</f>
        <v>27</v>
      </c>
      <c r="U175">
        <f t="shared" si="19"/>
        <v>2505.171875</v>
      </c>
      <c r="V175">
        <f t="shared" si="23"/>
        <v>1.0003325573661457</v>
      </c>
      <c r="W175">
        <f t="shared" si="24"/>
        <v>0.4533106960950764</v>
      </c>
      <c r="X175">
        <f t="shared" si="25"/>
        <v>0.45</v>
      </c>
    </row>
    <row r="176" spans="1:24" x14ac:dyDescent="0.35">
      <c r="A176">
        <f t="shared" si="26"/>
        <v>5200</v>
      </c>
      <c r="C176">
        <f>Reference_Data!L172-Dark!L172</f>
        <v>3826</v>
      </c>
      <c r="D176">
        <f>Reference_Data!M172-Dark!M172</f>
        <v>4006</v>
      </c>
      <c r="E176">
        <f>Reference_Data!N172-Dark!N172</f>
        <v>578</v>
      </c>
      <c r="F176">
        <f>Sample_Data!L172-Dark!L172</f>
        <v>3826</v>
      </c>
      <c r="G176">
        <f>Sample_Data!M172-Dark!M172</f>
        <v>4006</v>
      </c>
      <c r="H176">
        <f>Sample_Data!N172-Dark!N172</f>
        <v>414</v>
      </c>
      <c r="I176">
        <f t="shared" si="18"/>
        <v>1387.25</v>
      </c>
      <c r="J176" s="3">
        <f t="shared" si="20"/>
        <v>1</v>
      </c>
      <c r="K176" s="3">
        <f t="shared" si="21"/>
        <v>1</v>
      </c>
      <c r="L176" s="3">
        <f t="shared" si="22"/>
        <v>0.7162629757785467</v>
      </c>
      <c r="O176">
        <f>Reference_Data!O172-Dark!O172</f>
        <v>3018</v>
      </c>
      <c r="P176">
        <f>Reference_Data!P172-Dark!P172</f>
        <v>1530</v>
      </c>
      <c r="Q176">
        <f>Reference_Data!Q172-Dark!Q172</f>
        <v>52</v>
      </c>
      <c r="R176">
        <f>Sample_Data!O172-Dark!O172</f>
        <v>3017</v>
      </c>
      <c r="S176">
        <f>Sample_Data!P172-Dark!P172</f>
        <v>704</v>
      </c>
      <c r="T176">
        <f>Sample_Data!Q172-Dark!Q172</f>
        <v>24</v>
      </c>
      <c r="U176">
        <f t="shared" si="19"/>
        <v>2511.875</v>
      </c>
      <c r="V176">
        <f t="shared" si="23"/>
        <v>0.99966865473823729</v>
      </c>
      <c r="W176">
        <f t="shared" si="24"/>
        <v>0.46013071895424834</v>
      </c>
      <c r="X176">
        <f t="shared" si="25"/>
        <v>0.46153846153846156</v>
      </c>
    </row>
    <row r="177" spans="1:24" x14ac:dyDescent="0.35">
      <c r="A177">
        <f t="shared" si="26"/>
        <v>5230</v>
      </c>
      <c r="C177">
        <f>Reference_Data!L173-Dark!L173</f>
        <v>3827</v>
      </c>
      <c r="D177">
        <f>Reference_Data!M173-Dark!M173</f>
        <v>4006</v>
      </c>
      <c r="E177">
        <f>Reference_Data!N173-Dark!N173</f>
        <v>578</v>
      </c>
      <c r="F177">
        <f>Sample_Data!L173-Dark!L173</f>
        <v>3827</v>
      </c>
      <c r="G177">
        <f>Sample_Data!M173-Dark!M173</f>
        <v>4006</v>
      </c>
      <c r="H177">
        <f>Sample_Data!N173-Dark!N173</f>
        <v>403</v>
      </c>
      <c r="I177">
        <f t="shared" si="18"/>
        <v>1390.8687500000001</v>
      </c>
      <c r="J177" s="3">
        <f t="shared" si="20"/>
        <v>1</v>
      </c>
      <c r="K177" s="3">
        <f t="shared" si="21"/>
        <v>1</v>
      </c>
      <c r="L177" s="3">
        <f t="shared" si="22"/>
        <v>0.69723183391003463</v>
      </c>
      <c r="O177">
        <f>Reference_Data!O173-Dark!O173</f>
        <v>3024</v>
      </c>
      <c r="P177">
        <f>Reference_Data!P173-Dark!P173</f>
        <v>1331</v>
      </c>
      <c r="Q177">
        <f>Reference_Data!Q173-Dark!Q173</f>
        <v>46</v>
      </c>
      <c r="R177">
        <f>Sample_Data!O173-Dark!O173</f>
        <v>3025</v>
      </c>
      <c r="S177">
        <f>Sample_Data!P173-Dark!P173</f>
        <v>620</v>
      </c>
      <c r="T177">
        <f>Sample_Data!Q173-Dark!Q173</f>
        <v>20</v>
      </c>
      <c r="U177">
        <f t="shared" si="19"/>
        <v>2518.578125</v>
      </c>
      <c r="V177">
        <f t="shared" si="23"/>
        <v>1.0003306878306879</v>
      </c>
      <c r="W177">
        <f t="shared" si="24"/>
        <v>0.46581517655897819</v>
      </c>
      <c r="X177">
        <f t="shared" si="25"/>
        <v>0.43478260869565216</v>
      </c>
    </row>
    <row r="178" spans="1:24" x14ac:dyDescent="0.35">
      <c r="A178">
        <f t="shared" si="26"/>
        <v>5260</v>
      </c>
      <c r="C178">
        <f>Reference_Data!L174-Dark!L174</f>
        <v>3832</v>
      </c>
      <c r="D178">
        <f>Reference_Data!M174-Dark!M174</f>
        <v>4006</v>
      </c>
      <c r="E178">
        <f>Reference_Data!N174-Dark!N174</f>
        <v>573</v>
      </c>
      <c r="F178">
        <f>Sample_Data!L174-Dark!L174</f>
        <v>3831</v>
      </c>
      <c r="G178">
        <f>Sample_Data!M174-Dark!M174</f>
        <v>4006</v>
      </c>
      <c r="H178">
        <f>Sample_Data!N174-Dark!N174</f>
        <v>389</v>
      </c>
      <c r="I178">
        <f t="shared" si="18"/>
        <v>1394.4875000000002</v>
      </c>
      <c r="J178" s="3">
        <f t="shared" si="20"/>
        <v>0.99973903966597077</v>
      </c>
      <c r="K178" s="3">
        <f t="shared" si="21"/>
        <v>1</v>
      </c>
      <c r="L178" s="3">
        <f t="shared" si="22"/>
        <v>0.67888307155322858</v>
      </c>
      <c r="O178">
        <f>Reference_Data!O174-Dark!O174</f>
        <v>3030</v>
      </c>
      <c r="P178">
        <f>Reference_Data!P174-Dark!P174</f>
        <v>1159</v>
      </c>
      <c r="Q178">
        <f>Reference_Data!Q174-Dark!Q174</f>
        <v>41</v>
      </c>
      <c r="R178">
        <f>Sample_Data!O174-Dark!O174</f>
        <v>3029</v>
      </c>
      <c r="S178">
        <f>Sample_Data!P174-Dark!P174</f>
        <v>551</v>
      </c>
      <c r="T178">
        <f>Sample_Data!Q174-Dark!Q174</f>
        <v>18</v>
      </c>
      <c r="U178">
        <f t="shared" si="19"/>
        <v>2525.28125</v>
      </c>
      <c r="V178">
        <f t="shared" si="23"/>
        <v>0.99966996699669963</v>
      </c>
      <c r="W178">
        <f t="shared" si="24"/>
        <v>0.47540983606557374</v>
      </c>
      <c r="X178">
        <f t="shared" si="25"/>
        <v>0.43902439024390244</v>
      </c>
    </row>
    <row r="179" spans="1:24" x14ac:dyDescent="0.35">
      <c r="A179">
        <f t="shared" si="26"/>
        <v>5290</v>
      </c>
      <c r="C179">
        <f>Reference_Data!L175-Dark!L175</f>
        <v>3832</v>
      </c>
      <c r="D179">
        <f>Reference_Data!M175-Dark!M175</f>
        <v>4005</v>
      </c>
      <c r="E179">
        <f>Reference_Data!N175-Dark!N175</f>
        <v>567</v>
      </c>
      <c r="F179">
        <f>Sample_Data!L175-Dark!L175</f>
        <v>3833</v>
      </c>
      <c r="G179">
        <f>Sample_Data!M175-Dark!M175</f>
        <v>4006</v>
      </c>
      <c r="H179">
        <f>Sample_Data!N175-Dark!N175</f>
        <v>380</v>
      </c>
      <c r="I179">
        <f t="shared" si="18"/>
        <v>1398.10625</v>
      </c>
      <c r="J179" s="3">
        <f t="shared" si="20"/>
        <v>1.0002609603340293</v>
      </c>
      <c r="K179" s="3">
        <f t="shared" si="21"/>
        <v>1.0002496878901372</v>
      </c>
      <c r="L179" s="3">
        <f t="shared" si="22"/>
        <v>0.67019400352733682</v>
      </c>
      <c r="O179">
        <f>Reference_Data!O175-Dark!O175</f>
        <v>3037</v>
      </c>
      <c r="P179">
        <f>Reference_Data!P175-Dark!P175</f>
        <v>1019</v>
      </c>
      <c r="Q179">
        <f>Reference_Data!Q175-Dark!Q175</f>
        <v>34</v>
      </c>
      <c r="R179">
        <f>Sample_Data!O175-Dark!O175</f>
        <v>3038</v>
      </c>
      <c r="S179">
        <f>Sample_Data!P175-Dark!P175</f>
        <v>496</v>
      </c>
      <c r="T179">
        <f>Sample_Data!Q175-Dark!Q175</f>
        <v>16</v>
      </c>
      <c r="U179">
        <f t="shared" si="19"/>
        <v>2531.984375</v>
      </c>
      <c r="V179">
        <f t="shared" si="23"/>
        <v>1.0003292723081989</v>
      </c>
      <c r="W179">
        <f t="shared" si="24"/>
        <v>0.48675171736997058</v>
      </c>
      <c r="X179">
        <f t="shared" si="25"/>
        <v>0.47058823529411764</v>
      </c>
    </row>
    <row r="180" spans="1:24" x14ac:dyDescent="0.35">
      <c r="A180">
        <f t="shared" si="26"/>
        <v>5320</v>
      </c>
      <c r="C180">
        <f>Reference_Data!L176-Dark!L176</f>
        <v>3823</v>
      </c>
      <c r="D180">
        <f>Reference_Data!M176-Dark!M176</f>
        <v>4007</v>
      </c>
      <c r="E180">
        <f>Reference_Data!N176-Dark!N176</f>
        <v>560</v>
      </c>
      <c r="F180">
        <f>Sample_Data!L176-Dark!L176</f>
        <v>3824</v>
      </c>
      <c r="G180">
        <f>Sample_Data!M176-Dark!M176</f>
        <v>4006</v>
      </c>
      <c r="H180">
        <f>Sample_Data!N176-Dark!N176</f>
        <v>371</v>
      </c>
      <c r="I180">
        <f t="shared" si="18"/>
        <v>1401.7249999999999</v>
      </c>
      <c r="J180" s="3">
        <f t="shared" si="20"/>
        <v>1.0002615746795711</v>
      </c>
      <c r="K180" s="3">
        <f t="shared" si="21"/>
        <v>0.99975043673571251</v>
      </c>
      <c r="L180" s="3">
        <f t="shared" si="22"/>
        <v>0.66249999999999998</v>
      </c>
      <c r="O180">
        <f>Reference_Data!O176-Dark!O176</f>
        <v>3041</v>
      </c>
      <c r="P180">
        <f>Reference_Data!P176-Dark!P176</f>
        <v>906</v>
      </c>
      <c r="Q180">
        <f>Reference_Data!Q176-Dark!Q176</f>
        <v>30</v>
      </c>
      <c r="R180">
        <f>Sample_Data!O176-Dark!O176</f>
        <v>3041</v>
      </c>
      <c r="S180">
        <f>Sample_Data!P176-Dark!P176</f>
        <v>450</v>
      </c>
      <c r="T180">
        <f>Sample_Data!Q176-Dark!Q176</f>
        <v>15</v>
      </c>
      <c r="U180">
        <f t="shared" si="19"/>
        <v>2538.6875</v>
      </c>
      <c r="V180">
        <f t="shared" si="23"/>
        <v>1</v>
      </c>
      <c r="W180">
        <f t="shared" si="24"/>
        <v>0.49668874172185429</v>
      </c>
      <c r="X180">
        <f t="shared" si="25"/>
        <v>0.5</v>
      </c>
    </row>
    <row r="181" spans="1:24" x14ac:dyDescent="0.35">
      <c r="A181">
        <f t="shared" si="26"/>
        <v>5350</v>
      </c>
      <c r="C181">
        <f>Reference_Data!L177-Dark!L177</f>
        <v>3826</v>
      </c>
      <c r="D181">
        <f>Reference_Data!M177-Dark!M177</f>
        <v>4006</v>
      </c>
      <c r="E181">
        <f>Reference_Data!N177-Dark!N177</f>
        <v>560</v>
      </c>
      <c r="F181">
        <f>Sample_Data!L177-Dark!L177</f>
        <v>3827</v>
      </c>
      <c r="G181">
        <f>Sample_Data!M177-Dark!M177</f>
        <v>4006</v>
      </c>
      <c r="H181">
        <f>Sample_Data!N177-Dark!N177</f>
        <v>371</v>
      </c>
      <c r="I181">
        <f t="shared" si="18"/>
        <v>1405.34375</v>
      </c>
      <c r="J181" s="3">
        <f t="shared" si="20"/>
        <v>1.0002613695765812</v>
      </c>
      <c r="K181" s="3">
        <f t="shared" si="21"/>
        <v>1</v>
      </c>
      <c r="L181" s="3">
        <f t="shared" si="22"/>
        <v>0.66249999999999998</v>
      </c>
      <c r="O181">
        <f>Reference_Data!O177-Dark!O177</f>
        <v>3047</v>
      </c>
      <c r="P181">
        <f>Reference_Data!P177-Dark!P177</f>
        <v>816</v>
      </c>
      <c r="Q181">
        <f>Reference_Data!Q177-Dark!Q177</f>
        <v>27</v>
      </c>
      <c r="R181">
        <f>Sample_Data!O177-Dark!O177</f>
        <v>3046</v>
      </c>
      <c r="S181">
        <f>Sample_Data!P177-Dark!P177</f>
        <v>414</v>
      </c>
      <c r="T181">
        <f>Sample_Data!Q177-Dark!Q177</f>
        <v>14</v>
      </c>
      <c r="U181">
        <f t="shared" si="19"/>
        <v>2545.390625</v>
      </c>
      <c r="V181">
        <f t="shared" si="23"/>
        <v>0.99967180833606828</v>
      </c>
      <c r="W181">
        <f t="shared" si="24"/>
        <v>0.50735294117647056</v>
      </c>
      <c r="X181">
        <f t="shared" si="25"/>
        <v>0.51851851851851849</v>
      </c>
    </row>
    <row r="182" spans="1:24" x14ac:dyDescent="0.35">
      <c r="A182">
        <f t="shared" si="26"/>
        <v>5380</v>
      </c>
      <c r="C182">
        <f>Reference_Data!L178-Dark!L178</f>
        <v>3824</v>
      </c>
      <c r="D182">
        <f>Reference_Data!M178-Dark!M178</f>
        <v>4006</v>
      </c>
      <c r="E182">
        <f>Reference_Data!N178-Dark!N178</f>
        <v>565</v>
      </c>
      <c r="F182">
        <f>Sample_Data!L178-Dark!L178</f>
        <v>3824</v>
      </c>
      <c r="G182">
        <f>Sample_Data!M178-Dark!M178</f>
        <v>4007</v>
      </c>
      <c r="H182">
        <f>Sample_Data!N178-Dark!N178</f>
        <v>375</v>
      </c>
      <c r="I182">
        <f t="shared" si="18"/>
        <v>1408.9625000000001</v>
      </c>
      <c r="J182" s="3">
        <f t="shared" si="20"/>
        <v>1</v>
      </c>
      <c r="K182" s="3">
        <f t="shared" si="21"/>
        <v>1.0002496255616575</v>
      </c>
      <c r="L182" s="3">
        <f t="shared" si="22"/>
        <v>0.66371681415929207</v>
      </c>
      <c r="O182">
        <f>Reference_Data!O178-Dark!O178</f>
        <v>3049</v>
      </c>
      <c r="P182">
        <f>Reference_Data!P178-Dark!P178</f>
        <v>740</v>
      </c>
      <c r="Q182">
        <f>Reference_Data!Q178-Dark!Q178</f>
        <v>25</v>
      </c>
      <c r="R182">
        <f>Sample_Data!O178-Dark!O178</f>
        <v>3049</v>
      </c>
      <c r="S182">
        <f>Sample_Data!P178-Dark!P178</f>
        <v>386</v>
      </c>
      <c r="T182">
        <f>Sample_Data!Q178-Dark!Q178</f>
        <v>12</v>
      </c>
      <c r="U182">
        <f t="shared" si="19"/>
        <v>2552.09375</v>
      </c>
      <c r="V182">
        <f t="shared" si="23"/>
        <v>1</v>
      </c>
      <c r="W182">
        <f t="shared" si="24"/>
        <v>0.52162162162162162</v>
      </c>
      <c r="X182">
        <f t="shared" si="25"/>
        <v>0.48</v>
      </c>
    </row>
    <row r="183" spans="1:24" x14ac:dyDescent="0.35">
      <c r="A183">
        <f t="shared" si="26"/>
        <v>5410</v>
      </c>
      <c r="C183">
        <f>Reference_Data!L179-Dark!L179</f>
        <v>3820</v>
      </c>
      <c r="D183">
        <f>Reference_Data!M179-Dark!M179</f>
        <v>4006</v>
      </c>
      <c r="E183">
        <f>Reference_Data!N179-Dark!N179</f>
        <v>566</v>
      </c>
      <c r="F183">
        <f>Sample_Data!L179-Dark!L179</f>
        <v>3820</v>
      </c>
      <c r="G183">
        <f>Sample_Data!M179-Dark!M179</f>
        <v>4007</v>
      </c>
      <c r="H183">
        <f>Sample_Data!N179-Dark!N179</f>
        <v>376</v>
      </c>
      <c r="I183">
        <f t="shared" si="18"/>
        <v>1412.5812500000002</v>
      </c>
      <c r="J183" s="3">
        <f t="shared" si="20"/>
        <v>1</v>
      </c>
      <c r="K183" s="3">
        <f t="shared" si="21"/>
        <v>1.0002496255616575</v>
      </c>
      <c r="L183" s="3">
        <f t="shared" si="22"/>
        <v>0.66431095406360419</v>
      </c>
      <c r="O183">
        <f>Reference_Data!O179-Dark!O179</f>
        <v>3054</v>
      </c>
      <c r="P183">
        <f>Reference_Data!P179-Dark!P179</f>
        <v>675</v>
      </c>
      <c r="Q183">
        <f>Reference_Data!Q179-Dark!Q179</f>
        <v>21</v>
      </c>
      <c r="R183">
        <f>Sample_Data!O179-Dark!O179</f>
        <v>3053</v>
      </c>
      <c r="S183">
        <f>Sample_Data!P179-Dark!P179</f>
        <v>360</v>
      </c>
      <c r="T183">
        <f>Sample_Data!Q179-Dark!Q179</f>
        <v>11</v>
      </c>
      <c r="U183">
        <f t="shared" si="19"/>
        <v>2558.796875</v>
      </c>
      <c r="V183">
        <f t="shared" si="23"/>
        <v>0.99967256057629339</v>
      </c>
      <c r="W183">
        <f t="shared" si="24"/>
        <v>0.53333333333333333</v>
      </c>
      <c r="X183">
        <f t="shared" si="25"/>
        <v>0.52380952380952384</v>
      </c>
    </row>
    <row r="184" spans="1:24" x14ac:dyDescent="0.35">
      <c r="A184">
        <f t="shared" si="26"/>
        <v>5440</v>
      </c>
      <c r="C184">
        <f>Reference_Data!L180-Dark!L180</f>
        <v>3839</v>
      </c>
      <c r="D184">
        <f>Reference_Data!M180-Dark!M180</f>
        <v>4006</v>
      </c>
      <c r="E184">
        <f>Reference_Data!N180-Dark!N180</f>
        <v>569</v>
      </c>
      <c r="F184">
        <f>Sample_Data!L180-Dark!L180</f>
        <v>3837</v>
      </c>
      <c r="G184">
        <f>Sample_Data!M180-Dark!M180</f>
        <v>4006</v>
      </c>
      <c r="H184">
        <f>Sample_Data!N180-Dark!N180</f>
        <v>381</v>
      </c>
      <c r="I184">
        <f t="shared" si="18"/>
        <v>1416.2</v>
      </c>
      <c r="J184" s="3">
        <f t="shared" si="20"/>
        <v>0.99947903099765567</v>
      </c>
      <c r="K184" s="3">
        <f t="shared" si="21"/>
        <v>1</v>
      </c>
      <c r="L184" s="3">
        <f t="shared" si="22"/>
        <v>0.66959578207381376</v>
      </c>
      <c r="O184">
        <f>Reference_Data!O180-Dark!O180</f>
        <v>3056</v>
      </c>
      <c r="P184">
        <f>Reference_Data!P180-Dark!P180</f>
        <v>615</v>
      </c>
      <c r="Q184">
        <f>Reference_Data!Q180-Dark!Q180</f>
        <v>20</v>
      </c>
      <c r="R184">
        <f>Sample_Data!O180-Dark!O180</f>
        <v>3056</v>
      </c>
      <c r="S184">
        <f>Sample_Data!P180-Dark!P180</f>
        <v>339</v>
      </c>
      <c r="T184">
        <f>Sample_Data!Q180-Dark!Q180</f>
        <v>11</v>
      </c>
      <c r="U184">
        <f t="shared" si="19"/>
        <v>2565.5</v>
      </c>
      <c r="V184">
        <f t="shared" si="23"/>
        <v>1</v>
      </c>
      <c r="W184">
        <f t="shared" si="24"/>
        <v>0.551219512195122</v>
      </c>
      <c r="X184">
        <f t="shared" si="25"/>
        <v>0.55000000000000004</v>
      </c>
    </row>
    <row r="185" spans="1:24" x14ac:dyDescent="0.35">
      <c r="A185">
        <f t="shared" si="26"/>
        <v>5470</v>
      </c>
      <c r="C185">
        <f>Reference_Data!L181-Dark!L181</f>
        <v>3832</v>
      </c>
      <c r="D185">
        <f>Reference_Data!M181-Dark!M181</f>
        <v>4006</v>
      </c>
      <c r="E185">
        <f>Reference_Data!N181-Dark!N181</f>
        <v>572</v>
      </c>
      <c r="F185">
        <f>Sample_Data!L181-Dark!L181</f>
        <v>3832</v>
      </c>
      <c r="G185">
        <f>Sample_Data!M181-Dark!M181</f>
        <v>4007</v>
      </c>
      <c r="H185">
        <f>Sample_Data!N181-Dark!N181</f>
        <v>389</v>
      </c>
      <c r="I185">
        <f t="shared" si="18"/>
        <v>1419.8187499999999</v>
      </c>
      <c r="J185" s="3">
        <f t="shared" si="20"/>
        <v>1</v>
      </c>
      <c r="K185" s="3">
        <f t="shared" si="21"/>
        <v>1.0002496255616575</v>
      </c>
      <c r="L185" s="3">
        <f t="shared" si="22"/>
        <v>0.68006993006993011</v>
      </c>
      <c r="O185">
        <f>Reference_Data!O181-Dark!O181</f>
        <v>3062</v>
      </c>
      <c r="P185">
        <f>Reference_Data!P181-Dark!P181</f>
        <v>564</v>
      </c>
      <c r="Q185">
        <f>Reference_Data!Q181-Dark!Q181</f>
        <v>19</v>
      </c>
      <c r="R185">
        <f>Sample_Data!O181-Dark!O181</f>
        <v>3061</v>
      </c>
      <c r="S185">
        <f>Sample_Data!P181-Dark!P181</f>
        <v>318</v>
      </c>
      <c r="T185">
        <f>Sample_Data!Q181-Dark!Q181</f>
        <v>12</v>
      </c>
      <c r="U185">
        <f t="shared" si="19"/>
        <v>2572.203125</v>
      </c>
      <c r="V185">
        <f t="shared" si="23"/>
        <v>0.99967341606792948</v>
      </c>
      <c r="W185">
        <f t="shared" si="24"/>
        <v>0.56382978723404253</v>
      </c>
      <c r="X185">
        <f t="shared" si="25"/>
        <v>0.63157894736842102</v>
      </c>
    </row>
    <row r="186" spans="1:24" x14ac:dyDescent="0.35">
      <c r="A186">
        <f t="shared" si="26"/>
        <v>5500</v>
      </c>
      <c r="C186">
        <f>Reference_Data!L182-Dark!L182</f>
        <v>3825</v>
      </c>
      <c r="D186">
        <f>Reference_Data!M182-Dark!M182</f>
        <v>4006</v>
      </c>
      <c r="E186">
        <f>Reference_Data!N182-Dark!N182</f>
        <v>576</v>
      </c>
      <c r="F186">
        <f>Sample_Data!L182-Dark!L182</f>
        <v>3824</v>
      </c>
      <c r="G186">
        <f>Sample_Data!M182-Dark!M182</f>
        <v>4007</v>
      </c>
      <c r="H186">
        <f>Sample_Data!N182-Dark!N182</f>
        <v>409</v>
      </c>
      <c r="I186">
        <f t="shared" si="18"/>
        <v>1423.4375</v>
      </c>
      <c r="J186" s="3">
        <f t="shared" si="20"/>
        <v>0.99973856209150325</v>
      </c>
      <c r="K186" s="3">
        <f t="shared" si="21"/>
        <v>1.0002496255616575</v>
      </c>
      <c r="L186" s="3">
        <f t="shared" si="22"/>
        <v>0.71006944444444442</v>
      </c>
      <c r="O186">
        <f>Reference_Data!O182-Dark!O182</f>
        <v>3067</v>
      </c>
      <c r="P186">
        <f>Reference_Data!P182-Dark!P182</f>
        <v>520</v>
      </c>
      <c r="Q186">
        <f>Reference_Data!Q182-Dark!Q182</f>
        <v>17</v>
      </c>
      <c r="R186">
        <f>Sample_Data!O182-Dark!O182</f>
        <v>3067</v>
      </c>
      <c r="S186">
        <f>Sample_Data!P182-Dark!P182</f>
        <v>299</v>
      </c>
      <c r="T186">
        <f>Sample_Data!Q182-Dark!Q182</f>
        <v>9</v>
      </c>
      <c r="U186">
        <f t="shared" si="19"/>
        <v>2578.90625</v>
      </c>
      <c r="V186">
        <f t="shared" si="23"/>
        <v>1</v>
      </c>
      <c r="W186">
        <f t="shared" si="24"/>
        <v>0.57499999999999996</v>
      </c>
      <c r="X186">
        <f t="shared" si="25"/>
        <v>0.52941176470588236</v>
      </c>
    </row>
    <row r="187" spans="1:24" x14ac:dyDescent="0.35">
      <c r="A187">
        <f t="shared" si="26"/>
        <v>5530</v>
      </c>
      <c r="C187">
        <f>Reference_Data!L183-Dark!L183</f>
        <v>3823</v>
      </c>
      <c r="D187">
        <f>Reference_Data!M183-Dark!M183</f>
        <v>4007</v>
      </c>
      <c r="E187">
        <f>Reference_Data!N183-Dark!N183</f>
        <v>576</v>
      </c>
      <c r="F187">
        <f>Sample_Data!L183-Dark!L183</f>
        <v>3823</v>
      </c>
      <c r="G187">
        <f>Sample_Data!M183-Dark!M183</f>
        <v>4006</v>
      </c>
      <c r="H187">
        <f>Sample_Data!N183-Dark!N183</f>
        <v>431</v>
      </c>
      <c r="I187">
        <f t="shared" si="18"/>
        <v>1427.0562500000001</v>
      </c>
      <c r="J187" s="3">
        <f t="shared" si="20"/>
        <v>1</v>
      </c>
      <c r="K187" s="3">
        <f t="shared" si="21"/>
        <v>0.99975043673571251</v>
      </c>
      <c r="L187" s="3">
        <f t="shared" si="22"/>
        <v>0.74826388888888884</v>
      </c>
      <c r="O187">
        <f>Reference_Data!O183-Dark!O183</f>
        <v>3071</v>
      </c>
      <c r="P187">
        <f>Reference_Data!P183-Dark!P183</f>
        <v>481</v>
      </c>
      <c r="Q187">
        <f>Reference_Data!Q183-Dark!Q183</f>
        <v>16</v>
      </c>
      <c r="R187">
        <f>Sample_Data!O183-Dark!O183</f>
        <v>3070</v>
      </c>
      <c r="S187">
        <f>Sample_Data!P183-Dark!P183</f>
        <v>284</v>
      </c>
      <c r="T187">
        <f>Sample_Data!Q183-Dark!Q183</f>
        <v>9</v>
      </c>
      <c r="U187">
        <f t="shared" si="19"/>
        <v>2585.609375</v>
      </c>
      <c r="V187">
        <f t="shared" si="23"/>
        <v>0.99967437316834906</v>
      </c>
      <c r="W187">
        <f t="shared" si="24"/>
        <v>0.59043659043659047</v>
      </c>
      <c r="X187">
        <f t="shared" si="25"/>
        <v>0.5625</v>
      </c>
    </row>
    <row r="188" spans="1:24" x14ac:dyDescent="0.35">
      <c r="A188">
        <f t="shared" si="26"/>
        <v>5560</v>
      </c>
      <c r="C188">
        <f>Reference_Data!L184-Dark!L184</f>
        <v>3832</v>
      </c>
      <c r="D188">
        <f>Reference_Data!M184-Dark!M184</f>
        <v>4006</v>
      </c>
      <c r="E188">
        <f>Reference_Data!N184-Dark!N184</f>
        <v>578</v>
      </c>
      <c r="F188">
        <f>Sample_Data!L184-Dark!L184</f>
        <v>3832</v>
      </c>
      <c r="G188">
        <f>Sample_Data!M184-Dark!M184</f>
        <v>4006</v>
      </c>
      <c r="H188">
        <f>Sample_Data!N184-Dark!N184</f>
        <v>445</v>
      </c>
      <c r="I188">
        <f t="shared" si="18"/>
        <v>1430.6750000000002</v>
      </c>
      <c r="J188" s="3">
        <f t="shared" si="20"/>
        <v>1</v>
      </c>
      <c r="K188" s="3">
        <f t="shared" si="21"/>
        <v>1</v>
      </c>
      <c r="L188" s="3">
        <f t="shared" si="22"/>
        <v>0.76989619377162632</v>
      </c>
      <c r="O188">
        <f>Reference_Data!O184-Dark!O184</f>
        <v>3076</v>
      </c>
      <c r="P188">
        <f>Reference_Data!P184-Dark!P184</f>
        <v>448</v>
      </c>
      <c r="Q188">
        <f>Reference_Data!Q184-Dark!Q184</f>
        <v>14</v>
      </c>
      <c r="R188">
        <f>Sample_Data!O184-Dark!O184</f>
        <v>3077</v>
      </c>
      <c r="S188">
        <f>Sample_Data!P184-Dark!P184</f>
        <v>271</v>
      </c>
      <c r="T188">
        <f>Sample_Data!Q184-Dark!Q184</f>
        <v>9</v>
      </c>
      <c r="U188">
        <f t="shared" si="19"/>
        <v>2592.3125</v>
      </c>
      <c r="V188">
        <f t="shared" si="23"/>
        <v>1.0003250975292588</v>
      </c>
      <c r="W188">
        <f t="shared" si="24"/>
        <v>0.6049107142857143</v>
      </c>
      <c r="X188">
        <f t="shared" si="25"/>
        <v>0.6428571428571429</v>
      </c>
    </row>
    <row r="189" spans="1:24" x14ac:dyDescent="0.35">
      <c r="A189">
        <f t="shared" si="26"/>
        <v>5590</v>
      </c>
      <c r="C189">
        <f>Reference_Data!L185-Dark!L185</f>
        <v>3826</v>
      </c>
      <c r="D189">
        <f>Reference_Data!M185-Dark!M185</f>
        <v>4006</v>
      </c>
      <c r="E189">
        <f>Reference_Data!N185-Dark!N185</f>
        <v>582</v>
      </c>
      <c r="F189">
        <f>Sample_Data!L185-Dark!L185</f>
        <v>3827</v>
      </c>
      <c r="G189">
        <f>Sample_Data!M185-Dark!M185</f>
        <v>4006</v>
      </c>
      <c r="H189">
        <f>Sample_Data!N185-Dark!N185</f>
        <v>455</v>
      </c>
      <c r="I189">
        <f t="shared" si="18"/>
        <v>1434.29375</v>
      </c>
      <c r="J189" s="3">
        <f t="shared" si="20"/>
        <v>1.0002613695765812</v>
      </c>
      <c r="K189" s="3">
        <f t="shared" si="21"/>
        <v>1</v>
      </c>
      <c r="L189" s="3">
        <f t="shared" si="22"/>
        <v>0.78178694158075601</v>
      </c>
      <c r="O189">
        <f>Reference_Data!O185-Dark!O185</f>
        <v>3083</v>
      </c>
      <c r="P189">
        <f>Reference_Data!P185-Dark!P185</f>
        <v>424</v>
      </c>
      <c r="Q189">
        <f>Reference_Data!Q185-Dark!Q185</f>
        <v>15</v>
      </c>
      <c r="R189">
        <f>Sample_Data!O185-Dark!O185</f>
        <v>3082</v>
      </c>
      <c r="S189">
        <f>Sample_Data!P185-Dark!P185</f>
        <v>262</v>
      </c>
      <c r="T189">
        <f>Sample_Data!Q185-Dark!Q185</f>
        <v>10</v>
      </c>
      <c r="U189">
        <f t="shared" si="19"/>
        <v>2599.015625</v>
      </c>
      <c r="V189">
        <f t="shared" si="23"/>
        <v>0.99967564060979563</v>
      </c>
      <c r="W189">
        <f t="shared" si="24"/>
        <v>0.61792452830188682</v>
      </c>
      <c r="X189">
        <f t="shared" si="25"/>
        <v>0.66666666666666663</v>
      </c>
    </row>
    <row r="190" spans="1:24" x14ac:dyDescent="0.35">
      <c r="A190">
        <f t="shared" si="26"/>
        <v>5620</v>
      </c>
      <c r="C190">
        <f>Reference_Data!L186-Dark!L186</f>
        <v>3829</v>
      </c>
      <c r="D190">
        <f>Reference_Data!M186-Dark!M186</f>
        <v>4006</v>
      </c>
      <c r="E190">
        <f>Reference_Data!N186-Dark!N186</f>
        <v>584</v>
      </c>
      <c r="F190">
        <f>Sample_Data!L186-Dark!L186</f>
        <v>3827</v>
      </c>
      <c r="G190">
        <f>Sample_Data!M186-Dark!M186</f>
        <v>4006</v>
      </c>
      <c r="H190">
        <f>Sample_Data!N186-Dark!N186</f>
        <v>462</v>
      </c>
      <c r="I190">
        <f t="shared" si="18"/>
        <v>1437.9124999999999</v>
      </c>
      <c r="J190" s="3">
        <f t="shared" si="20"/>
        <v>0.99947767041002877</v>
      </c>
      <c r="K190" s="3">
        <f t="shared" si="21"/>
        <v>1</v>
      </c>
      <c r="L190" s="3">
        <f t="shared" si="22"/>
        <v>0.79109589041095896</v>
      </c>
      <c r="O190">
        <f>Reference_Data!O186-Dark!O186</f>
        <v>3084</v>
      </c>
      <c r="P190">
        <f>Reference_Data!P186-Dark!P186</f>
        <v>407</v>
      </c>
      <c r="Q190">
        <f>Reference_Data!Q186-Dark!Q186</f>
        <v>13</v>
      </c>
      <c r="R190">
        <f>Sample_Data!O186-Dark!O186</f>
        <v>3081</v>
      </c>
      <c r="S190">
        <f>Sample_Data!P186-Dark!P186</f>
        <v>253</v>
      </c>
      <c r="T190">
        <f>Sample_Data!Q186-Dark!Q186</f>
        <v>7</v>
      </c>
      <c r="U190">
        <f t="shared" si="19"/>
        <v>2605.71875</v>
      </c>
      <c r="V190">
        <f t="shared" si="23"/>
        <v>0.99902723735408561</v>
      </c>
      <c r="W190">
        <f t="shared" si="24"/>
        <v>0.6216216216216216</v>
      </c>
      <c r="X190">
        <f t="shared" si="25"/>
        <v>0.53846153846153844</v>
      </c>
    </row>
    <row r="191" spans="1:24" x14ac:dyDescent="0.35">
      <c r="A191">
        <f t="shared" si="26"/>
        <v>5650</v>
      </c>
      <c r="C191">
        <f>Reference_Data!L187-Dark!L187</f>
        <v>3832</v>
      </c>
      <c r="D191">
        <f>Reference_Data!M187-Dark!M187</f>
        <v>4006</v>
      </c>
      <c r="E191">
        <f>Reference_Data!N187-Dark!N187</f>
        <v>588</v>
      </c>
      <c r="F191">
        <f>Sample_Data!L187-Dark!L187</f>
        <v>3833</v>
      </c>
      <c r="G191">
        <f>Sample_Data!M187-Dark!M187</f>
        <v>4006</v>
      </c>
      <c r="H191">
        <f>Sample_Data!N187-Dark!N187</f>
        <v>469</v>
      </c>
      <c r="I191">
        <f t="shared" si="18"/>
        <v>1441.53125</v>
      </c>
      <c r="J191" s="3">
        <f t="shared" si="20"/>
        <v>1.0002609603340293</v>
      </c>
      <c r="K191" s="3">
        <f t="shared" si="21"/>
        <v>1</v>
      </c>
      <c r="L191" s="3">
        <f t="shared" si="22"/>
        <v>0.79761904761904767</v>
      </c>
      <c r="O191">
        <f>Reference_Data!O187-Dark!O187</f>
        <v>3083</v>
      </c>
      <c r="P191">
        <f>Reference_Data!P187-Dark!P187</f>
        <v>391</v>
      </c>
      <c r="Q191">
        <f>Reference_Data!Q187-Dark!Q187</f>
        <v>13</v>
      </c>
      <c r="R191">
        <f>Sample_Data!O187-Dark!O187</f>
        <v>3079</v>
      </c>
      <c r="S191">
        <f>Sample_Data!P187-Dark!P187</f>
        <v>247</v>
      </c>
      <c r="T191">
        <f>Sample_Data!Q187-Dark!Q187</f>
        <v>9</v>
      </c>
      <c r="U191">
        <f t="shared" si="19"/>
        <v>2612.421875</v>
      </c>
      <c r="V191">
        <f t="shared" si="23"/>
        <v>0.99870256243918265</v>
      </c>
      <c r="W191">
        <f t="shared" si="24"/>
        <v>0.63171355498721227</v>
      </c>
      <c r="X191">
        <f t="shared" si="25"/>
        <v>0.69230769230769229</v>
      </c>
    </row>
    <row r="192" spans="1:24" x14ac:dyDescent="0.35">
      <c r="A192">
        <f t="shared" si="26"/>
        <v>5680</v>
      </c>
      <c r="C192">
        <f>Reference_Data!L188-Dark!L188</f>
        <v>3832</v>
      </c>
      <c r="D192">
        <f>Reference_Data!M188-Dark!M188</f>
        <v>4007</v>
      </c>
      <c r="E192">
        <f>Reference_Data!N188-Dark!N188</f>
        <v>592</v>
      </c>
      <c r="F192">
        <f>Sample_Data!L188-Dark!L188</f>
        <v>3832</v>
      </c>
      <c r="G192">
        <f>Sample_Data!M188-Dark!M188</f>
        <v>4007</v>
      </c>
      <c r="H192">
        <f>Sample_Data!N188-Dark!N188</f>
        <v>475</v>
      </c>
      <c r="I192">
        <f t="shared" si="18"/>
        <v>1445.15</v>
      </c>
      <c r="J192" s="3">
        <f t="shared" si="20"/>
        <v>1</v>
      </c>
      <c r="K192" s="3">
        <f t="shared" si="21"/>
        <v>1</v>
      </c>
      <c r="L192" s="3">
        <f t="shared" si="22"/>
        <v>0.80236486486486491</v>
      </c>
      <c r="O192">
        <f>Reference_Data!O188-Dark!O188</f>
        <v>3088</v>
      </c>
      <c r="P192">
        <f>Reference_Data!P188-Dark!P188</f>
        <v>377</v>
      </c>
      <c r="Q192">
        <f>Reference_Data!Q188-Dark!Q188</f>
        <v>12</v>
      </c>
      <c r="R192">
        <f>Sample_Data!O188-Dark!O188</f>
        <v>3082</v>
      </c>
      <c r="S192">
        <f>Sample_Data!P188-Dark!P188</f>
        <v>243</v>
      </c>
      <c r="T192">
        <f>Sample_Data!Q188-Dark!Q188</f>
        <v>7</v>
      </c>
      <c r="U192">
        <f t="shared" si="19"/>
        <v>2619.125</v>
      </c>
      <c r="V192">
        <f t="shared" si="23"/>
        <v>0.99805699481865284</v>
      </c>
      <c r="W192">
        <f t="shared" si="24"/>
        <v>0.64456233421750664</v>
      </c>
      <c r="X192">
        <f t="shared" si="25"/>
        <v>0.58333333333333337</v>
      </c>
    </row>
    <row r="193" spans="1:24" x14ac:dyDescent="0.35">
      <c r="A193">
        <f t="shared" si="26"/>
        <v>5710</v>
      </c>
      <c r="C193">
        <f>Reference_Data!L189-Dark!L189</f>
        <v>3823</v>
      </c>
      <c r="D193">
        <f>Reference_Data!M189-Dark!M189</f>
        <v>4006</v>
      </c>
      <c r="E193">
        <f>Reference_Data!N189-Dark!N189</f>
        <v>590</v>
      </c>
      <c r="F193">
        <f>Sample_Data!L189-Dark!L189</f>
        <v>3823</v>
      </c>
      <c r="G193">
        <f>Sample_Data!M189-Dark!M189</f>
        <v>4006</v>
      </c>
      <c r="H193">
        <f>Sample_Data!N189-Dark!N189</f>
        <v>477</v>
      </c>
      <c r="I193">
        <f t="shared" si="18"/>
        <v>1448.7687500000002</v>
      </c>
      <c r="J193" s="3">
        <f t="shared" si="20"/>
        <v>1</v>
      </c>
      <c r="K193" s="3">
        <f t="shared" si="21"/>
        <v>1</v>
      </c>
      <c r="L193" s="3">
        <f t="shared" si="22"/>
        <v>0.80847457627118646</v>
      </c>
      <c r="O193">
        <f>Reference_Data!O189-Dark!O189</f>
        <v>3091</v>
      </c>
      <c r="P193">
        <f>Reference_Data!P189-Dark!P189</f>
        <v>367</v>
      </c>
      <c r="Q193">
        <f>Reference_Data!Q189-Dark!Q189</f>
        <v>12</v>
      </c>
      <c r="R193">
        <f>Sample_Data!O189-Dark!O189</f>
        <v>3086</v>
      </c>
      <c r="S193">
        <f>Sample_Data!P189-Dark!P189</f>
        <v>238</v>
      </c>
      <c r="T193">
        <f>Sample_Data!Q189-Dark!Q189</f>
        <v>8</v>
      </c>
      <c r="U193">
        <f t="shared" si="19"/>
        <v>2625.828125</v>
      </c>
      <c r="V193">
        <f t="shared" si="23"/>
        <v>0.99838240051763183</v>
      </c>
      <c r="W193">
        <f t="shared" si="24"/>
        <v>0.64850136239782019</v>
      </c>
      <c r="X193">
        <f t="shared" si="25"/>
        <v>0.66666666666666663</v>
      </c>
    </row>
    <row r="194" spans="1:24" x14ac:dyDescent="0.35">
      <c r="A194">
        <f t="shared" si="26"/>
        <v>5740</v>
      </c>
      <c r="C194">
        <f>Reference_Data!L190-Dark!L190</f>
        <v>3833</v>
      </c>
      <c r="D194">
        <f>Reference_Data!M190-Dark!M190</f>
        <v>4006</v>
      </c>
      <c r="E194">
        <f>Reference_Data!N190-Dark!N190</f>
        <v>595</v>
      </c>
      <c r="F194">
        <f>Sample_Data!L190-Dark!L190</f>
        <v>3832</v>
      </c>
      <c r="G194">
        <f>Sample_Data!M190-Dark!M190</f>
        <v>4006</v>
      </c>
      <c r="H194">
        <f>Sample_Data!N190-Dark!N190</f>
        <v>484</v>
      </c>
      <c r="I194">
        <f t="shared" si="18"/>
        <v>1452.3875</v>
      </c>
      <c r="J194" s="3">
        <f t="shared" si="20"/>
        <v>0.99973910774849983</v>
      </c>
      <c r="K194" s="3">
        <f t="shared" si="21"/>
        <v>1</v>
      </c>
      <c r="L194" s="3">
        <f t="shared" si="22"/>
        <v>0.8134453781512605</v>
      </c>
      <c r="O194">
        <f>Reference_Data!O190-Dark!O190</f>
        <v>3096</v>
      </c>
      <c r="P194">
        <f>Reference_Data!P190-Dark!P190</f>
        <v>359</v>
      </c>
      <c r="Q194">
        <f>Reference_Data!Q190-Dark!Q190</f>
        <v>13</v>
      </c>
      <c r="R194">
        <f>Sample_Data!O190-Dark!O190</f>
        <v>3090</v>
      </c>
      <c r="S194">
        <f>Sample_Data!P190-Dark!P190</f>
        <v>237</v>
      </c>
      <c r="T194">
        <f>Sample_Data!Q190-Dark!Q190</f>
        <v>8</v>
      </c>
      <c r="U194">
        <f t="shared" si="19"/>
        <v>2632.53125</v>
      </c>
      <c r="V194">
        <f t="shared" si="23"/>
        <v>0.99806201550387597</v>
      </c>
      <c r="W194">
        <f t="shared" si="24"/>
        <v>0.66016713091922008</v>
      </c>
      <c r="X194">
        <f t="shared" si="25"/>
        <v>0.61538461538461542</v>
      </c>
    </row>
    <row r="195" spans="1:24" x14ac:dyDescent="0.35">
      <c r="A195">
        <f t="shared" si="26"/>
        <v>5770</v>
      </c>
      <c r="C195">
        <f>Reference_Data!L191-Dark!L191</f>
        <v>3826</v>
      </c>
      <c r="D195">
        <f>Reference_Data!M191-Dark!M191</f>
        <v>4006</v>
      </c>
      <c r="E195">
        <f>Reference_Data!N191-Dark!N191</f>
        <v>597</v>
      </c>
      <c r="F195">
        <f>Sample_Data!L191-Dark!L191</f>
        <v>3826</v>
      </c>
      <c r="G195">
        <f>Sample_Data!M191-Dark!M191</f>
        <v>4006</v>
      </c>
      <c r="H195">
        <f>Sample_Data!N191-Dark!N191</f>
        <v>487</v>
      </c>
      <c r="I195">
        <f t="shared" si="18"/>
        <v>1456.0062499999999</v>
      </c>
      <c r="J195" s="3">
        <f t="shared" si="20"/>
        <v>1</v>
      </c>
      <c r="K195" s="3">
        <f t="shared" si="21"/>
        <v>1</v>
      </c>
      <c r="L195" s="3">
        <f t="shared" si="22"/>
        <v>0.81574539363484089</v>
      </c>
      <c r="O195">
        <f>Reference_Data!O191-Dark!O191</f>
        <v>3104</v>
      </c>
      <c r="P195">
        <f>Reference_Data!P191-Dark!P191</f>
        <v>353</v>
      </c>
      <c r="Q195">
        <f>Reference_Data!Q191-Dark!Q191</f>
        <v>13</v>
      </c>
      <c r="R195">
        <f>Sample_Data!O191-Dark!O191</f>
        <v>3097</v>
      </c>
      <c r="S195">
        <f>Sample_Data!P191-Dark!P191</f>
        <v>235</v>
      </c>
      <c r="T195">
        <f>Sample_Data!Q191-Dark!Q191</f>
        <v>8</v>
      </c>
      <c r="U195">
        <f t="shared" si="19"/>
        <v>2639.234375</v>
      </c>
      <c r="V195">
        <f t="shared" si="23"/>
        <v>0.99774484536082475</v>
      </c>
      <c r="W195">
        <f t="shared" si="24"/>
        <v>0.66572237960339942</v>
      </c>
      <c r="X195">
        <f t="shared" si="25"/>
        <v>0.61538461538461542</v>
      </c>
    </row>
    <row r="196" spans="1:24" x14ac:dyDescent="0.35">
      <c r="A196">
        <f t="shared" si="26"/>
        <v>5800</v>
      </c>
      <c r="C196">
        <f>Reference_Data!L192-Dark!L192</f>
        <v>3837</v>
      </c>
      <c r="D196">
        <f>Reference_Data!M192-Dark!M192</f>
        <v>4007</v>
      </c>
      <c r="E196">
        <f>Reference_Data!N192-Dark!N192</f>
        <v>600</v>
      </c>
      <c r="F196">
        <f>Sample_Data!L192-Dark!L192</f>
        <v>3837</v>
      </c>
      <c r="G196">
        <f>Sample_Data!M192-Dark!M192</f>
        <v>4006</v>
      </c>
      <c r="H196">
        <f>Sample_Data!N192-Dark!N192</f>
        <v>493</v>
      </c>
      <c r="I196">
        <f t="shared" si="18"/>
        <v>1459.625</v>
      </c>
      <c r="J196" s="3">
        <f t="shared" si="20"/>
        <v>1</v>
      </c>
      <c r="K196" s="3">
        <f t="shared" si="21"/>
        <v>0.99975043673571251</v>
      </c>
      <c r="L196" s="3">
        <f t="shared" si="22"/>
        <v>0.82166666666666666</v>
      </c>
      <c r="O196">
        <f>Reference_Data!O192-Dark!O192</f>
        <v>3106</v>
      </c>
      <c r="P196">
        <f>Reference_Data!P192-Dark!P192</f>
        <v>342</v>
      </c>
      <c r="Q196">
        <f>Reference_Data!Q192-Dark!Q192</f>
        <v>12</v>
      </c>
      <c r="R196">
        <f>Sample_Data!O192-Dark!O192</f>
        <v>3098</v>
      </c>
      <c r="S196">
        <f>Sample_Data!P192-Dark!P192</f>
        <v>230</v>
      </c>
      <c r="T196">
        <f>Sample_Data!Q192-Dark!Q192</f>
        <v>6</v>
      </c>
      <c r="U196">
        <f t="shared" si="19"/>
        <v>2645.9375</v>
      </c>
      <c r="V196">
        <f t="shared" si="23"/>
        <v>0.99742433998712166</v>
      </c>
      <c r="W196">
        <f t="shared" si="24"/>
        <v>0.67251461988304095</v>
      </c>
      <c r="X196">
        <f t="shared" si="25"/>
        <v>0.5</v>
      </c>
    </row>
    <row r="197" spans="1:24" x14ac:dyDescent="0.35">
      <c r="A197">
        <f t="shared" si="26"/>
        <v>5830</v>
      </c>
      <c r="C197">
        <f>Reference_Data!L193-Dark!L193</f>
        <v>3827</v>
      </c>
      <c r="D197">
        <f>Reference_Data!M193-Dark!M193</f>
        <v>4006</v>
      </c>
      <c r="E197">
        <f>Reference_Data!N193-Dark!N193</f>
        <v>604</v>
      </c>
      <c r="F197">
        <f>Sample_Data!L193-Dark!L193</f>
        <v>3827</v>
      </c>
      <c r="G197">
        <f>Sample_Data!M193-Dark!M193</f>
        <v>4006</v>
      </c>
      <c r="H197">
        <f>Sample_Data!N193-Dark!N193</f>
        <v>496</v>
      </c>
      <c r="I197">
        <f t="shared" si="18"/>
        <v>1463.2437500000001</v>
      </c>
      <c r="J197" s="3">
        <f t="shared" si="20"/>
        <v>1</v>
      </c>
      <c r="K197" s="3">
        <f t="shared" si="21"/>
        <v>1</v>
      </c>
      <c r="L197" s="3">
        <f t="shared" si="22"/>
        <v>0.82119205298013243</v>
      </c>
      <c r="O197">
        <f>Reference_Data!O193-Dark!O193</f>
        <v>3112</v>
      </c>
      <c r="P197">
        <f>Reference_Data!P193-Dark!P193</f>
        <v>334</v>
      </c>
      <c r="Q197">
        <f>Reference_Data!Q193-Dark!Q193</f>
        <v>11</v>
      </c>
      <c r="R197">
        <f>Sample_Data!O193-Dark!O193</f>
        <v>3103</v>
      </c>
      <c r="S197">
        <f>Sample_Data!P193-Dark!P193</f>
        <v>229</v>
      </c>
      <c r="T197">
        <f>Sample_Data!Q193-Dark!Q193</f>
        <v>8</v>
      </c>
      <c r="U197">
        <f t="shared" si="19"/>
        <v>2652.640625</v>
      </c>
      <c r="V197">
        <f t="shared" si="23"/>
        <v>0.99710796915167099</v>
      </c>
      <c r="W197">
        <f t="shared" si="24"/>
        <v>0.68562874251497008</v>
      </c>
      <c r="X197">
        <f t="shared" si="25"/>
        <v>0.72727272727272729</v>
      </c>
    </row>
    <row r="198" spans="1:24" x14ac:dyDescent="0.35">
      <c r="A198">
        <f t="shared" si="26"/>
        <v>5860</v>
      </c>
      <c r="C198">
        <f>Reference_Data!L194-Dark!L194</f>
        <v>3830</v>
      </c>
      <c r="D198">
        <f>Reference_Data!M194-Dark!M194</f>
        <v>4007</v>
      </c>
      <c r="E198">
        <f>Reference_Data!N194-Dark!N194</f>
        <v>609</v>
      </c>
      <c r="F198">
        <f>Sample_Data!L194-Dark!L194</f>
        <v>3831</v>
      </c>
      <c r="G198">
        <f>Sample_Data!M194-Dark!M194</f>
        <v>4007</v>
      </c>
      <c r="H198">
        <f>Sample_Data!N194-Dark!N194</f>
        <v>503</v>
      </c>
      <c r="I198">
        <f t="shared" ref="I198:I261" si="27">$I$3*(A198/320)+$I$2</f>
        <v>1466.8625000000002</v>
      </c>
      <c r="J198" s="3">
        <f t="shared" si="20"/>
        <v>1.0002610966057441</v>
      </c>
      <c r="K198" s="3">
        <f t="shared" si="21"/>
        <v>1</v>
      </c>
      <c r="L198" s="3">
        <f t="shared" si="22"/>
        <v>0.82594417077175697</v>
      </c>
      <c r="O198">
        <f>Reference_Data!O194-Dark!O194</f>
        <v>3117</v>
      </c>
      <c r="P198">
        <f>Reference_Data!P194-Dark!P194</f>
        <v>328</v>
      </c>
      <c r="Q198">
        <f>Reference_Data!Q194-Dark!Q194</f>
        <v>11</v>
      </c>
      <c r="R198">
        <f>Sample_Data!O194-Dark!O194</f>
        <v>3107</v>
      </c>
      <c r="S198">
        <f>Sample_Data!P194-Dark!P194</f>
        <v>228</v>
      </c>
      <c r="T198">
        <f>Sample_Data!Q194-Dark!Q194</f>
        <v>6</v>
      </c>
      <c r="U198">
        <f t="shared" ref="U198:U261" si="28">$U$3*(A198/320)+$U$2</f>
        <v>2659.34375</v>
      </c>
      <c r="V198">
        <f t="shared" si="23"/>
        <v>0.99679178697465509</v>
      </c>
      <c r="W198">
        <f t="shared" si="24"/>
        <v>0.69512195121951215</v>
      </c>
      <c r="X198">
        <f t="shared" si="25"/>
        <v>0.54545454545454541</v>
      </c>
    </row>
    <row r="199" spans="1:24" x14ac:dyDescent="0.35">
      <c r="A199">
        <f t="shared" si="26"/>
        <v>5890</v>
      </c>
      <c r="C199">
        <f>Reference_Data!L195-Dark!L195</f>
        <v>3826</v>
      </c>
      <c r="D199">
        <f>Reference_Data!M195-Dark!M195</f>
        <v>4007</v>
      </c>
      <c r="E199">
        <f>Reference_Data!N195-Dark!N195</f>
        <v>613</v>
      </c>
      <c r="F199">
        <f>Sample_Data!L195-Dark!L195</f>
        <v>3827</v>
      </c>
      <c r="G199">
        <f>Sample_Data!M195-Dark!M195</f>
        <v>4006</v>
      </c>
      <c r="H199">
        <f>Sample_Data!N195-Dark!N195</f>
        <v>506</v>
      </c>
      <c r="I199">
        <f t="shared" si="27"/>
        <v>1470.48125</v>
      </c>
      <c r="J199" s="3">
        <f t="shared" ref="J199:J262" si="29">F199/C199</f>
        <v>1.0002613695765812</v>
      </c>
      <c r="K199" s="3">
        <f t="shared" ref="K199:K262" si="30">G199/D199</f>
        <v>0.99975043673571251</v>
      </c>
      <c r="L199" s="3">
        <f t="shared" ref="L199:L262" si="31">H199/E199</f>
        <v>0.82544861337683528</v>
      </c>
      <c r="O199">
        <f>Reference_Data!O195-Dark!O195</f>
        <v>3121</v>
      </c>
      <c r="P199">
        <f>Reference_Data!P195-Dark!P195</f>
        <v>323</v>
      </c>
      <c r="Q199">
        <f>Reference_Data!Q195-Dark!Q195</f>
        <v>11</v>
      </c>
      <c r="R199">
        <f>Sample_Data!O195-Dark!O195</f>
        <v>3113</v>
      </c>
      <c r="S199">
        <f>Sample_Data!P195-Dark!P195</f>
        <v>230</v>
      </c>
      <c r="T199">
        <f>Sample_Data!Q195-Dark!Q195</f>
        <v>8</v>
      </c>
      <c r="U199">
        <f t="shared" si="28"/>
        <v>2666.046875</v>
      </c>
      <c r="V199">
        <f t="shared" ref="V199:V262" si="32">R199/O199</f>
        <v>0.99743671900032038</v>
      </c>
      <c r="W199">
        <f t="shared" ref="W199:W262" si="33">S199/P199</f>
        <v>0.71207430340557276</v>
      </c>
      <c r="X199">
        <f t="shared" ref="X199:X262" si="34">T199/Q199</f>
        <v>0.72727272727272729</v>
      </c>
    </row>
    <row r="200" spans="1:24" x14ac:dyDescent="0.35">
      <c r="A200">
        <f t="shared" si="26"/>
        <v>5920</v>
      </c>
      <c r="C200">
        <f>Reference_Data!L196-Dark!L196</f>
        <v>3837</v>
      </c>
      <c r="D200">
        <f>Reference_Data!M196-Dark!M196</f>
        <v>4006</v>
      </c>
      <c r="E200">
        <f>Reference_Data!N196-Dark!N196</f>
        <v>616</v>
      </c>
      <c r="F200">
        <f>Sample_Data!L196-Dark!L196</f>
        <v>3837</v>
      </c>
      <c r="G200">
        <f>Sample_Data!M196-Dark!M196</f>
        <v>4006</v>
      </c>
      <c r="H200">
        <f>Sample_Data!N196-Dark!N196</f>
        <v>510</v>
      </c>
      <c r="I200">
        <f t="shared" si="27"/>
        <v>1474.1</v>
      </c>
      <c r="J200" s="3">
        <f t="shared" si="29"/>
        <v>1</v>
      </c>
      <c r="K200" s="3">
        <f t="shared" si="30"/>
        <v>1</v>
      </c>
      <c r="L200" s="3">
        <f t="shared" si="31"/>
        <v>0.82792207792207795</v>
      </c>
      <c r="O200">
        <f>Reference_Data!O196-Dark!O196</f>
        <v>3132</v>
      </c>
      <c r="P200">
        <f>Reference_Data!P196-Dark!P196</f>
        <v>320</v>
      </c>
      <c r="Q200">
        <f>Reference_Data!Q196-Dark!Q196</f>
        <v>11</v>
      </c>
      <c r="R200">
        <f>Sample_Data!O196-Dark!O196</f>
        <v>3122</v>
      </c>
      <c r="S200">
        <f>Sample_Data!P196-Dark!P196</f>
        <v>229</v>
      </c>
      <c r="T200">
        <f>Sample_Data!Q196-Dark!Q196</f>
        <v>9</v>
      </c>
      <c r="U200">
        <f t="shared" si="28"/>
        <v>2672.75</v>
      </c>
      <c r="V200">
        <f t="shared" si="32"/>
        <v>0.99680715197956582</v>
      </c>
      <c r="W200">
        <f t="shared" si="33"/>
        <v>0.71562499999999996</v>
      </c>
      <c r="X200">
        <f t="shared" si="34"/>
        <v>0.81818181818181823</v>
      </c>
    </row>
    <row r="201" spans="1:24" x14ac:dyDescent="0.35">
      <c r="A201">
        <f t="shared" ref="A201:A264" si="35">A200+30</f>
        <v>5950</v>
      </c>
      <c r="C201">
        <f>Reference_Data!L197-Dark!L197</f>
        <v>3832</v>
      </c>
      <c r="D201">
        <f>Reference_Data!M197-Dark!M197</f>
        <v>4007</v>
      </c>
      <c r="E201">
        <f>Reference_Data!N197-Dark!N197</f>
        <v>617</v>
      </c>
      <c r="F201">
        <f>Sample_Data!L197-Dark!L197</f>
        <v>3833</v>
      </c>
      <c r="G201">
        <f>Sample_Data!M197-Dark!M197</f>
        <v>4006</v>
      </c>
      <c r="H201">
        <f>Sample_Data!N197-Dark!N197</f>
        <v>511</v>
      </c>
      <c r="I201">
        <f t="shared" si="27"/>
        <v>1477.71875</v>
      </c>
      <c r="J201" s="3">
        <f t="shared" si="29"/>
        <v>1.0002609603340293</v>
      </c>
      <c r="K201" s="3">
        <f t="shared" si="30"/>
        <v>0.99975043673571251</v>
      </c>
      <c r="L201" s="3">
        <f t="shared" si="31"/>
        <v>0.82820097244732582</v>
      </c>
      <c r="O201">
        <f>Reference_Data!O197-Dark!O197</f>
        <v>3134</v>
      </c>
      <c r="P201">
        <f>Reference_Data!P197-Dark!P197</f>
        <v>319</v>
      </c>
      <c r="Q201">
        <f>Reference_Data!Q197-Dark!Q197</f>
        <v>10</v>
      </c>
      <c r="R201">
        <f>Sample_Data!O197-Dark!O197</f>
        <v>3126</v>
      </c>
      <c r="S201">
        <f>Sample_Data!P197-Dark!P197</f>
        <v>231</v>
      </c>
      <c r="T201">
        <f>Sample_Data!Q197-Dark!Q197</f>
        <v>8</v>
      </c>
      <c r="U201">
        <f t="shared" si="28"/>
        <v>2679.453125</v>
      </c>
      <c r="V201">
        <f t="shared" si="32"/>
        <v>0.99744735162731335</v>
      </c>
      <c r="W201">
        <f t="shared" si="33"/>
        <v>0.72413793103448276</v>
      </c>
      <c r="X201">
        <f t="shared" si="34"/>
        <v>0.8</v>
      </c>
    </row>
    <row r="202" spans="1:24" x14ac:dyDescent="0.35">
      <c r="A202">
        <f t="shared" si="35"/>
        <v>5980</v>
      </c>
      <c r="C202">
        <f>Reference_Data!L198-Dark!L198</f>
        <v>3838</v>
      </c>
      <c r="D202">
        <f>Reference_Data!M198-Dark!M198</f>
        <v>4006</v>
      </c>
      <c r="E202">
        <f>Reference_Data!N198-Dark!N198</f>
        <v>620</v>
      </c>
      <c r="F202">
        <f>Sample_Data!L198-Dark!L198</f>
        <v>3837</v>
      </c>
      <c r="G202">
        <f>Sample_Data!M198-Dark!M198</f>
        <v>4006</v>
      </c>
      <c r="H202">
        <f>Sample_Data!N198-Dark!N198</f>
        <v>512</v>
      </c>
      <c r="I202">
        <f t="shared" si="27"/>
        <v>1481.3375000000001</v>
      </c>
      <c r="J202" s="3">
        <f t="shared" si="29"/>
        <v>0.99973944762897338</v>
      </c>
      <c r="K202" s="3">
        <f t="shared" si="30"/>
        <v>1</v>
      </c>
      <c r="L202" s="3">
        <f t="shared" si="31"/>
        <v>0.82580645161290323</v>
      </c>
      <c r="O202">
        <f>Reference_Data!O198-Dark!O198</f>
        <v>3142</v>
      </c>
      <c r="P202">
        <f>Reference_Data!P198-Dark!P198</f>
        <v>321</v>
      </c>
      <c r="Q202">
        <f>Reference_Data!Q198-Dark!Q198</f>
        <v>11</v>
      </c>
      <c r="R202">
        <f>Sample_Data!O198-Dark!O198</f>
        <v>3133</v>
      </c>
      <c r="S202">
        <f>Sample_Data!P198-Dark!P198</f>
        <v>233</v>
      </c>
      <c r="T202">
        <f>Sample_Data!Q198-Dark!Q198</f>
        <v>8</v>
      </c>
      <c r="U202">
        <f t="shared" si="28"/>
        <v>2686.15625</v>
      </c>
      <c r="V202">
        <f t="shared" si="32"/>
        <v>0.9971355824315723</v>
      </c>
      <c r="W202">
        <f t="shared" si="33"/>
        <v>0.72585669781931461</v>
      </c>
      <c r="X202">
        <f t="shared" si="34"/>
        <v>0.72727272727272729</v>
      </c>
    </row>
    <row r="203" spans="1:24" x14ac:dyDescent="0.35">
      <c r="A203">
        <f t="shared" si="35"/>
        <v>6010</v>
      </c>
      <c r="C203">
        <f>Reference_Data!L199-Dark!L199</f>
        <v>3833</v>
      </c>
      <c r="D203">
        <f>Reference_Data!M199-Dark!M199</f>
        <v>4006</v>
      </c>
      <c r="E203">
        <f>Reference_Data!N199-Dark!N199</f>
        <v>622</v>
      </c>
      <c r="F203">
        <f>Sample_Data!L199-Dark!L199</f>
        <v>3835</v>
      </c>
      <c r="G203">
        <f>Sample_Data!M199-Dark!M199</f>
        <v>4006</v>
      </c>
      <c r="H203">
        <f>Sample_Data!N199-Dark!N199</f>
        <v>514</v>
      </c>
      <c r="I203">
        <f t="shared" si="27"/>
        <v>1484.9562500000002</v>
      </c>
      <c r="J203" s="3">
        <f t="shared" si="29"/>
        <v>1.0005217845030003</v>
      </c>
      <c r="K203" s="3">
        <f t="shared" si="30"/>
        <v>1</v>
      </c>
      <c r="L203" s="3">
        <f t="shared" si="31"/>
        <v>0.82636655948553051</v>
      </c>
      <c r="O203">
        <f>Reference_Data!O199-Dark!O199</f>
        <v>3149</v>
      </c>
      <c r="P203">
        <f>Reference_Data!P199-Dark!P199</f>
        <v>323</v>
      </c>
      <c r="Q203">
        <f>Reference_Data!Q199-Dark!Q199</f>
        <v>11</v>
      </c>
      <c r="R203">
        <f>Sample_Data!O199-Dark!O199</f>
        <v>3142</v>
      </c>
      <c r="S203">
        <f>Sample_Data!P199-Dark!P199</f>
        <v>237</v>
      </c>
      <c r="T203">
        <f>Sample_Data!Q199-Dark!Q199</f>
        <v>8</v>
      </c>
      <c r="U203">
        <f t="shared" si="28"/>
        <v>2692.859375</v>
      </c>
      <c r="V203">
        <f t="shared" si="32"/>
        <v>0.99777707208637667</v>
      </c>
      <c r="W203">
        <f t="shared" si="33"/>
        <v>0.73374613003095979</v>
      </c>
      <c r="X203">
        <f t="shared" si="34"/>
        <v>0.72727272727272729</v>
      </c>
    </row>
    <row r="204" spans="1:24" x14ac:dyDescent="0.35">
      <c r="A204">
        <f t="shared" si="35"/>
        <v>6040</v>
      </c>
      <c r="C204">
        <f>Reference_Data!L200-Dark!L200</f>
        <v>3828</v>
      </c>
      <c r="D204">
        <f>Reference_Data!M200-Dark!M200</f>
        <v>4006</v>
      </c>
      <c r="E204">
        <f>Reference_Data!N200-Dark!N200</f>
        <v>624</v>
      </c>
      <c r="F204">
        <f>Sample_Data!L200-Dark!L200</f>
        <v>3828</v>
      </c>
      <c r="G204">
        <f>Sample_Data!M200-Dark!M200</f>
        <v>4006</v>
      </c>
      <c r="H204">
        <f>Sample_Data!N200-Dark!N200</f>
        <v>518</v>
      </c>
      <c r="I204">
        <f t="shared" si="27"/>
        <v>1488.575</v>
      </c>
      <c r="J204" s="3">
        <f t="shared" si="29"/>
        <v>1</v>
      </c>
      <c r="K204" s="3">
        <f t="shared" si="30"/>
        <v>1</v>
      </c>
      <c r="L204" s="3">
        <f t="shared" si="31"/>
        <v>0.83012820512820518</v>
      </c>
      <c r="O204">
        <f>Reference_Data!O200-Dark!O200</f>
        <v>3158</v>
      </c>
      <c r="P204">
        <f>Reference_Data!P200-Dark!P200</f>
        <v>321</v>
      </c>
      <c r="Q204">
        <f>Reference_Data!Q200-Dark!Q200</f>
        <v>11</v>
      </c>
      <c r="R204">
        <f>Sample_Data!O200-Dark!O200</f>
        <v>3151</v>
      </c>
      <c r="S204">
        <f>Sample_Data!P200-Dark!P200</f>
        <v>238</v>
      </c>
      <c r="T204">
        <f>Sample_Data!Q200-Dark!Q200</f>
        <v>8</v>
      </c>
      <c r="U204">
        <f t="shared" si="28"/>
        <v>2699.5625</v>
      </c>
      <c r="V204">
        <f t="shared" si="32"/>
        <v>0.99778340721975933</v>
      </c>
      <c r="W204">
        <f t="shared" si="33"/>
        <v>0.74143302180685355</v>
      </c>
      <c r="X204">
        <f t="shared" si="34"/>
        <v>0.72727272727272729</v>
      </c>
    </row>
    <row r="205" spans="1:24" x14ac:dyDescent="0.35">
      <c r="A205">
        <f t="shared" si="35"/>
        <v>6070</v>
      </c>
      <c r="C205">
        <f>Reference_Data!L201-Dark!L201</f>
        <v>3831</v>
      </c>
      <c r="D205">
        <f>Reference_Data!M201-Dark!M201</f>
        <v>4006</v>
      </c>
      <c r="E205">
        <f>Reference_Data!N201-Dark!N201</f>
        <v>624</v>
      </c>
      <c r="F205">
        <f>Sample_Data!L201-Dark!L201</f>
        <v>3831</v>
      </c>
      <c r="G205">
        <f>Sample_Data!M201-Dark!M201</f>
        <v>4006</v>
      </c>
      <c r="H205">
        <f>Sample_Data!N201-Dark!N201</f>
        <v>519</v>
      </c>
      <c r="I205">
        <f t="shared" si="27"/>
        <v>1492.1937499999999</v>
      </c>
      <c r="J205" s="3">
        <f t="shared" si="29"/>
        <v>1</v>
      </c>
      <c r="K205" s="3">
        <f t="shared" si="30"/>
        <v>1</v>
      </c>
      <c r="L205" s="3">
        <f t="shared" si="31"/>
        <v>0.83173076923076927</v>
      </c>
      <c r="O205">
        <f>Reference_Data!O201-Dark!O201</f>
        <v>3169</v>
      </c>
      <c r="P205">
        <f>Reference_Data!P201-Dark!P201</f>
        <v>322</v>
      </c>
      <c r="Q205">
        <f>Reference_Data!Q201-Dark!Q201</f>
        <v>11</v>
      </c>
      <c r="R205">
        <f>Sample_Data!O201-Dark!O201</f>
        <v>3163</v>
      </c>
      <c r="S205">
        <f>Sample_Data!P201-Dark!P201</f>
        <v>239</v>
      </c>
      <c r="T205">
        <f>Sample_Data!Q201-Dark!Q201</f>
        <v>8</v>
      </c>
      <c r="U205">
        <f t="shared" si="28"/>
        <v>2706.265625</v>
      </c>
      <c r="V205">
        <f t="shared" si="32"/>
        <v>0.99810665825181444</v>
      </c>
      <c r="W205">
        <f t="shared" si="33"/>
        <v>0.74223602484472051</v>
      </c>
      <c r="X205">
        <f t="shared" si="34"/>
        <v>0.72727272727272729</v>
      </c>
    </row>
    <row r="206" spans="1:24" x14ac:dyDescent="0.35">
      <c r="A206">
        <f t="shared" si="35"/>
        <v>6100</v>
      </c>
      <c r="C206">
        <f>Reference_Data!L202-Dark!L202</f>
        <v>3831</v>
      </c>
      <c r="D206">
        <f>Reference_Data!M202-Dark!M202</f>
        <v>4006</v>
      </c>
      <c r="E206">
        <f>Reference_Data!N202-Dark!N202</f>
        <v>625</v>
      </c>
      <c r="F206">
        <f>Sample_Data!L202-Dark!L202</f>
        <v>3833</v>
      </c>
      <c r="G206">
        <f>Sample_Data!M202-Dark!M202</f>
        <v>4006</v>
      </c>
      <c r="H206">
        <f>Sample_Data!N202-Dark!N202</f>
        <v>519</v>
      </c>
      <c r="I206">
        <f t="shared" si="27"/>
        <v>1495.8125</v>
      </c>
      <c r="J206" s="3">
        <f t="shared" si="29"/>
        <v>1.0005220569042026</v>
      </c>
      <c r="K206" s="3">
        <f t="shared" si="30"/>
        <v>1</v>
      </c>
      <c r="L206" s="3">
        <f t="shared" si="31"/>
        <v>0.83040000000000003</v>
      </c>
      <c r="O206">
        <f>Reference_Data!O202-Dark!O202</f>
        <v>3176</v>
      </c>
      <c r="P206">
        <f>Reference_Data!P202-Dark!P202</f>
        <v>324</v>
      </c>
      <c r="Q206">
        <f>Reference_Data!Q202-Dark!Q202</f>
        <v>11</v>
      </c>
      <c r="R206">
        <f>Sample_Data!O202-Dark!O202</f>
        <v>3171</v>
      </c>
      <c r="S206">
        <f>Sample_Data!P202-Dark!P202</f>
        <v>243</v>
      </c>
      <c r="T206">
        <f>Sample_Data!Q202-Dark!Q202</f>
        <v>8</v>
      </c>
      <c r="U206">
        <f t="shared" si="28"/>
        <v>2712.96875</v>
      </c>
      <c r="V206">
        <f t="shared" si="32"/>
        <v>0.99842569269521408</v>
      </c>
      <c r="W206">
        <f t="shared" si="33"/>
        <v>0.75</v>
      </c>
      <c r="X206">
        <f t="shared" si="34"/>
        <v>0.72727272727272729</v>
      </c>
    </row>
    <row r="207" spans="1:24" x14ac:dyDescent="0.35">
      <c r="A207">
        <f t="shared" si="35"/>
        <v>6130</v>
      </c>
      <c r="C207">
        <f>Reference_Data!L203-Dark!L203</f>
        <v>3831</v>
      </c>
      <c r="D207">
        <f>Reference_Data!M203-Dark!M203</f>
        <v>4006</v>
      </c>
      <c r="E207">
        <f>Reference_Data!N203-Dark!N203</f>
        <v>626</v>
      </c>
      <c r="F207">
        <f>Sample_Data!L203-Dark!L203</f>
        <v>3831</v>
      </c>
      <c r="G207">
        <f>Sample_Data!M203-Dark!M203</f>
        <v>4006</v>
      </c>
      <c r="H207">
        <f>Sample_Data!N203-Dark!N203</f>
        <v>522</v>
      </c>
      <c r="I207">
        <f t="shared" si="27"/>
        <v>1499.4312500000001</v>
      </c>
      <c r="J207" s="3">
        <f t="shared" si="29"/>
        <v>1</v>
      </c>
      <c r="K207" s="3">
        <f t="shared" si="30"/>
        <v>1</v>
      </c>
      <c r="L207" s="3">
        <f t="shared" si="31"/>
        <v>0.83386581469648557</v>
      </c>
      <c r="O207">
        <f>Reference_Data!O203-Dark!O203</f>
        <v>3190</v>
      </c>
      <c r="P207">
        <f>Reference_Data!P203-Dark!P203</f>
        <v>329</v>
      </c>
      <c r="Q207">
        <f>Reference_Data!Q203-Dark!Q203</f>
        <v>11</v>
      </c>
      <c r="R207">
        <f>Sample_Data!O203-Dark!O203</f>
        <v>3186</v>
      </c>
      <c r="S207">
        <f>Sample_Data!P203-Dark!P203</f>
        <v>247</v>
      </c>
      <c r="T207">
        <f>Sample_Data!Q203-Dark!Q203</f>
        <v>9</v>
      </c>
      <c r="U207">
        <f t="shared" si="28"/>
        <v>2719.671875</v>
      </c>
      <c r="V207">
        <f t="shared" si="32"/>
        <v>0.99874608150470223</v>
      </c>
      <c r="W207">
        <f t="shared" si="33"/>
        <v>0.75075987841945291</v>
      </c>
      <c r="X207">
        <f t="shared" si="34"/>
        <v>0.81818181818181823</v>
      </c>
    </row>
    <row r="208" spans="1:24" x14ac:dyDescent="0.35">
      <c r="A208">
        <f t="shared" si="35"/>
        <v>6160</v>
      </c>
      <c r="C208">
        <f>Reference_Data!L204-Dark!L204</f>
        <v>3834</v>
      </c>
      <c r="D208">
        <f>Reference_Data!M204-Dark!M204</f>
        <v>4008</v>
      </c>
      <c r="E208">
        <f>Reference_Data!N204-Dark!N204</f>
        <v>626</v>
      </c>
      <c r="F208">
        <f>Sample_Data!L204-Dark!L204</f>
        <v>3834</v>
      </c>
      <c r="G208">
        <f>Sample_Data!M204-Dark!M204</f>
        <v>4008</v>
      </c>
      <c r="H208">
        <f>Sample_Data!N204-Dark!N204</f>
        <v>522</v>
      </c>
      <c r="I208">
        <f t="shared" si="27"/>
        <v>1503.0500000000002</v>
      </c>
      <c r="J208" s="3">
        <f t="shared" si="29"/>
        <v>1</v>
      </c>
      <c r="K208" s="3">
        <f t="shared" si="30"/>
        <v>1</v>
      </c>
      <c r="L208" s="3">
        <f t="shared" si="31"/>
        <v>0.83386581469648557</v>
      </c>
      <c r="O208">
        <f>Reference_Data!O204-Dark!O204</f>
        <v>3206</v>
      </c>
      <c r="P208">
        <f>Reference_Data!P204-Dark!P204</f>
        <v>334</v>
      </c>
      <c r="Q208">
        <f>Reference_Data!Q204-Dark!Q204</f>
        <v>11</v>
      </c>
      <c r="R208">
        <f>Sample_Data!O204-Dark!O204</f>
        <v>3203</v>
      </c>
      <c r="S208">
        <f>Sample_Data!P204-Dark!P204</f>
        <v>252</v>
      </c>
      <c r="T208">
        <f>Sample_Data!Q204-Dark!Q204</f>
        <v>8</v>
      </c>
      <c r="U208">
        <f t="shared" si="28"/>
        <v>2726.375</v>
      </c>
      <c r="V208">
        <f t="shared" si="32"/>
        <v>0.99906425452276981</v>
      </c>
      <c r="W208">
        <f t="shared" si="33"/>
        <v>0.75449101796407181</v>
      </c>
      <c r="X208">
        <f t="shared" si="34"/>
        <v>0.72727272727272729</v>
      </c>
    </row>
    <row r="209" spans="1:24" x14ac:dyDescent="0.35">
      <c r="A209">
        <f t="shared" si="35"/>
        <v>6190</v>
      </c>
      <c r="C209">
        <f>Reference_Data!L205-Dark!L205</f>
        <v>3844</v>
      </c>
      <c r="D209">
        <f>Reference_Data!M205-Dark!M205</f>
        <v>4008</v>
      </c>
      <c r="E209">
        <f>Reference_Data!N205-Dark!N205</f>
        <v>628</v>
      </c>
      <c r="F209">
        <f>Sample_Data!L205-Dark!L205</f>
        <v>3845</v>
      </c>
      <c r="G209">
        <f>Sample_Data!M205-Dark!M205</f>
        <v>4008</v>
      </c>
      <c r="H209">
        <f>Sample_Data!N205-Dark!N205</f>
        <v>523</v>
      </c>
      <c r="I209">
        <f t="shared" si="27"/>
        <v>1506.66875</v>
      </c>
      <c r="J209" s="3">
        <f t="shared" si="29"/>
        <v>1.0002601456815816</v>
      </c>
      <c r="K209" s="3">
        <f t="shared" si="30"/>
        <v>1</v>
      </c>
      <c r="L209" s="3">
        <f t="shared" si="31"/>
        <v>0.83280254777070062</v>
      </c>
      <c r="O209">
        <f>Reference_Data!O205-Dark!O205</f>
        <v>3221</v>
      </c>
      <c r="P209">
        <f>Reference_Data!P205-Dark!P205</f>
        <v>339</v>
      </c>
      <c r="Q209">
        <f>Reference_Data!Q205-Dark!Q205</f>
        <v>11</v>
      </c>
      <c r="R209">
        <f>Sample_Data!O205-Dark!O205</f>
        <v>3220</v>
      </c>
      <c r="S209">
        <f>Sample_Data!P205-Dark!P205</f>
        <v>257</v>
      </c>
      <c r="T209">
        <f>Sample_Data!Q205-Dark!Q205</f>
        <v>9</v>
      </c>
      <c r="U209">
        <f t="shared" si="28"/>
        <v>2733.078125</v>
      </c>
      <c r="V209">
        <f t="shared" si="32"/>
        <v>0.99968953741074196</v>
      </c>
      <c r="W209">
        <f t="shared" si="33"/>
        <v>0.75811209439528027</v>
      </c>
      <c r="X209">
        <f t="shared" si="34"/>
        <v>0.81818181818181823</v>
      </c>
    </row>
    <row r="210" spans="1:24" x14ac:dyDescent="0.35">
      <c r="A210">
        <f t="shared" si="35"/>
        <v>6220</v>
      </c>
      <c r="C210">
        <f>Reference_Data!L206-Dark!L206</f>
        <v>3833</v>
      </c>
      <c r="D210">
        <f>Reference_Data!M206-Dark!M206</f>
        <v>4007</v>
      </c>
      <c r="E210">
        <f>Reference_Data!N206-Dark!N206</f>
        <v>625</v>
      </c>
      <c r="F210">
        <f>Sample_Data!L206-Dark!L206</f>
        <v>3834</v>
      </c>
      <c r="G210">
        <f>Sample_Data!M206-Dark!M206</f>
        <v>4006</v>
      </c>
      <c r="H210">
        <f>Sample_Data!N206-Dark!N206</f>
        <v>523</v>
      </c>
      <c r="I210">
        <f t="shared" si="27"/>
        <v>1510.2874999999999</v>
      </c>
      <c r="J210" s="3">
        <f t="shared" si="29"/>
        <v>1.0002608922515002</v>
      </c>
      <c r="K210" s="3">
        <f t="shared" si="30"/>
        <v>0.99975043673571251</v>
      </c>
      <c r="L210" s="3">
        <f t="shared" si="31"/>
        <v>0.83679999999999999</v>
      </c>
      <c r="O210">
        <f>Reference_Data!O206-Dark!O206</f>
        <v>3235</v>
      </c>
      <c r="P210">
        <f>Reference_Data!P206-Dark!P206</f>
        <v>345</v>
      </c>
      <c r="Q210">
        <f>Reference_Data!Q206-Dark!Q206</f>
        <v>13</v>
      </c>
      <c r="R210">
        <f>Sample_Data!O206-Dark!O206</f>
        <v>3234</v>
      </c>
      <c r="S210">
        <f>Sample_Data!P206-Dark!P206</f>
        <v>263</v>
      </c>
      <c r="T210">
        <f>Sample_Data!Q206-Dark!Q206</f>
        <v>9</v>
      </c>
      <c r="U210">
        <f t="shared" si="28"/>
        <v>2739.78125</v>
      </c>
      <c r="V210">
        <f t="shared" si="32"/>
        <v>0.9996908809891808</v>
      </c>
      <c r="W210">
        <f t="shared" si="33"/>
        <v>0.76231884057971011</v>
      </c>
      <c r="X210">
        <f t="shared" si="34"/>
        <v>0.69230769230769229</v>
      </c>
    </row>
    <row r="211" spans="1:24" x14ac:dyDescent="0.35">
      <c r="A211">
        <f t="shared" si="35"/>
        <v>6250</v>
      </c>
      <c r="C211">
        <f>Reference_Data!L207-Dark!L207</f>
        <v>3834</v>
      </c>
      <c r="D211">
        <f>Reference_Data!M207-Dark!M207</f>
        <v>4007</v>
      </c>
      <c r="E211">
        <f>Reference_Data!N207-Dark!N207</f>
        <v>627</v>
      </c>
      <c r="F211">
        <f>Sample_Data!L207-Dark!L207</f>
        <v>3835</v>
      </c>
      <c r="G211">
        <f>Sample_Data!M207-Dark!M207</f>
        <v>4006</v>
      </c>
      <c r="H211">
        <f>Sample_Data!N207-Dark!N207</f>
        <v>526</v>
      </c>
      <c r="I211">
        <f t="shared" si="27"/>
        <v>1513.90625</v>
      </c>
      <c r="J211" s="3">
        <f t="shared" si="29"/>
        <v>1.0002608242044861</v>
      </c>
      <c r="K211" s="3">
        <f t="shared" si="30"/>
        <v>0.99975043673571251</v>
      </c>
      <c r="L211" s="3">
        <f t="shared" si="31"/>
        <v>0.83891547049441784</v>
      </c>
      <c r="O211">
        <f>Reference_Data!O207-Dark!O207</f>
        <v>3247</v>
      </c>
      <c r="P211">
        <f>Reference_Data!P207-Dark!P207</f>
        <v>353</v>
      </c>
      <c r="Q211">
        <f>Reference_Data!Q207-Dark!Q207</f>
        <v>11</v>
      </c>
      <c r="R211">
        <f>Sample_Data!O207-Dark!O207</f>
        <v>3247</v>
      </c>
      <c r="S211">
        <f>Sample_Data!P207-Dark!P207</f>
        <v>271</v>
      </c>
      <c r="T211">
        <f>Sample_Data!Q207-Dark!Q207</f>
        <v>9</v>
      </c>
      <c r="U211">
        <f t="shared" si="28"/>
        <v>2746.484375</v>
      </c>
      <c r="V211">
        <f t="shared" si="32"/>
        <v>1</v>
      </c>
      <c r="W211">
        <f t="shared" si="33"/>
        <v>0.76770538243626063</v>
      </c>
      <c r="X211">
        <f t="shared" si="34"/>
        <v>0.81818181818181823</v>
      </c>
    </row>
    <row r="212" spans="1:24" x14ac:dyDescent="0.35">
      <c r="A212">
        <f t="shared" si="35"/>
        <v>6280</v>
      </c>
      <c r="C212">
        <f>Reference_Data!L208-Dark!L208</f>
        <v>3840</v>
      </c>
      <c r="D212">
        <f>Reference_Data!M208-Dark!M208</f>
        <v>4006</v>
      </c>
      <c r="E212">
        <f>Reference_Data!N208-Dark!N208</f>
        <v>625</v>
      </c>
      <c r="F212">
        <f>Sample_Data!L208-Dark!L208</f>
        <v>3841</v>
      </c>
      <c r="G212">
        <f>Sample_Data!M208-Dark!M208</f>
        <v>4006</v>
      </c>
      <c r="H212">
        <f>Sample_Data!N208-Dark!N208</f>
        <v>525</v>
      </c>
      <c r="I212">
        <f t="shared" si="27"/>
        <v>1517.5250000000001</v>
      </c>
      <c r="J212" s="3">
        <f t="shared" si="29"/>
        <v>1.0002604166666667</v>
      </c>
      <c r="K212" s="3">
        <f t="shared" si="30"/>
        <v>1</v>
      </c>
      <c r="L212" s="3">
        <f t="shared" si="31"/>
        <v>0.84</v>
      </c>
      <c r="O212">
        <f>Reference_Data!O208-Dark!O208</f>
        <v>3260</v>
      </c>
      <c r="P212">
        <f>Reference_Data!P208-Dark!P208</f>
        <v>361</v>
      </c>
      <c r="Q212">
        <f>Reference_Data!Q208-Dark!Q208</f>
        <v>12</v>
      </c>
      <c r="R212">
        <f>Sample_Data!O208-Dark!O208</f>
        <v>3260</v>
      </c>
      <c r="S212">
        <f>Sample_Data!P208-Dark!P208</f>
        <v>279</v>
      </c>
      <c r="T212">
        <f>Sample_Data!Q208-Dark!Q208</f>
        <v>9</v>
      </c>
      <c r="U212">
        <f t="shared" si="28"/>
        <v>2753.1875</v>
      </c>
      <c r="V212">
        <f t="shared" si="32"/>
        <v>1</v>
      </c>
      <c r="W212">
        <f t="shared" si="33"/>
        <v>0.77285318559556782</v>
      </c>
      <c r="X212">
        <f t="shared" si="34"/>
        <v>0.75</v>
      </c>
    </row>
    <row r="213" spans="1:24" x14ac:dyDescent="0.35">
      <c r="A213">
        <f t="shared" si="35"/>
        <v>6310</v>
      </c>
      <c r="C213">
        <f>Reference_Data!L209-Dark!L209</f>
        <v>3830</v>
      </c>
      <c r="D213">
        <f>Reference_Data!M209-Dark!M209</f>
        <v>4006</v>
      </c>
      <c r="E213">
        <f>Reference_Data!N209-Dark!N209</f>
        <v>627</v>
      </c>
      <c r="F213">
        <f>Sample_Data!L209-Dark!L209</f>
        <v>3829</v>
      </c>
      <c r="G213">
        <f>Sample_Data!M209-Dark!M209</f>
        <v>4007</v>
      </c>
      <c r="H213">
        <f>Sample_Data!N209-Dark!N209</f>
        <v>525</v>
      </c>
      <c r="I213">
        <f t="shared" si="27"/>
        <v>1521.1437500000002</v>
      </c>
      <c r="J213" s="3">
        <f t="shared" si="29"/>
        <v>0.99973890339425586</v>
      </c>
      <c r="K213" s="3">
        <f t="shared" si="30"/>
        <v>1.0002496255616575</v>
      </c>
      <c r="L213" s="3">
        <f t="shared" si="31"/>
        <v>0.83732057416267947</v>
      </c>
      <c r="O213">
        <f>Reference_Data!O209-Dark!O209</f>
        <v>3280</v>
      </c>
      <c r="P213">
        <f>Reference_Data!P209-Dark!P209</f>
        <v>370</v>
      </c>
      <c r="Q213">
        <f>Reference_Data!Q209-Dark!Q209</f>
        <v>13</v>
      </c>
      <c r="R213">
        <f>Sample_Data!O209-Dark!O209</f>
        <v>3279</v>
      </c>
      <c r="S213">
        <f>Sample_Data!P209-Dark!P209</f>
        <v>287</v>
      </c>
      <c r="T213">
        <f>Sample_Data!Q209-Dark!Q209</f>
        <v>9</v>
      </c>
      <c r="U213">
        <f t="shared" si="28"/>
        <v>2759.890625</v>
      </c>
      <c r="V213">
        <f t="shared" si="32"/>
        <v>0.99969512195121957</v>
      </c>
      <c r="W213">
        <f t="shared" si="33"/>
        <v>0.77567567567567564</v>
      </c>
      <c r="X213">
        <f t="shared" si="34"/>
        <v>0.69230769230769229</v>
      </c>
    </row>
    <row r="214" spans="1:24" x14ac:dyDescent="0.35">
      <c r="A214">
        <f t="shared" si="35"/>
        <v>6340</v>
      </c>
      <c r="C214">
        <f>Reference_Data!L210-Dark!L210</f>
        <v>3835</v>
      </c>
      <c r="D214">
        <f>Reference_Data!M210-Dark!M210</f>
        <v>4006</v>
      </c>
      <c r="E214">
        <f>Reference_Data!N210-Dark!N210</f>
        <v>626</v>
      </c>
      <c r="F214">
        <f>Sample_Data!L210-Dark!L210</f>
        <v>3836</v>
      </c>
      <c r="G214">
        <f>Sample_Data!M210-Dark!M210</f>
        <v>4007</v>
      </c>
      <c r="H214">
        <f>Sample_Data!N210-Dark!N210</f>
        <v>524</v>
      </c>
      <c r="I214">
        <f t="shared" si="27"/>
        <v>1524.7625</v>
      </c>
      <c r="J214" s="3">
        <f t="shared" si="29"/>
        <v>1.0002607561929595</v>
      </c>
      <c r="K214" s="3">
        <f t="shared" si="30"/>
        <v>1.0002496255616575</v>
      </c>
      <c r="L214" s="3">
        <f t="shared" si="31"/>
        <v>0.83706070287539935</v>
      </c>
      <c r="O214">
        <f>Reference_Data!O210-Dark!O210</f>
        <v>3299</v>
      </c>
      <c r="P214">
        <f>Reference_Data!P210-Dark!P210</f>
        <v>380</v>
      </c>
      <c r="Q214">
        <f>Reference_Data!Q210-Dark!Q210</f>
        <v>12</v>
      </c>
      <c r="R214">
        <f>Sample_Data!O210-Dark!O210</f>
        <v>3299</v>
      </c>
      <c r="S214">
        <f>Sample_Data!P210-Dark!P210</f>
        <v>296</v>
      </c>
      <c r="T214">
        <f>Sample_Data!Q210-Dark!Q210</f>
        <v>9</v>
      </c>
      <c r="U214">
        <f t="shared" si="28"/>
        <v>2766.59375</v>
      </c>
      <c r="V214">
        <f t="shared" si="32"/>
        <v>1</v>
      </c>
      <c r="W214">
        <f t="shared" si="33"/>
        <v>0.77894736842105261</v>
      </c>
      <c r="X214">
        <f t="shared" si="34"/>
        <v>0.75</v>
      </c>
    </row>
    <row r="215" spans="1:24" x14ac:dyDescent="0.35">
      <c r="A215">
        <f t="shared" si="35"/>
        <v>6370</v>
      </c>
      <c r="C215">
        <f>Reference_Data!L211-Dark!L211</f>
        <v>3832</v>
      </c>
      <c r="D215">
        <f>Reference_Data!M211-Dark!M211</f>
        <v>4006</v>
      </c>
      <c r="E215">
        <f>Reference_Data!N211-Dark!N211</f>
        <v>627</v>
      </c>
      <c r="F215">
        <f>Sample_Data!L211-Dark!L211</f>
        <v>3831</v>
      </c>
      <c r="G215">
        <f>Sample_Data!M211-Dark!M211</f>
        <v>4006</v>
      </c>
      <c r="H215">
        <f>Sample_Data!N211-Dark!N211</f>
        <v>526</v>
      </c>
      <c r="I215">
        <f t="shared" si="27"/>
        <v>1528.3812499999999</v>
      </c>
      <c r="J215" s="3">
        <f t="shared" si="29"/>
        <v>0.99973903966597077</v>
      </c>
      <c r="K215" s="3">
        <f t="shared" si="30"/>
        <v>1</v>
      </c>
      <c r="L215" s="3">
        <f t="shared" si="31"/>
        <v>0.83891547049441784</v>
      </c>
      <c r="O215">
        <f>Reference_Data!O211-Dark!O211</f>
        <v>3320</v>
      </c>
      <c r="P215">
        <f>Reference_Data!P211-Dark!P211</f>
        <v>390</v>
      </c>
      <c r="Q215">
        <f>Reference_Data!Q211-Dark!Q211</f>
        <v>13</v>
      </c>
      <c r="R215">
        <f>Sample_Data!O211-Dark!O211</f>
        <v>3319</v>
      </c>
      <c r="S215">
        <f>Sample_Data!P211-Dark!P211</f>
        <v>305</v>
      </c>
      <c r="T215">
        <f>Sample_Data!Q211-Dark!Q211</f>
        <v>9</v>
      </c>
      <c r="U215">
        <f t="shared" si="28"/>
        <v>2773.296875</v>
      </c>
      <c r="V215">
        <f t="shared" si="32"/>
        <v>0.99969879518072291</v>
      </c>
      <c r="W215">
        <f t="shared" si="33"/>
        <v>0.78205128205128205</v>
      </c>
      <c r="X215">
        <f t="shared" si="34"/>
        <v>0.69230769230769229</v>
      </c>
    </row>
    <row r="216" spans="1:24" x14ac:dyDescent="0.35">
      <c r="A216">
        <f t="shared" si="35"/>
        <v>6400</v>
      </c>
      <c r="C216">
        <f>Reference_Data!L212-Dark!L212</f>
        <v>3837</v>
      </c>
      <c r="D216">
        <f>Reference_Data!M212-Dark!M212</f>
        <v>4006</v>
      </c>
      <c r="E216">
        <f>Reference_Data!N212-Dark!N212</f>
        <v>628</v>
      </c>
      <c r="F216">
        <f>Sample_Data!L212-Dark!L212</f>
        <v>3838</v>
      </c>
      <c r="G216">
        <f>Sample_Data!M212-Dark!M212</f>
        <v>4006</v>
      </c>
      <c r="H216">
        <f>Sample_Data!N212-Dark!N212</f>
        <v>527</v>
      </c>
      <c r="I216">
        <f t="shared" si="27"/>
        <v>1532</v>
      </c>
      <c r="J216" s="3">
        <f t="shared" si="29"/>
        <v>1.0002606202762574</v>
      </c>
      <c r="K216" s="3">
        <f t="shared" si="30"/>
        <v>1</v>
      </c>
      <c r="L216" s="3">
        <f t="shared" si="31"/>
        <v>0.83917197452229297</v>
      </c>
      <c r="O216">
        <f>Reference_Data!O212-Dark!O212</f>
        <v>3344</v>
      </c>
      <c r="P216">
        <f>Reference_Data!P212-Dark!P212</f>
        <v>405</v>
      </c>
      <c r="Q216">
        <f>Reference_Data!Q212-Dark!Q212</f>
        <v>12</v>
      </c>
      <c r="R216">
        <f>Sample_Data!O212-Dark!O212</f>
        <v>3343</v>
      </c>
      <c r="S216">
        <f>Sample_Data!P212-Dark!P212</f>
        <v>316</v>
      </c>
      <c r="T216">
        <f>Sample_Data!Q212-Dark!Q212</f>
        <v>10</v>
      </c>
      <c r="U216">
        <f t="shared" si="28"/>
        <v>2780</v>
      </c>
      <c r="V216">
        <f t="shared" si="32"/>
        <v>0.99970095693779903</v>
      </c>
      <c r="W216">
        <f t="shared" si="33"/>
        <v>0.78024691358024689</v>
      </c>
      <c r="X216">
        <f t="shared" si="34"/>
        <v>0.83333333333333337</v>
      </c>
    </row>
    <row r="217" spans="1:24" x14ac:dyDescent="0.35">
      <c r="A217">
        <f t="shared" si="35"/>
        <v>6430</v>
      </c>
      <c r="C217">
        <f>Reference_Data!L213-Dark!L213</f>
        <v>3840</v>
      </c>
      <c r="D217">
        <f>Reference_Data!M213-Dark!M213</f>
        <v>4007</v>
      </c>
      <c r="E217">
        <f>Reference_Data!N213-Dark!N213</f>
        <v>626</v>
      </c>
      <c r="F217">
        <f>Sample_Data!L213-Dark!L213</f>
        <v>3840</v>
      </c>
      <c r="G217">
        <f>Sample_Data!M213-Dark!M213</f>
        <v>4006</v>
      </c>
      <c r="H217">
        <f>Sample_Data!N213-Dark!N213</f>
        <v>526</v>
      </c>
      <c r="I217">
        <f t="shared" si="27"/>
        <v>1535.6187500000001</v>
      </c>
      <c r="J217" s="3">
        <f t="shared" si="29"/>
        <v>1</v>
      </c>
      <c r="K217" s="3">
        <f t="shared" si="30"/>
        <v>0.99975043673571251</v>
      </c>
      <c r="L217" s="3">
        <f t="shared" si="31"/>
        <v>0.84025559105431313</v>
      </c>
      <c r="O217">
        <f>Reference_Data!O213-Dark!O213</f>
        <v>3362</v>
      </c>
      <c r="P217">
        <f>Reference_Data!P213-Dark!P213</f>
        <v>419</v>
      </c>
      <c r="Q217">
        <f>Reference_Data!Q213-Dark!Q213</f>
        <v>14</v>
      </c>
      <c r="R217">
        <f>Sample_Data!O213-Dark!O213</f>
        <v>3362</v>
      </c>
      <c r="S217">
        <f>Sample_Data!P213-Dark!P213</f>
        <v>328</v>
      </c>
      <c r="T217">
        <f>Sample_Data!Q213-Dark!Q213</f>
        <v>11</v>
      </c>
      <c r="U217">
        <f t="shared" si="28"/>
        <v>2786.703125</v>
      </c>
      <c r="V217">
        <f t="shared" si="32"/>
        <v>1</v>
      </c>
      <c r="W217">
        <f t="shared" si="33"/>
        <v>0.78281622911694515</v>
      </c>
      <c r="X217">
        <f t="shared" si="34"/>
        <v>0.7857142857142857</v>
      </c>
    </row>
    <row r="218" spans="1:24" x14ac:dyDescent="0.35">
      <c r="A218">
        <f t="shared" si="35"/>
        <v>6460</v>
      </c>
      <c r="C218">
        <f>Reference_Data!L214-Dark!L214</f>
        <v>3826</v>
      </c>
      <c r="D218">
        <f>Reference_Data!M214-Dark!M214</f>
        <v>4007</v>
      </c>
      <c r="E218">
        <f>Reference_Data!N214-Dark!N214</f>
        <v>629</v>
      </c>
      <c r="F218">
        <f>Sample_Data!L214-Dark!L214</f>
        <v>3827</v>
      </c>
      <c r="G218">
        <f>Sample_Data!M214-Dark!M214</f>
        <v>4007</v>
      </c>
      <c r="H218">
        <f>Sample_Data!N214-Dark!N214</f>
        <v>529</v>
      </c>
      <c r="I218">
        <f t="shared" si="27"/>
        <v>1539.2375000000002</v>
      </c>
      <c r="J218" s="3">
        <f t="shared" si="29"/>
        <v>1.0002613695765812</v>
      </c>
      <c r="K218" s="3">
        <f t="shared" si="30"/>
        <v>1</v>
      </c>
      <c r="L218" s="3">
        <f t="shared" si="31"/>
        <v>0.8410174880763116</v>
      </c>
      <c r="O218">
        <f>Reference_Data!O214-Dark!O214</f>
        <v>3384</v>
      </c>
      <c r="P218">
        <f>Reference_Data!P214-Dark!P214</f>
        <v>437</v>
      </c>
      <c r="Q218">
        <f>Reference_Data!Q214-Dark!Q214</f>
        <v>14</v>
      </c>
      <c r="R218">
        <f>Sample_Data!O214-Dark!O214</f>
        <v>3384</v>
      </c>
      <c r="S218">
        <f>Sample_Data!P214-Dark!P214</f>
        <v>344</v>
      </c>
      <c r="T218">
        <f>Sample_Data!Q214-Dark!Q214</f>
        <v>12</v>
      </c>
      <c r="U218">
        <f t="shared" si="28"/>
        <v>2793.40625</v>
      </c>
      <c r="V218">
        <f t="shared" si="32"/>
        <v>1</v>
      </c>
      <c r="W218">
        <f t="shared" si="33"/>
        <v>0.78718535469107553</v>
      </c>
      <c r="X218">
        <f t="shared" si="34"/>
        <v>0.8571428571428571</v>
      </c>
    </row>
    <row r="219" spans="1:24" x14ac:dyDescent="0.35">
      <c r="A219">
        <f t="shared" si="35"/>
        <v>6490</v>
      </c>
      <c r="C219">
        <f>Reference_Data!L215-Dark!L215</f>
        <v>3835</v>
      </c>
      <c r="D219">
        <f>Reference_Data!M215-Dark!M215</f>
        <v>4006</v>
      </c>
      <c r="E219">
        <f>Reference_Data!N215-Dark!N215</f>
        <v>628</v>
      </c>
      <c r="F219">
        <f>Sample_Data!L215-Dark!L215</f>
        <v>3834</v>
      </c>
      <c r="G219">
        <f>Sample_Data!M215-Dark!M215</f>
        <v>4006</v>
      </c>
      <c r="H219">
        <f>Sample_Data!N215-Dark!N215</f>
        <v>528</v>
      </c>
      <c r="I219">
        <f t="shared" si="27"/>
        <v>1542.85625</v>
      </c>
      <c r="J219" s="3">
        <f t="shared" si="29"/>
        <v>0.99973924380704038</v>
      </c>
      <c r="K219" s="3">
        <f t="shared" si="30"/>
        <v>1</v>
      </c>
      <c r="L219" s="3">
        <f t="shared" si="31"/>
        <v>0.84076433121019112</v>
      </c>
      <c r="O219">
        <f>Reference_Data!O215-Dark!O215</f>
        <v>3401</v>
      </c>
      <c r="P219">
        <f>Reference_Data!P215-Dark!P215</f>
        <v>457</v>
      </c>
      <c r="Q219">
        <f>Reference_Data!Q215-Dark!Q215</f>
        <v>15</v>
      </c>
      <c r="R219">
        <f>Sample_Data!O215-Dark!O215</f>
        <v>3400</v>
      </c>
      <c r="S219">
        <f>Sample_Data!P215-Dark!P215</f>
        <v>360</v>
      </c>
      <c r="T219">
        <f>Sample_Data!Q215-Dark!Q215</f>
        <v>12</v>
      </c>
      <c r="U219">
        <f t="shared" si="28"/>
        <v>2800.109375</v>
      </c>
      <c r="V219">
        <f t="shared" si="32"/>
        <v>0.99970596883269625</v>
      </c>
      <c r="W219">
        <f t="shared" si="33"/>
        <v>0.78774617067833697</v>
      </c>
      <c r="X219">
        <f t="shared" si="34"/>
        <v>0.8</v>
      </c>
    </row>
    <row r="220" spans="1:24" x14ac:dyDescent="0.35">
      <c r="A220">
        <f t="shared" si="35"/>
        <v>6520</v>
      </c>
      <c r="C220">
        <f>Reference_Data!L216-Dark!L216</f>
        <v>3832</v>
      </c>
      <c r="D220">
        <f>Reference_Data!M216-Dark!M216</f>
        <v>4006</v>
      </c>
      <c r="E220">
        <f>Reference_Data!N216-Dark!N216</f>
        <v>631</v>
      </c>
      <c r="F220">
        <f>Sample_Data!L216-Dark!L216</f>
        <v>3832</v>
      </c>
      <c r="G220">
        <f>Sample_Data!M216-Dark!M216</f>
        <v>4007</v>
      </c>
      <c r="H220">
        <f>Sample_Data!N216-Dark!N216</f>
        <v>531</v>
      </c>
      <c r="I220">
        <f t="shared" si="27"/>
        <v>1546.4749999999999</v>
      </c>
      <c r="J220" s="3">
        <f t="shared" si="29"/>
        <v>1</v>
      </c>
      <c r="K220" s="3">
        <f t="shared" si="30"/>
        <v>1.0002496255616575</v>
      </c>
      <c r="L220" s="3">
        <f t="shared" si="31"/>
        <v>0.84152139461172737</v>
      </c>
      <c r="O220">
        <f>Reference_Data!O216-Dark!O216</f>
        <v>3424</v>
      </c>
      <c r="P220">
        <f>Reference_Data!P216-Dark!P216</f>
        <v>479</v>
      </c>
      <c r="Q220">
        <f>Reference_Data!Q216-Dark!Q216</f>
        <v>16</v>
      </c>
      <c r="R220">
        <f>Sample_Data!O216-Dark!O216</f>
        <v>3425</v>
      </c>
      <c r="S220">
        <f>Sample_Data!P216-Dark!P216</f>
        <v>376</v>
      </c>
      <c r="T220">
        <f>Sample_Data!Q216-Dark!Q216</f>
        <v>11</v>
      </c>
      <c r="U220">
        <f t="shared" si="28"/>
        <v>2806.8125</v>
      </c>
      <c r="V220">
        <f t="shared" si="32"/>
        <v>1.0002920560747663</v>
      </c>
      <c r="W220">
        <f t="shared" si="33"/>
        <v>0.78496868475991655</v>
      </c>
      <c r="X220">
        <f t="shared" si="34"/>
        <v>0.6875</v>
      </c>
    </row>
    <row r="221" spans="1:24" x14ac:dyDescent="0.35">
      <c r="A221">
        <f t="shared" si="35"/>
        <v>6550</v>
      </c>
      <c r="C221">
        <f>Reference_Data!L217-Dark!L217</f>
        <v>3839</v>
      </c>
      <c r="D221">
        <f>Reference_Data!M217-Dark!M217</f>
        <v>4006</v>
      </c>
      <c r="E221">
        <f>Reference_Data!N217-Dark!N217</f>
        <v>633</v>
      </c>
      <c r="F221">
        <f>Sample_Data!L217-Dark!L217</f>
        <v>3841</v>
      </c>
      <c r="G221">
        <f>Sample_Data!M217-Dark!M217</f>
        <v>4006</v>
      </c>
      <c r="H221">
        <f>Sample_Data!N217-Dark!N217</f>
        <v>533</v>
      </c>
      <c r="I221">
        <f t="shared" si="27"/>
        <v>1550.09375</v>
      </c>
      <c r="J221" s="3">
        <f t="shared" si="29"/>
        <v>1.0005209690023444</v>
      </c>
      <c r="K221" s="3">
        <f t="shared" si="30"/>
        <v>1</v>
      </c>
      <c r="L221" s="3">
        <f t="shared" si="31"/>
        <v>0.84202211690363349</v>
      </c>
      <c r="O221">
        <f>Reference_Data!O217-Dark!O217</f>
        <v>3447</v>
      </c>
      <c r="P221">
        <f>Reference_Data!P217-Dark!P217</f>
        <v>497</v>
      </c>
      <c r="Q221">
        <f>Reference_Data!Q217-Dark!Q217</f>
        <v>16</v>
      </c>
      <c r="R221">
        <f>Sample_Data!O217-Dark!O217</f>
        <v>3448</v>
      </c>
      <c r="S221">
        <f>Sample_Data!P217-Dark!P217</f>
        <v>392</v>
      </c>
      <c r="T221">
        <f>Sample_Data!Q217-Dark!Q217</f>
        <v>12</v>
      </c>
      <c r="U221">
        <f t="shared" si="28"/>
        <v>2813.515625</v>
      </c>
      <c r="V221">
        <f t="shared" si="32"/>
        <v>1.0002901073397157</v>
      </c>
      <c r="W221">
        <f t="shared" si="33"/>
        <v>0.78873239436619713</v>
      </c>
      <c r="X221">
        <f t="shared" si="34"/>
        <v>0.75</v>
      </c>
    </row>
    <row r="222" spans="1:24" x14ac:dyDescent="0.35">
      <c r="A222">
        <f t="shared" si="35"/>
        <v>6580</v>
      </c>
      <c r="C222">
        <f>Reference_Data!L218-Dark!L218</f>
        <v>3837</v>
      </c>
      <c r="D222">
        <f>Reference_Data!M218-Dark!M218</f>
        <v>4006</v>
      </c>
      <c r="E222">
        <f>Reference_Data!N218-Dark!N218</f>
        <v>638</v>
      </c>
      <c r="F222">
        <f>Sample_Data!L218-Dark!L218</f>
        <v>3836</v>
      </c>
      <c r="G222">
        <f>Sample_Data!M218-Dark!M218</f>
        <v>4006</v>
      </c>
      <c r="H222">
        <f>Sample_Data!N218-Dark!N218</f>
        <v>536</v>
      </c>
      <c r="I222">
        <f t="shared" si="27"/>
        <v>1553.7125000000001</v>
      </c>
      <c r="J222" s="3">
        <f t="shared" si="29"/>
        <v>0.99973937972374249</v>
      </c>
      <c r="K222" s="3">
        <f t="shared" si="30"/>
        <v>1</v>
      </c>
      <c r="L222" s="3">
        <f t="shared" si="31"/>
        <v>0.84012539184952983</v>
      </c>
      <c r="O222">
        <f>Reference_Data!O218-Dark!O218</f>
        <v>3459</v>
      </c>
      <c r="P222">
        <f>Reference_Data!P218-Dark!P218</f>
        <v>517</v>
      </c>
      <c r="Q222">
        <f>Reference_Data!Q218-Dark!Q218</f>
        <v>17</v>
      </c>
      <c r="R222">
        <f>Sample_Data!O218-Dark!O218</f>
        <v>3459</v>
      </c>
      <c r="S222">
        <f>Sample_Data!P218-Dark!P218</f>
        <v>408</v>
      </c>
      <c r="T222">
        <f>Sample_Data!Q218-Dark!Q218</f>
        <v>15</v>
      </c>
      <c r="U222">
        <f t="shared" si="28"/>
        <v>2820.21875</v>
      </c>
      <c r="V222">
        <f t="shared" si="32"/>
        <v>1</v>
      </c>
      <c r="W222">
        <f t="shared" si="33"/>
        <v>0.78916827852998062</v>
      </c>
      <c r="X222">
        <f t="shared" si="34"/>
        <v>0.88235294117647056</v>
      </c>
    </row>
    <row r="223" spans="1:24" x14ac:dyDescent="0.35">
      <c r="A223">
        <f t="shared" si="35"/>
        <v>6610</v>
      </c>
      <c r="C223">
        <f>Reference_Data!L219-Dark!L219</f>
        <v>3832</v>
      </c>
      <c r="D223">
        <f>Reference_Data!M219-Dark!M219</f>
        <v>4006</v>
      </c>
      <c r="E223">
        <f>Reference_Data!N219-Dark!N219</f>
        <v>640</v>
      </c>
      <c r="F223">
        <f>Sample_Data!L219-Dark!L219</f>
        <v>3832</v>
      </c>
      <c r="G223">
        <f>Sample_Data!M219-Dark!M219</f>
        <v>4007</v>
      </c>
      <c r="H223">
        <f>Sample_Data!N219-Dark!N219</f>
        <v>539</v>
      </c>
      <c r="I223">
        <f t="shared" si="27"/>
        <v>1557.3312500000002</v>
      </c>
      <c r="J223" s="3">
        <f t="shared" si="29"/>
        <v>1</v>
      </c>
      <c r="K223" s="3">
        <f t="shared" si="30"/>
        <v>1.0002496255616575</v>
      </c>
      <c r="L223" s="3">
        <f t="shared" si="31"/>
        <v>0.84218749999999998</v>
      </c>
      <c r="O223">
        <f>Reference_Data!O219-Dark!O219</f>
        <v>3478</v>
      </c>
      <c r="P223">
        <f>Reference_Data!P219-Dark!P219</f>
        <v>538</v>
      </c>
      <c r="Q223">
        <f>Reference_Data!Q219-Dark!Q219</f>
        <v>18</v>
      </c>
      <c r="R223">
        <f>Sample_Data!O219-Dark!O219</f>
        <v>3478</v>
      </c>
      <c r="S223">
        <f>Sample_Data!P219-Dark!P219</f>
        <v>424</v>
      </c>
      <c r="T223">
        <f>Sample_Data!Q219-Dark!Q219</f>
        <v>15</v>
      </c>
      <c r="U223">
        <f t="shared" si="28"/>
        <v>2826.921875</v>
      </c>
      <c r="V223">
        <f t="shared" si="32"/>
        <v>1</v>
      </c>
      <c r="W223">
        <f t="shared" si="33"/>
        <v>0.78810408921933084</v>
      </c>
      <c r="X223">
        <f t="shared" si="34"/>
        <v>0.83333333333333337</v>
      </c>
    </row>
    <row r="224" spans="1:24" x14ac:dyDescent="0.35">
      <c r="A224">
        <f t="shared" si="35"/>
        <v>6640</v>
      </c>
      <c r="C224">
        <f>Reference_Data!L220-Dark!L220</f>
        <v>3842</v>
      </c>
      <c r="D224">
        <f>Reference_Data!M220-Dark!M220</f>
        <v>4007</v>
      </c>
      <c r="E224">
        <f>Reference_Data!N220-Dark!N220</f>
        <v>639</v>
      </c>
      <c r="F224">
        <f>Sample_Data!L220-Dark!L220</f>
        <v>3843</v>
      </c>
      <c r="G224">
        <f>Sample_Data!M220-Dark!M220</f>
        <v>4006</v>
      </c>
      <c r="H224">
        <f>Sample_Data!N220-Dark!N220</f>
        <v>538</v>
      </c>
      <c r="I224">
        <f t="shared" si="27"/>
        <v>1560.95</v>
      </c>
      <c r="J224" s="3">
        <f t="shared" si="29"/>
        <v>1.0002602811035919</v>
      </c>
      <c r="K224" s="3">
        <f t="shared" si="30"/>
        <v>0.99975043673571251</v>
      </c>
      <c r="L224" s="3">
        <f t="shared" si="31"/>
        <v>0.8419405320813772</v>
      </c>
      <c r="O224">
        <f>Reference_Data!O220-Dark!O220</f>
        <v>3499</v>
      </c>
      <c r="P224">
        <f>Reference_Data!P220-Dark!P220</f>
        <v>559</v>
      </c>
      <c r="Q224">
        <f>Reference_Data!Q220-Dark!Q220</f>
        <v>18</v>
      </c>
      <c r="R224">
        <f>Sample_Data!O220-Dark!O220</f>
        <v>3499</v>
      </c>
      <c r="S224">
        <f>Sample_Data!P220-Dark!P220</f>
        <v>440</v>
      </c>
      <c r="T224">
        <f>Sample_Data!Q220-Dark!Q220</f>
        <v>14</v>
      </c>
      <c r="U224">
        <f t="shared" si="28"/>
        <v>2833.625</v>
      </c>
      <c r="V224">
        <f t="shared" si="32"/>
        <v>1</v>
      </c>
      <c r="W224">
        <f t="shared" si="33"/>
        <v>0.7871198568872988</v>
      </c>
      <c r="X224">
        <f t="shared" si="34"/>
        <v>0.77777777777777779</v>
      </c>
    </row>
    <row r="225" spans="1:24" x14ac:dyDescent="0.35">
      <c r="A225">
        <f t="shared" si="35"/>
        <v>6670</v>
      </c>
      <c r="C225">
        <f>Reference_Data!L221-Dark!L221</f>
        <v>3833</v>
      </c>
      <c r="D225">
        <f>Reference_Data!M221-Dark!M221</f>
        <v>4008</v>
      </c>
      <c r="E225">
        <f>Reference_Data!N221-Dark!N221</f>
        <v>640</v>
      </c>
      <c r="F225">
        <f>Sample_Data!L221-Dark!L221</f>
        <v>3833</v>
      </c>
      <c r="G225">
        <f>Sample_Data!M221-Dark!M221</f>
        <v>4009</v>
      </c>
      <c r="H225">
        <f>Sample_Data!N221-Dark!N221</f>
        <v>541</v>
      </c>
      <c r="I225">
        <f t="shared" si="27"/>
        <v>1564.5687499999999</v>
      </c>
      <c r="J225" s="3">
        <f t="shared" si="29"/>
        <v>1</v>
      </c>
      <c r="K225" s="3">
        <f t="shared" si="30"/>
        <v>1.0002495009980039</v>
      </c>
      <c r="L225" s="3">
        <f t="shared" si="31"/>
        <v>0.84531250000000002</v>
      </c>
      <c r="O225">
        <f>Reference_Data!O221-Dark!O221</f>
        <v>3516</v>
      </c>
      <c r="P225">
        <f>Reference_Data!P221-Dark!P221</f>
        <v>579</v>
      </c>
      <c r="Q225">
        <f>Reference_Data!Q221-Dark!Q221</f>
        <v>18</v>
      </c>
      <c r="R225">
        <f>Sample_Data!O221-Dark!O221</f>
        <v>3515</v>
      </c>
      <c r="S225">
        <f>Sample_Data!P221-Dark!P221</f>
        <v>456</v>
      </c>
      <c r="T225">
        <f>Sample_Data!Q221-Dark!Q221</f>
        <v>14</v>
      </c>
      <c r="U225">
        <f t="shared" si="28"/>
        <v>2840.328125</v>
      </c>
      <c r="V225">
        <f t="shared" si="32"/>
        <v>0.99971558589306031</v>
      </c>
      <c r="W225">
        <f t="shared" si="33"/>
        <v>0.78756476683937826</v>
      </c>
      <c r="X225">
        <f t="shared" si="34"/>
        <v>0.77777777777777779</v>
      </c>
    </row>
    <row r="226" spans="1:24" x14ac:dyDescent="0.35">
      <c r="A226">
        <f t="shared" si="35"/>
        <v>6700</v>
      </c>
      <c r="C226">
        <f>Reference_Data!L222-Dark!L222</f>
        <v>3832</v>
      </c>
      <c r="D226">
        <f>Reference_Data!M222-Dark!M222</f>
        <v>4006</v>
      </c>
      <c r="E226">
        <f>Reference_Data!N222-Dark!N222</f>
        <v>642</v>
      </c>
      <c r="F226">
        <f>Sample_Data!L222-Dark!L222</f>
        <v>3832</v>
      </c>
      <c r="G226">
        <f>Sample_Data!M222-Dark!M222</f>
        <v>4006</v>
      </c>
      <c r="H226">
        <f>Sample_Data!N222-Dark!N222</f>
        <v>541</v>
      </c>
      <c r="I226">
        <f t="shared" si="27"/>
        <v>1568.1875</v>
      </c>
      <c r="J226" s="3">
        <f t="shared" si="29"/>
        <v>1</v>
      </c>
      <c r="K226" s="3">
        <f t="shared" si="30"/>
        <v>1</v>
      </c>
      <c r="L226" s="3">
        <f t="shared" si="31"/>
        <v>0.84267912772585674</v>
      </c>
      <c r="O226">
        <f>Reference_Data!O222-Dark!O222</f>
        <v>3541</v>
      </c>
      <c r="P226">
        <f>Reference_Data!P222-Dark!P222</f>
        <v>601</v>
      </c>
      <c r="Q226">
        <f>Reference_Data!Q222-Dark!Q222</f>
        <v>22</v>
      </c>
      <c r="R226">
        <f>Sample_Data!O222-Dark!O222</f>
        <v>3541</v>
      </c>
      <c r="S226">
        <f>Sample_Data!P222-Dark!P222</f>
        <v>472</v>
      </c>
      <c r="T226">
        <f>Sample_Data!Q222-Dark!Q222</f>
        <v>18</v>
      </c>
      <c r="U226">
        <f t="shared" si="28"/>
        <v>2847.03125</v>
      </c>
      <c r="V226">
        <f t="shared" si="32"/>
        <v>1</v>
      </c>
      <c r="W226">
        <f t="shared" si="33"/>
        <v>0.78535773710482526</v>
      </c>
      <c r="X226">
        <f t="shared" si="34"/>
        <v>0.81818181818181823</v>
      </c>
    </row>
    <row r="227" spans="1:24" x14ac:dyDescent="0.35">
      <c r="A227">
        <f t="shared" si="35"/>
        <v>6730</v>
      </c>
      <c r="C227">
        <f>Reference_Data!L223-Dark!L223</f>
        <v>3827</v>
      </c>
      <c r="D227">
        <f>Reference_Data!M223-Dark!M223</f>
        <v>4006</v>
      </c>
      <c r="E227">
        <f>Reference_Data!N223-Dark!N223</f>
        <v>645</v>
      </c>
      <c r="F227">
        <f>Sample_Data!L223-Dark!L223</f>
        <v>3826</v>
      </c>
      <c r="G227">
        <f>Sample_Data!M223-Dark!M223</f>
        <v>4007</v>
      </c>
      <c r="H227">
        <f>Sample_Data!N223-Dark!N223</f>
        <v>546</v>
      </c>
      <c r="I227">
        <f t="shared" si="27"/>
        <v>1571.8062500000001</v>
      </c>
      <c r="J227" s="3">
        <f t="shared" si="29"/>
        <v>0.99973869871962373</v>
      </c>
      <c r="K227" s="3">
        <f t="shared" si="30"/>
        <v>1.0002496255616575</v>
      </c>
      <c r="L227" s="3">
        <f t="shared" si="31"/>
        <v>0.84651162790697676</v>
      </c>
      <c r="O227">
        <f>Reference_Data!O223-Dark!O223</f>
        <v>3563</v>
      </c>
      <c r="P227">
        <f>Reference_Data!P223-Dark!P223</f>
        <v>625</v>
      </c>
      <c r="Q227">
        <f>Reference_Data!Q223-Dark!Q223</f>
        <v>20</v>
      </c>
      <c r="R227">
        <f>Sample_Data!O223-Dark!O223</f>
        <v>3564</v>
      </c>
      <c r="S227">
        <f>Sample_Data!P223-Dark!P223</f>
        <v>491</v>
      </c>
      <c r="T227">
        <f>Sample_Data!Q223-Dark!Q223</f>
        <v>16</v>
      </c>
      <c r="U227">
        <f t="shared" si="28"/>
        <v>2853.734375</v>
      </c>
      <c r="V227">
        <f t="shared" si="32"/>
        <v>1.000280662363177</v>
      </c>
      <c r="W227">
        <f t="shared" si="33"/>
        <v>0.78559999999999997</v>
      </c>
      <c r="X227">
        <f t="shared" si="34"/>
        <v>0.8</v>
      </c>
    </row>
    <row r="228" spans="1:24" x14ac:dyDescent="0.35">
      <c r="A228">
        <f t="shared" si="35"/>
        <v>6760</v>
      </c>
      <c r="C228">
        <f>Reference_Data!L224-Dark!L224</f>
        <v>3837</v>
      </c>
      <c r="D228">
        <f>Reference_Data!M224-Dark!M224</f>
        <v>4007</v>
      </c>
      <c r="E228">
        <f>Reference_Data!N224-Dark!N224</f>
        <v>645</v>
      </c>
      <c r="F228">
        <f>Sample_Data!L224-Dark!L224</f>
        <v>3836</v>
      </c>
      <c r="G228">
        <f>Sample_Data!M224-Dark!M224</f>
        <v>4006</v>
      </c>
      <c r="H228">
        <f>Sample_Data!N224-Dark!N224</f>
        <v>546</v>
      </c>
      <c r="I228">
        <f t="shared" si="27"/>
        <v>1575.4250000000002</v>
      </c>
      <c r="J228" s="3">
        <f t="shared" si="29"/>
        <v>0.99973937972374249</v>
      </c>
      <c r="K228" s="3">
        <f t="shared" si="30"/>
        <v>0.99975043673571251</v>
      </c>
      <c r="L228" s="3">
        <f t="shared" si="31"/>
        <v>0.84651162790697676</v>
      </c>
      <c r="O228">
        <f>Reference_Data!O224-Dark!O224</f>
        <v>3581</v>
      </c>
      <c r="P228">
        <f>Reference_Data!P224-Dark!P224</f>
        <v>648</v>
      </c>
      <c r="Q228">
        <f>Reference_Data!Q224-Dark!Q224</f>
        <v>20</v>
      </c>
      <c r="R228">
        <f>Sample_Data!O224-Dark!O224</f>
        <v>3581</v>
      </c>
      <c r="S228">
        <f>Sample_Data!P224-Dark!P224</f>
        <v>509</v>
      </c>
      <c r="T228">
        <f>Sample_Data!Q224-Dark!Q224</f>
        <v>16</v>
      </c>
      <c r="U228">
        <f t="shared" si="28"/>
        <v>2860.4375</v>
      </c>
      <c r="V228">
        <f t="shared" si="32"/>
        <v>1</v>
      </c>
      <c r="W228">
        <f t="shared" si="33"/>
        <v>0.78549382716049387</v>
      </c>
      <c r="X228">
        <f t="shared" si="34"/>
        <v>0.8</v>
      </c>
    </row>
    <row r="229" spans="1:24" x14ac:dyDescent="0.35">
      <c r="A229">
        <f t="shared" si="35"/>
        <v>6790</v>
      </c>
      <c r="C229">
        <f>Reference_Data!L225-Dark!L225</f>
        <v>3832</v>
      </c>
      <c r="D229">
        <f>Reference_Data!M225-Dark!M225</f>
        <v>4006</v>
      </c>
      <c r="E229">
        <f>Reference_Data!N225-Dark!N225</f>
        <v>647</v>
      </c>
      <c r="F229">
        <f>Sample_Data!L225-Dark!L225</f>
        <v>3834</v>
      </c>
      <c r="G229">
        <f>Sample_Data!M225-Dark!M225</f>
        <v>4006</v>
      </c>
      <c r="H229">
        <f>Sample_Data!N225-Dark!N225</f>
        <v>548</v>
      </c>
      <c r="I229">
        <f t="shared" si="27"/>
        <v>1579.04375</v>
      </c>
      <c r="J229" s="3">
        <f t="shared" si="29"/>
        <v>1.0005219206680585</v>
      </c>
      <c r="K229" s="3">
        <f t="shared" si="30"/>
        <v>1</v>
      </c>
      <c r="L229" s="3">
        <f t="shared" si="31"/>
        <v>0.84698608964451316</v>
      </c>
      <c r="O229">
        <f>Reference_Data!O225-Dark!O225</f>
        <v>3600</v>
      </c>
      <c r="P229">
        <f>Reference_Data!P225-Dark!P225</f>
        <v>677</v>
      </c>
      <c r="Q229">
        <f>Reference_Data!Q225-Dark!Q225</f>
        <v>22</v>
      </c>
      <c r="R229">
        <f>Sample_Data!O225-Dark!O225</f>
        <v>3600</v>
      </c>
      <c r="S229">
        <f>Sample_Data!P225-Dark!P225</f>
        <v>529</v>
      </c>
      <c r="T229">
        <f>Sample_Data!Q225-Dark!Q225</f>
        <v>17</v>
      </c>
      <c r="U229">
        <f t="shared" si="28"/>
        <v>2867.140625</v>
      </c>
      <c r="V229">
        <f t="shared" si="32"/>
        <v>1</v>
      </c>
      <c r="W229">
        <f t="shared" si="33"/>
        <v>0.78138847858197935</v>
      </c>
      <c r="X229">
        <f t="shared" si="34"/>
        <v>0.77272727272727271</v>
      </c>
    </row>
    <row r="230" spans="1:24" x14ac:dyDescent="0.35">
      <c r="A230">
        <f t="shared" si="35"/>
        <v>6820</v>
      </c>
      <c r="C230">
        <f>Reference_Data!L226-Dark!L226</f>
        <v>3823</v>
      </c>
      <c r="D230">
        <f>Reference_Data!M226-Dark!M226</f>
        <v>4006</v>
      </c>
      <c r="E230">
        <f>Reference_Data!N226-Dark!N226</f>
        <v>650</v>
      </c>
      <c r="F230">
        <f>Sample_Data!L226-Dark!L226</f>
        <v>3822</v>
      </c>
      <c r="G230">
        <f>Sample_Data!M226-Dark!M226</f>
        <v>4006</v>
      </c>
      <c r="H230">
        <f>Sample_Data!N226-Dark!N226</f>
        <v>552</v>
      </c>
      <c r="I230">
        <f t="shared" si="27"/>
        <v>1582.6624999999999</v>
      </c>
      <c r="J230" s="3">
        <f t="shared" si="29"/>
        <v>0.999738425320429</v>
      </c>
      <c r="K230" s="3">
        <f t="shared" si="30"/>
        <v>1</v>
      </c>
      <c r="L230" s="3">
        <f t="shared" si="31"/>
        <v>0.84923076923076923</v>
      </c>
      <c r="O230">
        <f>Reference_Data!O226-Dark!O226</f>
        <v>3613</v>
      </c>
      <c r="P230">
        <f>Reference_Data!P226-Dark!P226</f>
        <v>707</v>
      </c>
      <c r="Q230">
        <f>Reference_Data!Q226-Dark!Q226</f>
        <v>24</v>
      </c>
      <c r="R230">
        <f>Sample_Data!O226-Dark!O226</f>
        <v>3613</v>
      </c>
      <c r="S230">
        <f>Sample_Data!P226-Dark!P226</f>
        <v>554</v>
      </c>
      <c r="T230">
        <f>Sample_Data!Q226-Dark!Q226</f>
        <v>20</v>
      </c>
      <c r="U230">
        <f t="shared" si="28"/>
        <v>2873.84375</v>
      </c>
      <c r="V230">
        <f t="shared" si="32"/>
        <v>1</v>
      </c>
      <c r="W230">
        <f t="shared" si="33"/>
        <v>0.78359264497878356</v>
      </c>
      <c r="X230">
        <f t="shared" si="34"/>
        <v>0.83333333333333337</v>
      </c>
    </row>
    <row r="231" spans="1:24" x14ac:dyDescent="0.35">
      <c r="A231">
        <f t="shared" si="35"/>
        <v>6850</v>
      </c>
      <c r="C231">
        <f>Reference_Data!L227-Dark!L227</f>
        <v>3831</v>
      </c>
      <c r="D231">
        <f>Reference_Data!M227-Dark!M227</f>
        <v>4006</v>
      </c>
      <c r="E231">
        <f>Reference_Data!N227-Dark!N227</f>
        <v>649</v>
      </c>
      <c r="F231">
        <f>Sample_Data!L227-Dark!L227</f>
        <v>3830</v>
      </c>
      <c r="G231">
        <f>Sample_Data!M227-Dark!M227</f>
        <v>4006</v>
      </c>
      <c r="H231">
        <f>Sample_Data!N227-Dark!N227</f>
        <v>551</v>
      </c>
      <c r="I231">
        <f t="shared" si="27"/>
        <v>1586.28125</v>
      </c>
      <c r="J231" s="3">
        <f t="shared" si="29"/>
        <v>0.9997389715478987</v>
      </c>
      <c r="K231" s="3">
        <f t="shared" si="30"/>
        <v>1</v>
      </c>
      <c r="L231" s="3">
        <f t="shared" si="31"/>
        <v>0.84899845916795069</v>
      </c>
      <c r="O231">
        <f>Reference_Data!O227-Dark!O227</f>
        <v>3628</v>
      </c>
      <c r="P231">
        <f>Reference_Data!P227-Dark!P227</f>
        <v>742</v>
      </c>
      <c r="Q231">
        <f>Reference_Data!Q227-Dark!Q227</f>
        <v>24</v>
      </c>
      <c r="R231">
        <f>Sample_Data!O227-Dark!O227</f>
        <v>3628</v>
      </c>
      <c r="S231">
        <f>Sample_Data!P227-Dark!P227</f>
        <v>579</v>
      </c>
      <c r="T231">
        <f>Sample_Data!Q227-Dark!Q227</f>
        <v>19</v>
      </c>
      <c r="U231">
        <f t="shared" si="28"/>
        <v>2880.546875</v>
      </c>
      <c r="V231">
        <f t="shared" si="32"/>
        <v>1</v>
      </c>
      <c r="W231">
        <f t="shared" si="33"/>
        <v>0.78032345013477089</v>
      </c>
      <c r="X231">
        <f t="shared" si="34"/>
        <v>0.79166666666666663</v>
      </c>
    </row>
    <row r="232" spans="1:24" x14ac:dyDescent="0.35">
      <c r="A232">
        <f t="shared" si="35"/>
        <v>6880</v>
      </c>
      <c r="C232">
        <f>Reference_Data!L228-Dark!L228</f>
        <v>3832</v>
      </c>
      <c r="D232">
        <f>Reference_Data!M228-Dark!M228</f>
        <v>4007</v>
      </c>
      <c r="E232">
        <f>Reference_Data!N228-Dark!N228</f>
        <v>650</v>
      </c>
      <c r="F232">
        <f>Sample_Data!L228-Dark!L228</f>
        <v>3832</v>
      </c>
      <c r="G232">
        <f>Sample_Data!M228-Dark!M228</f>
        <v>4007</v>
      </c>
      <c r="H232">
        <f>Sample_Data!N228-Dark!N228</f>
        <v>553</v>
      </c>
      <c r="I232">
        <f t="shared" si="27"/>
        <v>1589.9</v>
      </c>
      <c r="J232" s="3">
        <f t="shared" si="29"/>
        <v>1</v>
      </c>
      <c r="K232" s="3">
        <f t="shared" si="30"/>
        <v>1</v>
      </c>
      <c r="L232" s="3">
        <f t="shared" si="31"/>
        <v>0.85076923076923072</v>
      </c>
      <c r="O232">
        <f>Reference_Data!O228-Dark!O228</f>
        <v>3640</v>
      </c>
      <c r="P232">
        <f>Reference_Data!P228-Dark!P228</f>
        <v>777</v>
      </c>
      <c r="Q232">
        <f>Reference_Data!Q228-Dark!Q228</f>
        <v>25</v>
      </c>
      <c r="R232">
        <f>Sample_Data!O228-Dark!O228</f>
        <v>3641</v>
      </c>
      <c r="S232">
        <f>Sample_Data!P228-Dark!P228</f>
        <v>608</v>
      </c>
      <c r="T232">
        <f>Sample_Data!Q228-Dark!Q228</f>
        <v>19</v>
      </c>
      <c r="U232">
        <f t="shared" si="28"/>
        <v>2887.25</v>
      </c>
      <c r="V232">
        <f t="shared" si="32"/>
        <v>1.0002747252747253</v>
      </c>
      <c r="W232">
        <f t="shared" si="33"/>
        <v>0.78249678249678245</v>
      </c>
      <c r="X232">
        <f t="shared" si="34"/>
        <v>0.76</v>
      </c>
    </row>
    <row r="233" spans="1:24" x14ac:dyDescent="0.35">
      <c r="A233">
        <f t="shared" si="35"/>
        <v>6910</v>
      </c>
      <c r="C233">
        <f>Reference_Data!L229-Dark!L229</f>
        <v>3837</v>
      </c>
      <c r="D233">
        <f>Reference_Data!M229-Dark!M229</f>
        <v>4006</v>
      </c>
      <c r="E233">
        <f>Reference_Data!N229-Dark!N229</f>
        <v>650</v>
      </c>
      <c r="F233">
        <f>Sample_Data!L229-Dark!L229</f>
        <v>3837</v>
      </c>
      <c r="G233">
        <f>Sample_Data!M229-Dark!M229</f>
        <v>4006</v>
      </c>
      <c r="H233">
        <f>Sample_Data!N229-Dark!N229</f>
        <v>553</v>
      </c>
      <c r="I233">
        <f t="shared" si="27"/>
        <v>1593.5187500000002</v>
      </c>
      <c r="J233" s="3">
        <f t="shared" si="29"/>
        <v>1</v>
      </c>
      <c r="K233" s="3">
        <f t="shared" si="30"/>
        <v>1</v>
      </c>
      <c r="L233" s="3">
        <f t="shared" si="31"/>
        <v>0.85076923076923072</v>
      </c>
      <c r="O233">
        <f>Reference_Data!O229-Dark!O229</f>
        <v>3652</v>
      </c>
      <c r="P233">
        <f>Reference_Data!P229-Dark!P229</f>
        <v>814</v>
      </c>
      <c r="Q233">
        <f>Reference_Data!Q229-Dark!Q229</f>
        <v>27</v>
      </c>
      <c r="R233">
        <f>Sample_Data!O229-Dark!O229</f>
        <v>3653</v>
      </c>
      <c r="S233">
        <f>Sample_Data!P229-Dark!P229</f>
        <v>633</v>
      </c>
      <c r="T233">
        <f>Sample_Data!Q229-Dark!Q229</f>
        <v>22</v>
      </c>
      <c r="U233">
        <f t="shared" si="28"/>
        <v>2893.953125</v>
      </c>
      <c r="V233">
        <f t="shared" si="32"/>
        <v>1.0002738225629793</v>
      </c>
      <c r="W233">
        <f t="shared" si="33"/>
        <v>0.77764127764127766</v>
      </c>
      <c r="X233">
        <f t="shared" si="34"/>
        <v>0.81481481481481477</v>
      </c>
    </row>
    <row r="234" spans="1:24" x14ac:dyDescent="0.35">
      <c r="A234">
        <f t="shared" si="35"/>
        <v>6940</v>
      </c>
      <c r="C234">
        <f>Reference_Data!L230-Dark!L230</f>
        <v>3829</v>
      </c>
      <c r="D234">
        <f>Reference_Data!M230-Dark!M230</f>
        <v>4006</v>
      </c>
      <c r="E234">
        <f>Reference_Data!N230-Dark!N230</f>
        <v>649</v>
      </c>
      <c r="F234">
        <f>Sample_Data!L230-Dark!L230</f>
        <v>3828</v>
      </c>
      <c r="G234">
        <f>Sample_Data!M230-Dark!M230</f>
        <v>4006</v>
      </c>
      <c r="H234">
        <f>Sample_Data!N230-Dark!N230</f>
        <v>552</v>
      </c>
      <c r="I234">
        <f t="shared" si="27"/>
        <v>1597.1375</v>
      </c>
      <c r="J234" s="3">
        <f t="shared" si="29"/>
        <v>0.99973883520501439</v>
      </c>
      <c r="K234" s="3">
        <f t="shared" si="30"/>
        <v>1</v>
      </c>
      <c r="L234" s="3">
        <f t="shared" si="31"/>
        <v>0.85053929121725735</v>
      </c>
      <c r="O234">
        <f>Reference_Data!O230-Dark!O230</f>
        <v>3665</v>
      </c>
      <c r="P234">
        <f>Reference_Data!P230-Dark!P230</f>
        <v>851</v>
      </c>
      <c r="Q234">
        <f>Reference_Data!Q230-Dark!Q230</f>
        <v>27</v>
      </c>
      <c r="R234">
        <f>Sample_Data!O230-Dark!O230</f>
        <v>3666</v>
      </c>
      <c r="S234">
        <f>Sample_Data!P230-Dark!P230</f>
        <v>661</v>
      </c>
      <c r="T234">
        <f>Sample_Data!Q230-Dark!Q230</f>
        <v>22</v>
      </c>
      <c r="U234">
        <f t="shared" si="28"/>
        <v>2900.65625</v>
      </c>
      <c r="V234">
        <f t="shared" si="32"/>
        <v>1.0002728512960437</v>
      </c>
      <c r="W234">
        <f t="shared" si="33"/>
        <v>0.7767332549941246</v>
      </c>
      <c r="X234">
        <f t="shared" si="34"/>
        <v>0.81481481481481477</v>
      </c>
    </row>
    <row r="235" spans="1:24" x14ac:dyDescent="0.35">
      <c r="A235">
        <f t="shared" si="35"/>
        <v>6970</v>
      </c>
      <c r="C235">
        <f>Reference_Data!L231-Dark!L231</f>
        <v>3823</v>
      </c>
      <c r="D235">
        <f>Reference_Data!M231-Dark!M231</f>
        <v>4006</v>
      </c>
      <c r="E235">
        <f>Reference_Data!N231-Dark!N231</f>
        <v>650</v>
      </c>
      <c r="F235">
        <f>Sample_Data!L231-Dark!L231</f>
        <v>3823</v>
      </c>
      <c r="G235">
        <f>Sample_Data!M231-Dark!M231</f>
        <v>4006</v>
      </c>
      <c r="H235">
        <f>Sample_Data!N231-Dark!N231</f>
        <v>553</v>
      </c>
      <c r="I235">
        <f t="shared" si="27"/>
        <v>1600.7562499999999</v>
      </c>
      <c r="J235" s="3">
        <f t="shared" si="29"/>
        <v>1</v>
      </c>
      <c r="K235" s="3">
        <f t="shared" si="30"/>
        <v>1</v>
      </c>
      <c r="L235" s="3">
        <f t="shared" si="31"/>
        <v>0.85076923076923072</v>
      </c>
      <c r="O235">
        <f>Reference_Data!O231-Dark!O231</f>
        <v>3678</v>
      </c>
      <c r="P235">
        <f>Reference_Data!P231-Dark!P231</f>
        <v>887</v>
      </c>
      <c r="Q235">
        <f>Reference_Data!Q231-Dark!Q231</f>
        <v>31</v>
      </c>
      <c r="R235">
        <f>Sample_Data!O231-Dark!O231</f>
        <v>3678</v>
      </c>
      <c r="S235">
        <f>Sample_Data!P231-Dark!P231</f>
        <v>688</v>
      </c>
      <c r="T235">
        <f>Sample_Data!Q231-Dark!Q231</f>
        <v>24</v>
      </c>
      <c r="U235">
        <f t="shared" si="28"/>
        <v>2907.359375</v>
      </c>
      <c r="V235">
        <f t="shared" si="32"/>
        <v>1</v>
      </c>
      <c r="W235">
        <f t="shared" si="33"/>
        <v>0.77564825253664038</v>
      </c>
      <c r="X235">
        <f t="shared" si="34"/>
        <v>0.77419354838709675</v>
      </c>
    </row>
    <row r="236" spans="1:24" x14ac:dyDescent="0.35">
      <c r="A236">
        <f t="shared" si="35"/>
        <v>7000</v>
      </c>
      <c r="C236">
        <f>Reference_Data!L232-Dark!L232</f>
        <v>3828</v>
      </c>
      <c r="D236">
        <f>Reference_Data!M232-Dark!M232</f>
        <v>4007</v>
      </c>
      <c r="E236">
        <f>Reference_Data!N232-Dark!N232</f>
        <v>649</v>
      </c>
      <c r="F236">
        <f>Sample_Data!L232-Dark!L232</f>
        <v>3828</v>
      </c>
      <c r="G236">
        <f>Sample_Data!M232-Dark!M232</f>
        <v>4007</v>
      </c>
      <c r="H236">
        <f>Sample_Data!N232-Dark!N232</f>
        <v>553</v>
      </c>
      <c r="I236">
        <f t="shared" si="27"/>
        <v>1604.375</v>
      </c>
      <c r="J236" s="3">
        <f t="shared" si="29"/>
        <v>1</v>
      </c>
      <c r="K236" s="3">
        <f t="shared" si="30"/>
        <v>1</v>
      </c>
      <c r="L236" s="3">
        <f t="shared" si="31"/>
        <v>0.8520801232665639</v>
      </c>
      <c r="O236">
        <f>Reference_Data!O232-Dark!O232</f>
        <v>3688</v>
      </c>
      <c r="P236">
        <f>Reference_Data!P232-Dark!P232</f>
        <v>926</v>
      </c>
      <c r="Q236">
        <f>Reference_Data!Q232-Dark!Q232</f>
        <v>31</v>
      </c>
      <c r="R236">
        <f>Sample_Data!O232-Dark!O232</f>
        <v>3689</v>
      </c>
      <c r="S236">
        <f>Sample_Data!P232-Dark!P232</f>
        <v>717</v>
      </c>
      <c r="T236">
        <f>Sample_Data!Q232-Dark!Q232</f>
        <v>25</v>
      </c>
      <c r="U236">
        <f t="shared" si="28"/>
        <v>2914.0625</v>
      </c>
      <c r="V236">
        <f t="shared" si="32"/>
        <v>1.0002711496746204</v>
      </c>
      <c r="W236">
        <f t="shared" si="33"/>
        <v>0.77429805615550751</v>
      </c>
      <c r="X236">
        <f t="shared" si="34"/>
        <v>0.80645161290322576</v>
      </c>
    </row>
    <row r="237" spans="1:24" x14ac:dyDescent="0.35">
      <c r="A237">
        <f t="shared" si="35"/>
        <v>7030</v>
      </c>
      <c r="C237">
        <f>Reference_Data!L233-Dark!L233</f>
        <v>3831</v>
      </c>
      <c r="D237">
        <f>Reference_Data!M233-Dark!M233</f>
        <v>4006</v>
      </c>
      <c r="E237">
        <f>Reference_Data!N233-Dark!N233</f>
        <v>649</v>
      </c>
      <c r="F237">
        <f>Sample_Data!L233-Dark!L233</f>
        <v>3831</v>
      </c>
      <c r="G237">
        <f>Sample_Data!M233-Dark!M233</f>
        <v>4006</v>
      </c>
      <c r="H237">
        <f>Sample_Data!N233-Dark!N233</f>
        <v>552</v>
      </c>
      <c r="I237">
        <f t="shared" si="27"/>
        <v>1607.9937500000001</v>
      </c>
      <c r="J237" s="3">
        <f t="shared" si="29"/>
        <v>1</v>
      </c>
      <c r="K237" s="3">
        <f t="shared" si="30"/>
        <v>1</v>
      </c>
      <c r="L237" s="3">
        <f t="shared" si="31"/>
        <v>0.85053929121725735</v>
      </c>
      <c r="O237">
        <f>Reference_Data!O233-Dark!O233</f>
        <v>3699</v>
      </c>
      <c r="P237">
        <f>Reference_Data!P233-Dark!P233</f>
        <v>967</v>
      </c>
      <c r="Q237">
        <f>Reference_Data!Q233-Dark!Q233</f>
        <v>32</v>
      </c>
      <c r="R237">
        <f>Sample_Data!O233-Dark!O233</f>
        <v>3699</v>
      </c>
      <c r="S237">
        <f>Sample_Data!P233-Dark!P233</f>
        <v>749</v>
      </c>
      <c r="T237">
        <f>Sample_Data!Q233-Dark!Q233</f>
        <v>25</v>
      </c>
      <c r="U237">
        <f t="shared" si="28"/>
        <v>2920.765625</v>
      </c>
      <c r="V237">
        <f t="shared" si="32"/>
        <v>1</v>
      </c>
      <c r="W237">
        <f t="shared" si="33"/>
        <v>0.77456049638055846</v>
      </c>
      <c r="X237">
        <f t="shared" si="34"/>
        <v>0.78125</v>
      </c>
    </row>
    <row r="238" spans="1:24" x14ac:dyDescent="0.35">
      <c r="A238">
        <f t="shared" si="35"/>
        <v>7060</v>
      </c>
      <c r="C238">
        <f>Reference_Data!L234-Dark!L234</f>
        <v>3824</v>
      </c>
      <c r="D238">
        <f>Reference_Data!M234-Dark!M234</f>
        <v>4006</v>
      </c>
      <c r="E238">
        <f>Reference_Data!N234-Dark!N234</f>
        <v>648</v>
      </c>
      <c r="F238">
        <f>Sample_Data!L234-Dark!L234</f>
        <v>3824</v>
      </c>
      <c r="G238">
        <f>Sample_Data!M234-Dark!M234</f>
        <v>4006</v>
      </c>
      <c r="H238">
        <f>Sample_Data!N234-Dark!N234</f>
        <v>551</v>
      </c>
      <c r="I238">
        <f t="shared" si="27"/>
        <v>1611.6125000000002</v>
      </c>
      <c r="J238" s="3">
        <f t="shared" si="29"/>
        <v>1</v>
      </c>
      <c r="K238" s="3">
        <f t="shared" si="30"/>
        <v>1</v>
      </c>
      <c r="L238" s="3">
        <f t="shared" si="31"/>
        <v>0.85030864197530864</v>
      </c>
      <c r="O238">
        <f>Reference_Data!O234-Dark!O234</f>
        <v>3713</v>
      </c>
      <c r="P238">
        <f>Reference_Data!P234-Dark!P234</f>
        <v>1014</v>
      </c>
      <c r="Q238">
        <f>Reference_Data!Q234-Dark!Q234</f>
        <v>36</v>
      </c>
      <c r="R238">
        <f>Sample_Data!O234-Dark!O234</f>
        <v>3712</v>
      </c>
      <c r="S238">
        <f>Sample_Data!P234-Dark!P234</f>
        <v>782</v>
      </c>
      <c r="T238">
        <f>Sample_Data!Q234-Dark!Q234</f>
        <v>27</v>
      </c>
      <c r="U238">
        <f t="shared" si="28"/>
        <v>2927.46875</v>
      </c>
      <c r="V238">
        <f t="shared" si="32"/>
        <v>0.99973067600323184</v>
      </c>
      <c r="W238">
        <f t="shared" si="33"/>
        <v>0.77120315581854049</v>
      </c>
      <c r="X238">
        <f t="shared" si="34"/>
        <v>0.75</v>
      </c>
    </row>
    <row r="239" spans="1:24" x14ac:dyDescent="0.35">
      <c r="A239">
        <f t="shared" si="35"/>
        <v>7090</v>
      </c>
      <c r="C239">
        <f>Reference_Data!L235-Dark!L235</f>
        <v>3826</v>
      </c>
      <c r="D239">
        <f>Reference_Data!M235-Dark!M235</f>
        <v>4006</v>
      </c>
      <c r="E239">
        <f>Reference_Data!N235-Dark!N235</f>
        <v>643</v>
      </c>
      <c r="F239">
        <f>Sample_Data!L235-Dark!L235</f>
        <v>3826</v>
      </c>
      <c r="G239">
        <f>Sample_Data!M235-Dark!M235</f>
        <v>4006</v>
      </c>
      <c r="H239">
        <f>Sample_Data!N235-Dark!N235</f>
        <v>548</v>
      </c>
      <c r="I239">
        <f t="shared" si="27"/>
        <v>1615.23125</v>
      </c>
      <c r="J239" s="3">
        <f t="shared" si="29"/>
        <v>1</v>
      </c>
      <c r="K239" s="3">
        <f t="shared" si="30"/>
        <v>1</v>
      </c>
      <c r="L239" s="3">
        <f t="shared" si="31"/>
        <v>0.85225505443234839</v>
      </c>
      <c r="O239">
        <f>Reference_Data!O235-Dark!O235</f>
        <v>3725</v>
      </c>
      <c r="P239">
        <f>Reference_Data!P235-Dark!P235</f>
        <v>1064</v>
      </c>
      <c r="Q239">
        <f>Reference_Data!Q235-Dark!Q235</f>
        <v>36</v>
      </c>
      <c r="R239">
        <f>Sample_Data!O235-Dark!O235</f>
        <v>3724</v>
      </c>
      <c r="S239">
        <f>Sample_Data!P235-Dark!P235</f>
        <v>821</v>
      </c>
      <c r="T239">
        <f>Sample_Data!Q235-Dark!Q235</f>
        <v>26</v>
      </c>
      <c r="U239">
        <f t="shared" si="28"/>
        <v>2934.171875</v>
      </c>
      <c r="V239">
        <f t="shared" si="32"/>
        <v>0.99973154362416106</v>
      </c>
      <c r="W239">
        <f t="shared" si="33"/>
        <v>0.77161654135338342</v>
      </c>
      <c r="X239">
        <f t="shared" si="34"/>
        <v>0.72222222222222221</v>
      </c>
    </row>
    <row r="240" spans="1:24" x14ac:dyDescent="0.35">
      <c r="A240">
        <f t="shared" si="35"/>
        <v>7120</v>
      </c>
      <c r="C240">
        <f>Reference_Data!L236-Dark!L236</f>
        <v>3835</v>
      </c>
      <c r="D240">
        <f>Reference_Data!M236-Dark!M236</f>
        <v>4006</v>
      </c>
      <c r="E240">
        <f>Reference_Data!N236-Dark!N236</f>
        <v>640</v>
      </c>
      <c r="F240">
        <f>Sample_Data!L236-Dark!L236</f>
        <v>3835</v>
      </c>
      <c r="G240">
        <f>Sample_Data!M236-Dark!M236</f>
        <v>4006</v>
      </c>
      <c r="H240">
        <f>Sample_Data!N236-Dark!N236</f>
        <v>544</v>
      </c>
      <c r="I240">
        <f t="shared" si="27"/>
        <v>1618.85</v>
      </c>
      <c r="J240" s="3">
        <f t="shared" si="29"/>
        <v>1</v>
      </c>
      <c r="K240" s="3">
        <f t="shared" si="30"/>
        <v>1</v>
      </c>
      <c r="L240" s="3">
        <f t="shared" si="31"/>
        <v>0.85</v>
      </c>
      <c r="O240">
        <f>Reference_Data!O236-Dark!O236</f>
        <v>3733</v>
      </c>
      <c r="P240">
        <f>Reference_Data!P236-Dark!P236</f>
        <v>1118</v>
      </c>
      <c r="Q240">
        <f>Reference_Data!Q236-Dark!Q236</f>
        <v>39</v>
      </c>
      <c r="R240">
        <f>Sample_Data!O236-Dark!O236</f>
        <v>3734</v>
      </c>
      <c r="S240">
        <f>Sample_Data!P236-Dark!P236</f>
        <v>861</v>
      </c>
      <c r="T240">
        <f>Sample_Data!Q236-Dark!Q236</f>
        <v>28</v>
      </c>
      <c r="U240">
        <f t="shared" si="28"/>
        <v>2940.875</v>
      </c>
      <c r="V240">
        <f t="shared" si="32"/>
        <v>1.000267881060809</v>
      </c>
      <c r="W240">
        <f t="shared" si="33"/>
        <v>0.7701252236135957</v>
      </c>
      <c r="X240">
        <f t="shared" si="34"/>
        <v>0.71794871794871795</v>
      </c>
    </row>
    <row r="241" spans="1:24" x14ac:dyDescent="0.35">
      <c r="A241">
        <f t="shared" si="35"/>
        <v>7150</v>
      </c>
      <c r="C241">
        <f>Reference_Data!L237-Dark!L237</f>
        <v>3828</v>
      </c>
      <c r="D241">
        <f>Reference_Data!M237-Dark!M237</f>
        <v>4007</v>
      </c>
      <c r="E241">
        <f>Reference_Data!N237-Dark!N237</f>
        <v>640</v>
      </c>
      <c r="F241">
        <f>Sample_Data!L237-Dark!L237</f>
        <v>3828</v>
      </c>
      <c r="G241">
        <f>Sample_Data!M237-Dark!M237</f>
        <v>4006</v>
      </c>
      <c r="H241">
        <f>Sample_Data!N237-Dark!N237</f>
        <v>542</v>
      </c>
      <c r="I241">
        <f t="shared" si="27"/>
        <v>1622.46875</v>
      </c>
      <c r="J241" s="3">
        <f t="shared" si="29"/>
        <v>1</v>
      </c>
      <c r="K241" s="3">
        <f t="shared" si="30"/>
        <v>0.99975043673571251</v>
      </c>
      <c r="L241" s="3">
        <f t="shared" si="31"/>
        <v>0.84687500000000004</v>
      </c>
      <c r="O241">
        <f>Reference_Data!O237-Dark!O237</f>
        <v>3742</v>
      </c>
      <c r="P241">
        <f>Reference_Data!P237-Dark!P237</f>
        <v>1166</v>
      </c>
      <c r="Q241">
        <f>Reference_Data!Q237-Dark!Q237</f>
        <v>39</v>
      </c>
      <c r="R241">
        <f>Sample_Data!O237-Dark!O237</f>
        <v>3742</v>
      </c>
      <c r="S241">
        <f>Sample_Data!P237-Dark!P237</f>
        <v>896</v>
      </c>
      <c r="T241">
        <f>Sample_Data!Q237-Dark!Q237</f>
        <v>29</v>
      </c>
      <c r="U241">
        <f t="shared" si="28"/>
        <v>2947.578125</v>
      </c>
      <c r="V241">
        <f t="shared" si="32"/>
        <v>1</v>
      </c>
      <c r="W241">
        <f t="shared" si="33"/>
        <v>0.76843910806174953</v>
      </c>
      <c r="X241">
        <f t="shared" si="34"/>
        <v>0.74358974358974361</v>
      </c>
    </row>
    <row r="242" spans="1:24" x14ac:dyDescent="0.35">
      <c r="A242">
        <f t="shared" si="35"/>
        <v>7180</v>
      </c>
      <c r="C242">
        <f>Reference_Data!L238-Dark!L238</f>
        <v>3826</v>
      </c>
      <c r="D242">
        <f>Reference_Data!M238-Dark!M238</f>
        <v>4006</v>
      </c>
      <c r="E242">
        <f>Reference_Data!N238-Dark!N238</f>
        <v>635</v>
      </c>
      <c r="F242">
        <f>Sample_Data!L238-Dark!L238</f>
        <v>3826</v>
      </c>
      <c r="G242">
        <f>Sample_Data!M238-Dark!M238</f>
        <v>4006</v>
      </c>
      <c r="H242">
        <f>Sample_Data!N238-Dark!N238</f>
        <v>538</v>
      </c>
      <c r="I242">
        <f t="shared" si="27"/>
        <v>1626.0875000000001</v>
      </c>
      <c r="J242" s="3">
        <f t="shared" si="29"/>
        <v>1</v>
      </c>
      <c r="K242" s="3">
        <f t="shared" si="30"/>
        <v>1</v>
      </c>
      <c r="L242" s="3">
        <f t="shared" si="31"/>
        <v>0.84724409448818894</v>
      </c>
      <c r="O242">
        <f>Reference_Data!O238-Dark!O238</f>
        <v>3754</v>
      </c>
      <c r="P242">
        <f>Reference_Data!P238-Dark!P238</f>
        <v>1218</v>
      </c>
      <c r="Q242">
        <f>Reference_Data!Q238-Dark!Q238</f>
        <v>40</v>
      </c>
      <c r="R242">
        <f>Sample_Data!O238-Dark!O238</f>
        <v>3755</v>
      </c>
      <c r="S242">
        <f>Sample_Data!P238-Dark!P238</f>
        <v>934</v>
      </c>
      <c r="T242">
        <f>Sample_Data!Q238-Dark!Q238</f>
        <v>30</v>
      </c>
      <c r="U242">
        <f t="shared" si="28"/>
        <v>2954.28125</v>
      </c>
      <c r="V242">
        <f t="shared" si="32"/>
        <v>1.0002663825253064</v>
      </c>
      <c r="W242">
        <f t="shared" si="33"/>
        <v>0.76683087027914609</v>
      </c>
      <c r="X242">
        <f t="shared" si="34"/>
        <v>0.75</v>
      </c>
    </row>
    <row r="243" spans="1:24" x14ac:dyDescent="0.35">
      <c r="A243">
        <f t="shared" si="35"/>
        <v>7210</v>
      </c>
      <c r="C243">
        <f>Reference_Data!L239-Dark!L239</f>
        <v>3825</v>
      </c>
      <c r="D243">
        <f>Reference_Data!M239-Dark!M239</f>
        <v>4006</v>
      </c>
      <c r="E243">
        <f>Reference_Data!N239-Dark!N239</f>
        <v>630</v>
      </c>
      <c r="F243">
        <f>Sample_Data!L239-Dark!L239</f>
        <v>3826</v>
      </c>
      <c r="G243">
        <f>Sample_Data!M239-Dark!M239</f>
        <v>4006</v>
      </c>
      <c r="H243">
        <f>Sample_Data!N239-Dark!N239</f>
        <v>534</v>
      </c>
      <c r="I243">
        <f t="shared" si="27"/>
        <v>1629.7062500000002</v>
      </c>
      <c r="J243" s="3">
        <f t="shared" si="29"/>
        <v>1.0002614379084966</v>
      </c>
      <c r="K243" s="3">
        <f t="shared" si="30"/>
        <v>1</v>
      </c>
      <c r="L243" s="3">
        <f t="shared" si="31"/>
        <v>0.84761904761904761</v>
      </c>
      <c r="O243">
        <f>Reference_Data!O239-Dark!O239</f>
        <v>3763</v>
      </c>
      <c r="P243">
        <f>Reference_Data!P239-Dark!P239</f>
        <v>1265</v>
      </c>
      <c r="Q243">
        <f>Reference_Data!Q239-Dark!Q239</f>
        <v>44</v>
      </c>
      <c r="R243">
        <f>Sample_Data!O239-Dark!O239</f>
        <v>3764</v>
      </c>
      <c r="S243">
        <f>Sample_Data!P239-Dark!P239</f>
        <v>967</v>
      </c>
      <c r="T243">
        <f>Sample_Data!Q239-Dark!Q239</f>
        <v>35</v>
      </c>
      <c r="U243">
        <f t="shared" si="28"/>
        <v>2960.984375</v>
      </c>
      <c r="V243">
        <f t="shared" si="32"/>
        <v>1.0002657454158916</v>
      </c>
      <c r="W243">
        <f t="shared" si="33"/>
        <v>0.76442687747035576</v>
      </c>
      <c r="X243">
        <f t="shared" si="34"/>
        <v>0.79545454545454541</v>
      </c>
    </row>
    <row r="244" spans="1:24" x14ac:dyDescent="0.35">
      <c r="A244">
        <f t="shared" si="35"/>
        <v>7240</v>
      </c>
      <c r="C244">
        <f>Reference_Data!L240-Dark!L240</f>
        <v>3832</v>
      </c>
      <c r="D244">
        <f>Reference_Data!M240-Dark!M240</f>
        <v>4006</v>
      </c>
      <c r="E244">
        <f>Reference_Data!N240-Dark!N240</f>
        <v>627</v>
      </c>
      <c r="F244">
        <f>Sample_Data!L240-Dark!L240</f>
        <v>3832</v>
      </c>
      <c r="G244">
        <f>Sample_Data!M240-Dark!M240</f>
        <v>4006</v>
      </c>
      <c r="H244">
        <f>Sample_Data!N240-Dark!N240</f>
        <v>530</v>
      </c>
      <c r="I244">
        <f t="shared" si="27"/>
        <v>1633.325</v>
      </c>
      <c r="J244" s="3">
        <f t="shared" si="29"/>
        <v>1</v>
      </c>
      <c r="K244" s="3">
        <f t="shared" si="30"/>
        <v>1</v>
      </c>
      <c r="L244" s="3">
        <f t="shared" si="31"/>
        <v>0.84529505582137165</v>
      </c>
      <c r="O244">
        <f>Reference_Data!O240-Dark!O240</f>
        <v>3769</v>
      </c>
      <c r="P244">
        <f>Reference_Data!P240-Dark!P240</f>
        <v>1308</v>
      </c>
      <c r="Q244">
        <f>Reference_Data!Q240-Dark!Q240</f>
        <v>42</v>
      </c>
      <c r="R244">
        <f>Sample_Data!O240-Dark!O240</f>
        <v>3770</v>
      </c>
      <c r="S244">
        <f>Sample_Data!P240-Dark!P240</f>
        <v>1000</v>
      </c>
      <c r="T244">
        <f>Sample_Data!Q240-Dark!Q240</f>
        <v>33</v>
      </c>
      <c r="U244">
        <f t="shared" si="28"/>
        <v>2967.6875</v>
      </c>
      <c r="V244">
        <f t="shared" si="32"/>
        <v>1.0002653223666755</v>
      </c>
      <c r="W244">
        <f t="shared" si="33"/>
        <v>0.76452599388379205</v>
      </c>
      <c r="X244">
        <f t="shared" si="34"/>
        <v>0.7857142857142857</v>
      </c>
    </row>
    <row r="245" spans="1:24" x14ac:dyDescent="0.35">
      <c r="A245">
        <f t="shared" si="35"/>
        <v>7270</v>
      </c>
      <c r="C245">
        <f>Reference_Data!L241-Dark!L241</f>
        <v>3829</v>
      </c>
      <c r="D245">
        <f>Reference_Data!M241-Dark!M241</f>
        <v>4007</v>
      </c>
      <c r="E245">
        <f>Reference_Data!N241-Dark!N241</f>
        <v>621</v>
      </c>
      <c r="F245">
        <f>Sample_Data!L241-Dark!L241</f>
        <v>3829</v>
      </c>
      <c r="G245">
        <f>Sample_Data!M241-Dark!M241</f>
        <v>4006</v>
      </c>
      <c r="H245">
        <f>Sample_Data!N241-Dark!N241</f>
        <v>526</v>
      </c>
      <c r="I245">
        <f t="shared" si="27"/>
        <v>1636.9437499999999</v>
      </c>
      <c r="J245" s="3">
        <f t="shared" si="29"/>
        <v>1</v>
      </c>
      <c r="K245" s="3">
        <f t="shared" si="30"/>
        <v>0.99975043673571251</v>
      </c>
      <c r="L245" s="3">
        <f t="shared" si="31"/>
        <v>0.8470209339774557</v>
      </c>
      <c r="O245">
        <f>Reference_Data!O241-Dark!O241</f>
        <v>3777</v>
      </c>
      <c r="P245">
        <f>Reference_Data!P241-Dark!P241</f>
        <v>1346</v>
      </c>
      <c r="Q245">
        <f>Reference_Data!Q241-Dark!Q241</f>
        <v>46</v>
      </c>
      <c r="R245">
        <f>Sample_Data!O241-Dark!O241</f>
        <v>3778</v>
      </c>
      <c r="S245">
        <f>Sample_Data!P241-Dark!P241</f>
        <v>1028</v>
      </c>
      <c r="T245">
        <f>Sample_Data!Q241-Dark!Q241</f>
        <v>35</v>
      </c>
      <c r="U245">
        <f t="shared" si="28"/>
        <v>2974.390625</v>
      </c>
      <c r="V245">
        <f t="shared" si="32"/>
        <v>1.0002647603918453</v>
      </c>
      <c r="W245">
        <f t="shared" si="33"/>
        <v>0.76374442793462105</v>
      </c>
      <c r="X245">
        <f t="shared" si="34"/>
        <v>0.76086956521739135</v>
      </c>
    </row>
    <row r="246" spans="1:24" x14ac:dyDescent="0.35">
      <c r="A246">
        <f t="shared" si="35"/>
        <v>7300</v>
      </c>
      <c r="C246">
        <f>Reference_Data!L242-Dark!L242</f>
        <v>3830</v>
      </c>
      <c r="D246">
        <f>Reference_Data!M242-Dark!M242</f>
        <v>4007</v>
      </c>
      <c r="E246">
        <f>Reference_Data!N242-Dark!N242</f>
        <v>615</v>
      </c>
      <c r="F246">
        <f>Sample_Data!L242-Dark!L242</f>
        <v>3829</v>
      </c>
      <c r="G246">
        <f>Sample_Data!M242-Dark!M242</f>
        <v>4007</v>
      </c>
      <c r="H246">
        <f>Sample_Data!N242-Dark!N242</f>
        <v>521</v>
      </c>
      <c r="I246">
        <f t="shared" si="27"/>
        <v>1640.5625</v>
      </c>
      <c r="J246" s="3">
        <f t="shared" si="29"/>
        <v>0.99973890339425586</v>
      </c>
      <c r="K246" s="3">
        <f t="shared" si="30"/>
        <v>1</v>
      </c>
      <c r="L246" s="3">
        <f t="shared" si="31"/>
        <v>0.84715447154471546</v>
      </c>
      <c r="O246">
        <f>Reference_Data!O242-Dark!O242</f>
        <v>3790</v>
      </c>
      <c r="P246">
        <f>Reference_Data!P242-Dark!P242</f>
        <v>1386</v>
      </c>
      <c r="Q246">
        <f>Reference_Data!Q242-Dark!Q242</f>
        <v>47</v>
      </c>
      <c r="R246">
        <f>Sample_Data!O242-Dark!O242</f>
        <v>3789</v>
      </c>
      <c r="S246">
        <f>Sample_Data!P242-Dark!P242</f>
        <v>1058</v>
      </c>
      <c r="T246">
        <f>Sample_Data!Q242-Dark!Q242</f>
        <v>37</v>
      </c>
      <c r="U246">
        <f t="shared" si="28"/>
        <v>2981.09375</v>
      </c>
      <c r="V246">
        <f t="shared" si="32"/>
        <v>0.99973614775725594</v>
      </c>
      <c r="W246">
        <f t="shared" si="33"/>
        <v>0.76334776334776333</v>
      </c>
      <c r="X246">
        <f t="shared" si="34"/>
        <v>0.78723404255319152</v>
      </c>
    </row>
    <row r="247" spans="1:24" x14ac:dyDescent="0.35">
      <c r="A247">
        <f t="shared" si="35"/>
        <v>7330</v>
      </c>
      <c r="C247">
        <f>Reference_Data!L243-Dark!L243</f>
        <v>3830</v>
      </c>
      <c r="D247">
        <f>Reference_Data!M243-Dark!M243</f>
        <v>4006</v>
      </c>
      <c r="E247">
        <f>Reference_Data!N243-Dark!N243</f>
        <v>609</v>
      </c>
      <c r="F247">
        <f>Sample_Data!L243-Dark!L243</f>
        <v>3830</v>
      </c>
      <c r="G247">
        <f>Sample_Data!M243-Dark!M243</f>
        <v>4006</v>
      </c>
      <c r="H247">
        <f>Sample_Data!N243-Dark!N243</f>
        <v>516</v>
      </c>
      <c r="I247">
        <f t="shared" si="27"/>
        <v>1644.1812500000001</v>
      </c>
      <c r="J247" s="3">
        <f t="shared" si="29"/>
        <v>1</v>
      </c>
      <c r="K247" s="3">
        <f t="shared" si="30"/>
        <v>1</v>
      </c>
      <c r="L247" s="3">
        <f t="shared" si="31"/>
        <v>0.84729064039408863</v>
      </c>
      <c r="O247">
        <f>Reference_Data!O243-Dark!O243</f>
        <v>3796</v>
      </c>
      <c r="P247">
        <f>Reference_Data!P243-Dark!P243</f>
        <v>1426</v>
      </c>
      <c r="Q247">
        <f>Reference_Data!Q243-Dark!Q243</f>
        <v>50</v>
      </c>
      <c r="R247">
        <f>Sample_Data!O243-Dark!O243</f>
        <v>3796</v>
      </c>
      <c r="S247">
        <f>Sample_Data!P243-Dark!P243</f>
        <v>1091</v>
      </c>
      <c r="T247">
        <f>Sample_Data!Q243-Dark!Q243</f>
        <v>38</v>
      </c>
      <c r="U247">
        <f t="shared" si="28"/>
        <v>2987.796875</v>
      </c>
      <c r="V247">
        <f t="shared" si="32"/>
        <v>1</v>
      </c>
      <c r="W247">
        <f t="shared" si="33"/>
        <v>0.76507713884992989</v>
      </c>
      <c r="X247">
        <f t="shared" si="34"/>
        <v>0.76</v>
      </c>
    </row>
    <row r="248" spans="1:24" x14ac:dyDescent="0.35">
      <c r="A248">
        <f t="shared" si="35"/>
        <v>7360</v>
      </c>
      <c r="C248">
        <f>Reference_Data!L244-Dark!L244</f>
        <v>3831</v>
      </c>
      <c r="D248">
        <f>Reference_Data!M244-Dark!M244</f>
        <v>4006</v>
      </c>
      <c r="E248">
        <f>Reference_Data!N244-Dark!N244</f>
        <v>601</v>
      </c>
      <c r="F248">
        <f>Sample_Data!L244-Dark!L244</f>
        <v>3831</v>
      </c>
      <c r="G248">
        <f>Sample_Data!M244-Dark!M244</f>
        <v>4006</v>
      </c>
      <c r="H248">
        <f>Sample_Data!N244-Dark!N244</f>
        <v>510</v>
      </c>
      <c r="I248">
        <f t="shared" si="27"/>
        <v>1647.8000000000002</v>
      </c>
      <c r="J248" s="3">
        <f t="shared" si="29"/>
        <v>1</v>
      </c>
      <c r="K248" s="3">
        <f t="shared" si="30"/>
        <v>1</v>
      </c>
      <c r="L248" s="3">
        <f t="shared" si="31"/>
        <v>0.84858569051580701</v>
      </c>
      <c r="O248">
        <f>Reference_Data!O244-Dark!O244</f>
        <v>3798</v>
      </c>
      <c r="P248">
        <f>Reference_Data!P244-Dark!P244</f>
        <v>1469</v>
      </c>
      <c r="Q248">
        <f>Reference_Data!Q244-Dark!Q244</f>
        <v>49</v>
      </c>
      <c r="R248">
        <f>Sample_Data!O244-Dark!O244</f>
        <v>3799</v>
      </c>
      <c r="S248">
        <f>Sample_Data!P244-Dark!P244</f>
        <v>1124</v>
      </c>
      <c r="T248">
        <f>Sample_Data!Q244-Dark!Q244</f>
        <v>38</v>
      </c>
      <c r="U248">
        <f t="shared" si="28"/>
        <v>2994.5</v>
      </c>
      <c r="V248">
        <f t="shared" si="32"/>
        <v>1.0002632964718272</v>
      </c>
      <c r="W248">
        <f t="shared" si="33"/>
        <v>0.76514635806671205</v>
      </c>
      <c r="X248">
        <f t="shared" si="34"/>
        <v>0.77551020408163263</v>
      </c>
    </row>
    <row r="249" spans="1:24" x14ac:dyDescent="0.35">
      <c r="A249">
        <f t="shared" si="35"/>
        <v>7390</v>
      </c>
      <c r="C249">
        <f>Reference_Data!L245-Dark!L245</f>
        <v>3826</v>
      </c>
      <c r="D249">
        <f>Reference_Data!M245-Dark!M245</f>
        <v>4006</v>
      </c>
      <c r="E249">
        <f>Reference_Data!N245-Dark!N245</f>
        <v>594</v>
      </c>
      <c r="F249">
        <f>Sample_Data!L245-Dark!L245</f>
        <v>3827</v>
      </c>
      <c r="G249">
        <f>Sample_Data!M245-Dark!M245</f>
        <v>4006</v>
      </c>
      <c r="H249">
        <f>Sample_Data!N245-Dark!N245</f>
        <v>506</v>
      </c>
      <c r="I249">
        <f t="shared" si="27"/>
        <v>1651.41875</v>
      </c>
      <c r="J249" s="3">
        <f t="shared" si="29"/>
        <v>1.0002613695765812</v>
      </c>
      <c r="K249" s="3">
        <f t="shared" si="30"/>
        <v>1</v>
      </c>
      <c r="L249" s="3">
        <f t="shared" si="31"/>
        <v>0.85185185185185186</v>
      </c>
      <c r="O249">
        <f>Reference_Data!O245-Dark!O245</f>
        <v>3802</v>
      </c>
      <c r="P249">
        <f>Reference_Data!P245-Dark!P245</f>
        <v>1512</v>
      </c>
      <c r="Q249">
        <f>Reference_Data!Q245-Dark!Q245</f>
        <v>49</v>
      </c>
      <c r="R249">
        <f>Sample_Data!O245-Dark!O245</f>
        <v>3801</v>
      </c>
      <c r="S249">
        <f>Sample_Data!P245-Dark!P245</f>
        <v>1152</v>
      </c>
      <c r="T249">
        <f>Sample_Data!Q245-Dark!Q245</f>
        <v>39</v>
      </c>
      <c r="U249">
        <f t="shared" si="28"/>
        <v>3001.203125</v>
      </c>
      <c r="V249">
        <f t="shared" si="32"/>
        <v>0.99973698053655968</v>
      </c>
      <c r="W249">
        <f t="shared" si="33"/>
        <v>0.76190476190476186</v>
      </c>
      <c r="X249">
        <f t="shared" si="34"/>
        <v>0.79591836734693877</v>
      </c>
    </row>
    <row r="250" spans="1:24" x14ac:dyDescent="0.35">
      <c r="A250">
        <f t="shared" si="35"/>
        <v>7420</v>
      </c>
      <c r="C250">
        <f>Reference_Data!L246-Dark!L246</f>
        <v>3830</v>
      </c>
      <c r="D250">
        <f>Reference_Data!M246-Dark!M246</f>
        <v>4006</v>
      </c>
      <c r="E250">
        <f>Reference_Data!N246-Dark!N246</f>
        <v>585</v>
      </c>
      <c r="F250">
        <f>Sample_Data!L246-Dark!L246</f>
        <v>3830</v>
      </c>
      <c r="G250">
        <f>Sample_Data!M246-Dark!M246</f>
        <v>4006</v>
      </c>
      <c r="H250">
        <f>Sample_Data!N246-Dark!N246</f>
        <v>498</v>
      </c>
      <c r="I250">
        <f t="shared" si="27"/>
        <v>1655.0374999999999</v>
      </c>
      <c r="J250" s="3">
        <f t="shared" si="29"/>
        <v>1</v>
      </c>
      <c r="K250" s="3">
        <f t="shared" si="30"/>
        <v>1</v>
      </c>
      <c r="L250" s="3">
        <f t="shared" si="31"/>
        <v>0.85128205128205126</v>
      </c>
      <c r="O250">
        <f>Reference_Data!O246-Dark!O246</f>
        <v>3808</v>
      </c>
      <c r="P250">
        <f>Reference_Data!P246-Dark!P246</f>
        <v>1551</v>
      </c>
      <c r="Q250">
        <f>Reference_Data!Q246-Dark!Q246</f>
        <v>52</v>
      </c>
      <c r="R250">
        <f>Sample_Data!O246-Dark!O246</f>
        <v>3809</v>
      </c>
      <c r="S250">
        <f>Sample_Data!P246-Dark!P246</f>
        <v>1183</v>
      </c>
      <c r="T250">
        <f>Sample_Data!Q246-Dark!Q246</f>
        <v>40</v>
      </c>
      <c r="U250">
        <f t="shared" si="28"/>
        <v>3007.90625</v>
      </c>
      <c r="V250">
        <f t="shared" si="32"/>
        <v>1.0002626050420169</v>
      </c>
      <c r="W250">
        <f t="shared" si="33"/>
        <v>0.76273372018052865</v>
      </c>
      <c r="X250">
        <f t="shared" si="34"/>
        <v>0.76923076923076927</v>
      </c>
    </row>
    <row r="251" spans="1:24" x14ac:dyDescent="0.35">
      <c r="A251">
        <f t="shared" si="35"/>
        <v>7450</v>
      </c>
      <c r="C251">
        <f>Reference_Data!L247-Dark!L247</f>
        <v>3836</v>
      </c>
      <c r="D251">
        <f>Reference_Data!M247-Dark!M247</f>
        <v>4006</v>
      </c>
      <c r="E251">
        <f>Reference_Data!N247-Dark!N247</f>
        <v>573</v>
      </c>
      <c r="F251">
        <f>Sample_Data!L247-Dark!L247</f>
        <v>3837</v>
      </c>
      <c r="G251">
        <f>Sample_Data!M247-Dark!M247</f>
        <v>4007</v>
      </c>
      <c r="H251">
        <f>Sample_Data!N247-Dark!N247</f>
        <v>487</v>
      </c>
      <c r="I251">
        <f t="shared" si="27"/>
        <v>1658.65625</v>
      </c>
      <c r="J251" s="3">
        <f t="shared" si="29"/>
        <v>1.0002606882168925</v>
      </c>
      <c r="K251" s="3">
        <f t="shared" si="30"/>
        <v>1.0002496255616575</v>
      </c>
      <c r="L251" s="3">
        <f t="shared" si="31"/>
        <v>0.84991273996509598</v>
      </c>
      <c r="O251">
        <f>Reference_Data!O247-Dark!O247</f>
        <v>3806</v>
      </c>
      <c r="P251">
        <f>Reference_Data!P247-Dark!P247</f>
        <v>1602</v>
      </c>
      <c r="Q251">
        <f>Reference_Data!Q247-Dark!Q247</f>
        <v>54</v>
      </c>
      <c r="R251">
        <f>Sample_Data!O247-Dark!O247</f>
        <v>3806</v>
      </c>
      <c r="S251">
        <f>Sample_Data!P247-Dark!P247</f>
        <v>1218</v>
      </c>
      <c r="T251">
        <f>Sample_Data!Q247-Dark!Q247</f>
        <v>39</v>
      </c>
      <c r="U251">
        <f t="shared" si="28"/>
        <v>3014.609375</v>
      </c>
      <c r="V251">
        <f t="shared" si="32"/>
        <v>1</v>
      </c>
      <c r="W251">
        <f t="shared" si="33"/>
        <v>0.76029962546816476</v>
      </c>
      <c r="X251">
        <f t="shared" si="34"/>
        <v>0.72222222222222221</v>
      </c>
    </row>
    <row r="252" spans="1:24" x14ac:dyDescent="0.35">
      <c r="A252">
        <f t="shared" si="35"/>
        <v>7480</v>
      </c>
      <c r="C252">
        <f>Reference_Data!L248-Dark!L248</f>
        <v>3830</v>
      </c>
      <c r="D252">
        <f>Reference_Data!M248-Dark!M248</f>
        <v>4006</v>
      </c>
      <c r="E252">
        <f>Reference_Data!N248-Dark!N248</f>
        <v>558</v>
      </c>
      <c r="F252">
        <f>Sample_Data!L248-Dark!L248</f>
        <v>3830</v>
      </c>
      <c r="G252">
        <f>Sample_Data!M248-Dark!M248</f>
        <v>4007</v>
      </c>
      <c r="H252">
        <f>Sample_Data!N248-Dark!N248</f>
        <v>473</v>
      </c>
      <c r="I252">
        <f t="shared" si="27"/>
        <v>1662.2750000000001</v>
      </c>
      <c r="J252" s="3">
        <f t="shared" si="29"/>
        <v>1</v>
      </c>
      <c r="K252" s="3">
        <f t="shared" si="30"/>
        <v>1.0002496255616575</v>
      </c>
      <c r="L252" s="3">
        <f t="shared" si="31"/>
        <v>0.8476702508960573</v>
      </c>
      <c r="O252">
        <f>Reference_Data!O248-Dark!O248</f>
        <v>3810</v>
      </c>
      <c r="P252">
        <f>Reference_Data!P248-Dark!P248</f>
        <v>1657</v>
      </c>
      <c r="Q252">
        <f>Reference_Data!Q248-Dark!Q248</f>
        <v>58</v>
      </c>
      <c r="R252">
        <f>Sample_Data!O248-Dark!O248</f>
        <v>3810</v>
      </c>
      <c r="S252">
        <f>Sample_Data!P248-Dark!P248</f>
        <v>1257</v>
      </c>
      <c r="T252">
        <f>Sample_Data!Q248-Dark!Q248</f>
        <v>44</v>
      </c>
      <c r="U252">
        <f t="shared" si="28"/>
        <v>3021.3125</v>
      </c>
      <c r="V252">
        <f t="shared" si="32"/>
        <v>1</v>
      </c>
      <c r="W252">
        <f t="shared" si="33"/>
        <v>0.75859987929993966</v>
      </c>
      <c r="X252">
        <f t="shared" si="34"/>
        <v>0.75862068965517238</v>
      </c>
    </row>
    <row r="253" spans="1:24" x14ac:dyDescent="0.35">
      <c r="A253">
        <f t="shared" si="35"/>
        <v>7510</v>
      </c>
      <c r="C253">
        <f>Reference_Data!L249-Dark!L249</f>
        <v>3831</v>
      </c>
      <c r="D253">
        <f>Reference_Data!M249-Dark!M249</f>
        <v>4006</v>
      </c>
      <c r="E253">
        <f>Reference_Data!N249-Dark!N249</f>
        <v>542</v>
      </c>
      <c r="F253">
        <f>Sample_Data!L249-Dark!L249</f>
        <v>3831</v>
      </c>
      <c r="G253">
        <f>Sample_Data!M249-Dark!M249</f>
        <v>4006</v>
      </c>
      <c r="H253">
        <f>Sample_Data!N249-Dark!N249</f>
        <v>463</v>
      </c>
      <c r="I253">
        <f t="shared" si="27"/>
        <v>1665.8937500000002</v>
      </c>
      <c r="J253" s="3">
        <f t="shared" si="29"/>
        <v>1</v>
      </c>
      <c r="K253" s="3">
        <f t="shared" si="30"/>
        <v>1</v>
      </c>
      <c r="L253" s="3">
        <f t="shared" si="31"/>
        <v>0.85424354243542433</v>
      </c>
      <c r="O253">
        <f>Reference_Data!O249-Dark!O249</f>
        <v>3807</v>
      </c>
      <c r="P253">
        <f>Reference_Data!P249-Dark!P249</f>
        <v>1708</v>
      </c>
      <c r="Q253">
        <f>Reference_Data!Q249-Dark!Q249</f>
        <v>59</v>
      </c>
      <c r="R253">
        <f>Sample_Data!O249-Dark!O249</f>
        <v>3808</v>
      </c>
      <c r="S253">
        <f>Sample_Data!P249-Dark!P249</f>
        <v>1290</v>
      </c>
      <c r="T253">
        <f>Sample_Data!Q249-Dark!Q249</f>
        <v>45</v>
      </c>
      <c r="U253">
        <f t="shared" si="28"/>
        <v>3028.015625</v>
      </c>
      <c r="V253">
        <f t="shared" si="32"/>
        <v>1.0002626740215392</v>
      </c>
      <c r="W253">
        <f t="shared" si="33"/>
        <v>0.75526932084309129</v>
      </c>
      <c r="X253">
        <f t="shared" si="34"/>
        <v>0.76271186440677963</v>
      </c>
    </row>
    <row r="254" spans="1:24" x14ac:dyDescent="0.35">
      <c r="A254">
        <f t="shared" si="35"/>
        <v>7540</v>
      </c>
      <c r="C254">
        <f>Reference_Data!L250-Dark!L250</f>
        <v>3831</v>
      </c>
      <c r="D254">
        <f>Reference_Data!M250-Dark!M250</f>
        <v>4006</v>
      </c>
      <c r="E254">
        <f>Reference_Data!N250-Dark!N250</f>
        <v>527</v>
      </c>
      <c r="F254">
        <f>Sample_Data!L250-Dark!L250</f>
        <v>3831</v>
      </c>
      <c r="G254">
        <f>Sample_Data!M250-Dark!M250</f>
        <v>4006</v>
      </c>
      <c r="H254">
        <f>Sample_Data!N250-Dark!N250</f>
        <v>449</v>
      </c>
      <c r="I254">
        <f t="shared" si="27"/>
        <v>1669.5125</v>
      </c>
      <c r="J254" s="3">
        <f t="shared" si="29"/>
        <v>1</v>
      </c>
      <c r="K254" s="3">
        <f t="shared" si="30"/>
        <v>1</v>
      </c>
      <c r="L254" s="3">
        <f t="shared" si="31"/>
        <v>0.85199240986717273</v>
      </c>
      <c r="O254">
        <f>Reference_Data!O250-Dark!O250</f>
        <v>3807</v>
      </c>
      <c r="P254">
        <f>Reference_Data!P250-Dark!P250</f>
        <v>1758</v>
      </c>
      <c r="Q254">
        <f>Reference_Data!Q250-Dark!Q250</f>
        <v>61</v>
      </c>
      <c r="R254">
        <f>Sample_Data!O250-Dark!O250</f>
        <v>3806</v>
      </c>
      <c r="S254">
        <f>Sample_Data!P250-Dark!P250</f>
        <v>1324</v>
      </c>
      <c r="T254">
        <f>Sample_Data!Q250-Dark!Q250</f>
        <v>47</v>
      </c>
      <c r="U254">
        <f t="shared" si="28"/>
        <v>3034.71875</v>
      </c>
      <c r="V254">
        <f t="shared" si="32"/>
        <v>0.99973732597846077</v>
      </c>
      <c r="W254">
        <f t="shared" si="33"/>
        <v>0.7531285551763367</v>
      </c>
      <c r="X254">
        <f t="shared" si="34"/>
        <v>0.77049180327868849</v>
      </c>
    </row>
    <row r="255" spans="1:24" x14ac:dyDescent="0.35">
      <c r="A255">
        <f t="shared" si="35"/>
        <v>7570</v>
      </c>
      <c r="C255">
        <f>Reference_Data!L251-Dark!L251</f>
        <v>3837</v>
      </c>
      <c r="D255">
        <f>Reference_Data!M251-Dark!M251</f>
        <v>4006</v>
      </c>
      <c r="E255">
        <f>Reference_Data!N251-Dark!N251</f>
        <v>511</v>
      </c>
      <c r="F255">
        <f>Sample_Data!L251-Dark!L251</f>
        <v>3838</v>
      </c>
      <c r="G255">
        <f>Sample_Data!M251-Dark!M251</f>
        <v>4006</v>
      </c>
      <c r="H255">
        <f>Sample_Data!N251-Dark!N251</f>
        <v>434</v>
      </c>
      <c r="I255">
        <f t="shared" si="27"/>
        <v>1673.1312499999999</v>
      </c>
      <c r="J255" s="3">
        <f t="shared" si="29"/>
        <v>1.0002606202762574</v>
      </c>
      <c r="K255" s="3">
        <f t="shared" si="30"/>
        <v>1</v>
      </c>
      <c r="L255" s="3">
        <f t="shared" si="31"/>
        <v>0.84931506849315064</v>
      </c>
      <c r="O255">
        <f>Reference_Data!O251-Dark!O251</f>
        <v>3811</v>
      </c>
      <c r="P255">
        <f>Reference_Data!P251-Dark!P251</f>
        <v>1805</v>
      </c>
      <c r="Q255">
        <f>Reference_Data!Q251-Dark!Q251</f>
        <v>62</v>
      </c>
      <c r="R255">
        <f>Sample_Data!O251-Dark!O251</f>
        <v>3812</v>
      </c>
      <c r="S255">
        <f>Sample_Data!P251-Dark!P251</f>
        <v>1356</v>
      </c>
      <c r="T255">
        <f>Sample_Data!Q251-Dark!Q251</f>
        <v>47</v>
      </c>
      <c r="U255">
        <f t="shared" si="28"/>
        <v>3041.421875</v>
      </c>
      <c r="V255">
        <f t="shared" si="32"/>
        <v>1.0002623983206507</v>
      </c>
      <c r="W255">
        <f t="shared" si="33"/>
        <v>0.75124653739612191</v>
      </c>
      <c r="X255">
        <f t="shared" si="34"/>
        <v>0.75806451612903225</v>
      </c>
    </row>
    <row r="256" spans="1:24" x14ac:dyDescent="0.35">
      <c r="A256">
        <f t="shared" si="35"/>
        <v>7600</v>
      </c>
      <c r="C256">
        <f>Reference_Data!L252-Dark!L252</f>
        <v>3836</v>
      </c>
      <c r="D256">
        <f>Reference_Data!M252-Dark!M252</f>
        <v>4007</v>
      </c>
      <c r="E256">
        <f>Reference_Data!N252-Dark!N252</f>
        <v>497</v>
      </c>
      <c r="F256">
        <f>Sample_Data!L252-Dark!L252</f>
        <v>3835</v>
      </c>
      <c r="G256">
        <f>Sample_Data!M252-Dark!M252</f>
        <v>4006</v>
      </c>
      <c r="H256">
        <f>Sample_Data!N252-Dark!N252</f>
        <v>421</v>
      </c>
      <c r="I256">
        <f t="shared" si="27"/>
        <v>1676.75</v>
      </c>
      <c r="J256" s="3">
        <f t="shared" si="29"/>
        <v>0.99973931178310738</v>
      </c>
      <c r="K256" s="3">
        <f t="shared" si="30"/>
        <v>0.99975043673571251</v>
      </c>
      <c r="L256" s="3">
        <f t="shared" si="31"/>
        <v>0.84708249496981891</v>
      </c>
      <c r="O256">
        <f>Reference_Data!O252-Dark!O252</f>
        <v>3808</v>
      </c>
      <c r="P256">
        <f>Reference_Data!P252-Dark!P252</f>
        <v>1855</v>
      </c>
      <c r="Q256">
        <f>Reference_Data!Q252-Dark!Q252</f>
        <v>62</v>
      </c>
      <c r="R256">
        <f>Sample_Data!O252-Dark!O252</f>
        <v>3808</v>
      </c>
      <c r="S256">
        <f>Sample_Data!P252-Dark!P252</f>
        <v>1391</v>
      </c>
      <c r="T256">
        <f>Sample_Data!Q252-Dark!Q252</f>
        <v>46</v>
      </c>
      <c r="U256">
        <f t="shared" si="28"/>
        <v>3048.125</v>
      </c>
      <c r="V256">
        <f t="shared" si="32"/>
        <v>1</v>
      </c>
      <c r="W256">
        <f t="shared" si="33"/>
        <v>0.74986522911051212</v>
      </c>
      <c r="X256">
        <f t="shared" si="34"/>
        <v>0.74193548387096775</v>
      </c>
    </row>
    <row r="257" spans="1:24" x14ac:dyDescent="0.35">
      <c r="A257">
        <f t="shared" si="35"/>
        <v>7630</v>
      </c>
      <c r="C257">
        <f>Reference_Data!L253-Dark!L253</f>
        <v>3829</v>
      </c>
      <c r="D257">
        <f>Reference_Data!M253-Dark!M253</f>
        <v>4006</v>
      </c>
      <c r="E257">
        <f>Reference_Data!N253-Dark!N253</f>
        <v>478</v>
      </c>
      <c r="F257">
        <f>Sample_Data!L253-Dark!L253</f>
        <v>3830</v>
      </c>
      <c r="G257">
        <f>Sample_Data!M253-Dark!M253</f>
        <v>4006</v>
      </c>
      <c r="H257">
        <f>Sample_Data!N253-Dark!N253</f>
        <v>405</v>
      </c>
      <c r="I257">
        <f t="shared" si="27"/>
        <v>1680.3687500000001</v>
      </c>
      <c r="J257" s="3">
        <f t="shared" si="29"/>
        <v>1.0002611647949857</v>
      </c>
      <c r="K257" s="3">
        <f t="shared" si="30"/>
        <v>1</v>
      </c>
      <c r="L257" s="3">
        <f t="shared" si="31"/>
        <v>0.84728033472803344</v>
      </c>
      <c r="O257">
        <f>Reference_Data!O253-Dark!O253</f>
        <v>3809</v>
      </c>
      <c r="P257">
        <f>Reference_Data!P253-Dark!P253</f>
        <v>1912</v>
      </c>
      <c r="Q257">
        <f>Reference_Data!Q253-Dark!Q253</f>
        <v>66</v>
      </c>
      <c r="R257">
        <f>Sample_Data!O253-Dark!O253</f>
        <v>3808</v>
      </c>
      <c r="S257">
        <f>Sample_Data!P253-Dark!P253</f>
        <v>1425</v>
      </c>
      <c r="T257">
        <f>Sample_Data!Q253-Dark!Q253</f>
        <v>50</v>
      </c>
      <c r="U257">
        <f t="shared" si="28"/>
        <v>3054.828125</v>
      </c>
      <c r="V257">
        <f t="shared" si="32"/>
        <v>0.99973746390128637</v>
      </c>
      <c r="W257">
        <f t="shared" si="33"/>
        <v>0.74529288702928875</v>
      </c>
      <c r="X257">
        <f t="shared" si="34"/>
        <v>0.75757575757575757</v>
      </c>
    </row>
    <row r="258" spans="1:24" x14ac:dyDescent="0.35">
      <c r="A258">
        <f t="shared" si="35"/>
        <v>7660</v>
      </c>
      <c r="C258">
        <f>Reference_Data!L254-Dark!L254</f>
        <v>3835</v>
      </c>
      <c r="D258">
        <f>Reference_Data!M254-Dark!M254</f>
        <v>4007</v>
      </c>
      <c r="E258">
        <f>Reference_Data!N254-Dark!N254</f>
        <v>460</v>
      </c>
      <c r="F258">
        <f>Sample_Data!L254-Dark!L254</f>
        <v>3834</v>
      </c>
      <c r="G258">
        <f>Sample_Data!M254-Dark!M254</f>
        <v>4006</v>
      </c>
      <c r="H258">
        <f>Sample_Data!N254-Dark!N254</f>
        <v>390</v>
      </c>
      <c r="I258">
        <f t="shared" si="27"/>
        <v>1683.9875000000002</v>
      </c>
      <c r="J258" s="3">
        <f t="shared" si="29"/>
        <v>0.99973924380704038</v>
      </c>
      <c r="K258" s="3">
        <f t="shared" si="30"/>
        <v>0.99975043673571251</v>
      </c>
      <c r="L258" s="3">
        <f t="shared" si="31"/>
        <v>0.84782608695652173</v>
      </c>
      <c r="O258">
        <f>Reference_Data!O254-Dark!O254</f>
        <v>3807</v>
      </c>
      <c r="P258">
        <f>Reference_Data!P254-Dark!P254</f>
        <v>1974</v>
      </c>
      <c r="Q258">
        <f>Reference_Data!Q254-Dark!Q254</f>
        <v>65</v>
      </c>
      <c r="R258">
        <f>Sample_Data!O254-Dark!O254</f>
        <v>3807</v>
      </c>
      <c r="S258">
        <f>Sample_Data!P254-Dark!P254</f>
        <v>1468</v>
      </c>
      <c r="T258">
        <f>Sample_Data!Q254-Dark!Q254</f>
        <v>49</v>
      </c>
      <c r="U258">
        <f t="shared" si="28"/>
        <v>3061.53125</v>
      </c>
      <c r="V258">
        <f t="shared" si="32"/>
        <v>1</v>
      </c>
      <c r="W258">
        <f t="shared" si="33"/>
        <v>0.74366767983789261</v>
      </c>
      <c r="X258">
        <f t="shared" si="34"/>
        <v>0.75384615384615383</v>
      </c>
    </row>
    <row r="259" spans="1:24" x14ac:dyDescent="0.35">
      <c r="A259">
        <f t="shared" si="35"/>
        <v>7690</v>
      </c>
      <c r="C259">
        <f>Reference_Data!L255-Dark!L255</f>
        <v>3831</v>
      </c>
      <c r="D259">
        <f>Reference_Data!M255-Dark!M255</f>
        <v>4006</v>
      </c>
      <c r="E259">
        <f>Reference_Data!N255-Dark!N255</f>
        <v>443</v>
      </c>
      <c r="F259">
        <f>Sample_Data!L255-Dark!L255</f>
        <v>3832</v>
      </c>
      <c r="G259">
        <f>Sample_Data!M255-Dark!M255</f>
        <v>4007</v>
      </c>
      <c r="H259">
        <f>Sample_Data!N255-Dark!N255</f>
        <v>377</v>
      </c>
      <c r="I259">
        <f t="shared" si="27"/>
        <v>1687.60625</v>
      </c>
      <c r="J259" s="3">
        <f t="shared" si="29"/>
        <v>1.0002610284521012</v>
      </c>
      <c r="K259" s="3">
        <f t="shared" si="30"/>
        <v>1.0002496255616575</v>
      </c>
      <c r="L259" s="3">
        <f t="shared" si="31"/>
        <v>0.8510158013544018</v>
      </c>
      <c r="O259">
        <f>Reference_Data!O255-Dark!O255</f>
        <v>3802</v>
      </c>
      <c r="P259">
        <f>Reference_Data!P255-Dark!P255</f>
        <v>2040</v>
      </c>
      <c r="Q259">
        <f>Reference_Data!Q255-Dark!Q255</f>
        <v>70</v>
      </c>
      <c r="R259">
        <f>Sample_Data!O255-Dark!O255</f>
        <v>3801</v>
      </c>
      <c r="S259">
        <f>Sample_Data!P255-Dark!P255</f>
        <v>1516</v>
      </c>
      <c r="T259">
        <f>Sample_Data!Q255-Dark!Q255</f>
        <v>52</v>
      </c>
      <c r="U259">
        <f t="shared" si="28"/>
        <v>3068.234375</v>
      </c>
      <c r="V259">
        <f t="shared" si="32"/>
        <v>0.99973698053655968</v>
      </c>
      <c r="W259">
        <f t="shared" si="33"/>
        <v>0.74313725490196081</v>
      </c>
      <c r="X259">
        <f t="shared" si="34"/>
        <v>0.74285714285714288</v>
      </c>
    </row>
    <row r="260" spans="1:24" x14ac:dyDescent="0.35">
      <c r="A260">
        <f t="shared" si="35"/>
        <v>7720</v>
      </c>
      <c r="C260">
        <f>Reference_Data!L256-Dark!L256</f>
        <v>3823</v>
      </c>
      <c r="D260">
        <f>Reference_Data!M256-Dark!M256</f>
        <v>4007</v>
      </c>
      <c r="E260">
        <f>Reference_Data!N256-Dark!N256</f>
        <v>426</v>
      </c>
      <c r="F260">
        <f>Sample_Data!L256-Dark!L256</f>
        <v>3825</v>
      </c>
      <c r="G260">
        <f>Sample_Data!M256-Dark!M256</f>
        <v>4007</v>
      </c>
      <c r="H260">
        <f>Sample_Data!N256-Dark!N256</f>
        <v>363</v>
      </c>
      <c r="I260">
        <f t="shared" si="27"/>
        <v>1691.2249999999999</v>
      </c>
      <c r="J260" s="3">
        <f t="shared" si="29"/>
        <v>1.000523149359142</v>
      </c>
      <c r="K260" s="3">
        <f t="shared" si="30"/>
        <v>1</v>
      </c>
      <c r="L260" s="3">
        <f t="shared" si="31"/>
        <v>0.852112676056338</v>
      </c>
      <c r="O260">
        <f>Reference_Data!O256-Dark!O256</f>
        <v>3794</v>
      </c>
      <c r="P260">
        <f>Reference_Data!P256-Dark!P256</f>
        <v>2104</v>
      </c>
      <c r="Q260">
        <f>Reference_Data!Q256-Dark!Q256</f>
        <v>70</v>
      </c>
      <c r="R260">
        <f>Sample_Data!O256-Dark!O256</f>
        <v>3795</v>
      </c>
      <c r="S260">
        <f>Sample_Data!P256-Dark!P256</f>
        <v>1562</v>
      </c>
      <c r="T260">
        <f>Sample_Data!Q256-Dark!Q256</f>
        <v>52</v>
      </c>
      <c r="U260">
        <f t="shared" si="28"/>
        <v>3074.9375</v>
      </c>
      <c r="V260">
        <f t="shared" si="32"/>
        <v>1.000263574064312</v>
      </c>
      <c r="W260">
        <f t="shared" si="33"/>
        <v>0.74239543726235746</v>
      </c>
      <c r="X260">
        <f t="shared" si="34"/>
        <v>0.74285714285714288</v>
      </c>
    </row>
    <row r="261" spans="1:24" x14ac:dyDescent="0.35">
      <c r="A261">
        <f t="shared" si="35"/>
        <v>7750</v>
      </c>
      <c r="C261">
        <f>Reference_Data!L257-Dark!L257</f>
        <v>3832</v>
      </c>
      <c r="D261">
        <f>Reference_Data!M257-Dark!M257</f>
        <v>4006</v>
      </c>
      <c r="E261">
        <f>Reference_Data!N257-Dark!N257</f>
        <v>406</v>
      </c>
      <c r="F261">
        <f>Sample_Data!L257-Dark!L257</f>
        <v>3832</v>
      </c>
      <c r="G261">
        <f>Sample_Data!M257-Dark!M257</f>
        <v>4006</v>
      </c>
      <c r="H261">
        <f>Sample_Data!N257-Dark!N257</f>
        <v>344</v>
      </c>
      <c r="I261">
        <f t="shared" si="27"/>
        <v>1694.84375</v>
      </c>
      <c r="J261" s="3">
        <f t="shared" si="29"/>
        <v>1</v>
      </c>
      <c r="K261" s="3">
        <f t="shared" si="30"/>
        <v>1</v>
      </c>
      <c r="L261" s="3">
        <f t="shared" si="31"/>
        <v>0.84729064039408863</v>
      </c>
      <c r="O261">
        <f>Reference_Data!O257-Dark!O257</f>
        <v>3787</v>
      </c>
      <c r="P261">
        <f>Reference_Data!P257-Dark!P257</f>
        <v>2184</v>
      </c>
      <c r="Q261">
        <f>Reference_Data!Q257-Dark!Q257</f>
        <v>75</v>
      </c>
      <c r="R261">
        <f>Sample_Data!O257-Dark!O257</f>
        <v>3787</v>
      </c>
      <c r="S261">
        <f>Sample_Data!P257-Dark!P257</f>
        <v>1621</v>
      </c>
      <c r="T261">
        <f>Sample_Data!Q257-Dark!Q257</f>
        <v>56</v>
      </c>
      <c r="U261">
        <f t="shared" si="28"/>
        <v>3081.640625</v>
      </c>
      <c r="V261">
        <f t="shared" si="32"/>
        <v>1</v>
      </c>
      <c r="W261">
        <f t="shared" si="33"/>
        <v>0.74221611721611724</v>
      </c>
      <c r="X261">
        <f t="shared" si="34"/>
        <v>0.7466666666666667</v>
      </c>
    </row>
    <row r="262" spans="1:24" x14ac:dyDescent="0.35">
      <c r="A262">
        <f t="shared" si="35"/>
        <v>7780</v>
      </c>
      <c r="C262">
        <f>Reference_Data!L258-Dark!L258</f>
        <v>3832</v>
      </c>
      <c r="D262">
        <f>Reference_Data!M258-Dark!M258</f>
        <v>4007</v>
      </c>
      <c r="E262">
        <f>Reference_Data!N258-Dark!N258</f>
        <v>383</v>
      </c>
      <c r="F262">
        <f>Sample_Data!L258-Dark!L258</f>
        <v>3831</v>
      </c>
      <c r="G262">
        <f>Sample_Data!M258-Dark!M258</f>
        <v>4006</v>
      </c>
      <c r="H262">
        <f>Sample_Data!N258-Dark!N258</f>
        <v>326</v>
      </c>
      <c r="I262">
        <f t="shared" ref="I262:I318" si="36">$I$3*(A262/320)+$I$2</f>
        <v>1698.4625000000001</v>
      </c>
      <c r="J262" s="3">
        <f t="shared" si="29"/>
        <v>0.99973903966597077</v>
      </c>
      <c r="K262" s="3">
        <f t="shared" si="30"/>
        <v>0.99975043673571251</v>
      </c>
      <c r="L262" s="3">
        <f t="shared" si="31"/>
        <v>0.8511749347258486</v>
      </c>
      <c r="O262">
        <f>Reference_Data!O258-Dark!O258</f>
        <v>3768</v>
      </c>
      <c r="P262">
        <f>Reference_Data!P258-Dark!P258</f>
        <v>2280</v>
      </c>
      <c r="Q262">
        <f>Reference_Data!Q258-Dark!Q258</f>
        <v>77</v>
      </c>
      <c r="R262">
        <f>Sample_Data!O258-Dark!O258</f>
        <v>3768</v>
      </c>
      <c r="S262">
        <f>Sample_Data!P258-Dark!P258</f>
        <v>1690</v>
      </c>
      <c r="T262">
        <f>Sample_Data!Q258-Dark!Q258</f>
        <v>56</v>
      </c>
      <c r="U262">
        <f t="shared" ref="U262:U318" si="37">$U$3*(A262/320)+$U$2</f>
        <v>3088.34375</v>
      </c>
      <c r="V262">
        <f t="shared" si="32"/>
        <v>1</v>
      </c>
      <c r="W262">
        <f t="shared" si="33"/>
        <v>0.74122807017543857</v>
      </c>
      <c r="X262">
        <f t="shared" si="34"/>
        <v>0.72727272727272729</v>
      </c>
    </row>
    <row r="263" spans="1:24" x14ac:dyDescent="0.35">
      <c r="A263">
        <f t="shared" si="35"/>
        <v>7810</v>
      </c>
      <c r="C263">
        <f>Reference_Data!L259-Dark!L259</f>
        <v>3836</v>
      </c>
      <c r="D263">
        <f>Reference_Data!M259-Dark!M259</f>
        <v>4006</v>
      </c>
      <c r="E263">
        <f>Reference_Data!N259-Dark!N259</f>
        <v>366</v>
      </c>
      <c r="F263">
        <f>Sample_Data!L259-Dark!L259</f>
        <v>3837</v>
      </c>
      <c r="G263">
        <f>Sample_Data!M259-Dark!M259</f>
        <v>4007</v>
      </c>
      <c r="H263">
        <f>Sample_Data!N259-Dark!N259</f>
        <v>310</v>
      </c>
      <c r="I263">
        <f t="shared" si="36"/>
        <v>1702.0812500000002</v>
      </c>
      <c r="J263" s="3">
        <f t="shared" ref="J263:J318" si="38">F263/C263</f>
        <v>1.0002606882168925</v>
      </c>
      <c r="K263" s="3">
        <f t="shared" ref="K263:K318" si="39">G263/D263</f>
        <v>1.0002496255616575</v>
      </c>
      <c r="L263" s="3">
        <f t="shared" ref="L263:L318" si="40">H263/E263</f>
        <v>0.84699453551912574</v>
      </c>
      <c r="O263">
        <f>Reference_Data!O259-Dark!O259</f>
        <v>3753</v>
      </c>
      <c r="P263">
        <f>Reference_Data!P259-Dark!P259</f>
        <v>2373</v>
      </c>
      <c r="Q263">
        <f>Reference_Data!Q259-Dark!Q259</f>
        <v>80</v>
      </c>
      <c r="R263">
        <f>Sample_Data!O259-Dark!O259</f>
        <v>3752</v>
      </c>
      <c r="S263">
        <f>Sample_Data!P259-Dark!P259</f>
        <v>1762</v>
      </c>
      <c r="T263">
        <f>Sample_Data!Q259-Dark!Q259</f>
        <v>60</v>
      </c>
      <c r="U263">
        <f t="shared" si="37"/>
        <v>3095.046875</v>
      </c>
      <c r="V263">
        <f t="shared" ref="V263:V318" si="41">R263/O263</f>
        <v>0.99973354649613644</v>
      </c>
      <c r="W263">
        <f t="shared" ref="W263:W318" si="42">S263/P263</f>
        <v>0.74252001685630009</v>
      </c>
      <c r="X263">
        <f t="shared" ref="X263:X318" si="43">T263/Q263</f>
        <v>0.75</v>
      </c>
    </row>
    <row r="264" spans="1:24" x14ac:dyDescent="0.35">
      <c r="A264">
        <f t="shared" si="35"/>
        <v>7840</v>
      </c>
      <c r="C264">
        <f>Reference_Data!L260-Dark!L260</f>
        <v>3832</v>
      </c>
      <c r="D264">
        <f>Reference_Data!M260-Dark!M260</f>
        <v>4007</v>
      </c>
      <c r="E264">
        <f>Reference_Data!N260-Dark!N260</f>
        <v>352</v>
      </c>
      <c r="F264">
        <f>Sample_Data!L260-Dark!L260</f>
        <v>3832</v>
      </c>
      <c r="G264">
        <f>Sample_Data!M260-Dark!M260</f>
        <v>4006</v>
      </c>
      <c r="H264">
        <f>Sample_Data!N260-Dark!N260</f>
        <v>299</v>
      </c>
      <c r="I264">
        <f t="shared" si="36"/>
        <v>1705.7</v>
      </c>
      <c r="J264" s="3">
        <f t="shared" si="38"/>
        <v>1</v>
      </c>
      <c r="K264" s="3">
        <f t="shared" si="39"/>
        <v>0.99975043673571251</v>
      </c>
      <c r="L264" s="3">
        <f t="shared" si="40"/>
        <v>0.84943181818181823</v>
      </c>
      <c r="O264">
        <f>Reference_Data!O260-Dark!O260</f>
        <v>3727</v>
      </c>
      <c r="P264">
        <f>Reference_Data!P260-Dark!P260</f>
        <v>2468</v>
      </c>
      <c r="Q264">
        <f>Reference_Data!Q260-Dark!Q260</f>
        <v>82</v>
      </c>
      <c r="R264">
        <f>Sample_Data!O260-Dark!O260</f>
        <v>3726</v>
      </c>
      <c r="S264">
        <f>Sample_Data!P260-Dark!P260</f>
        <v>1835</v>
      </c>
      <c r="T264">
        <f>Sample_Data!Q260-Dark!Q260</f>
        <v>62</v>
      </c>
      <c r="U264">
        <f t="shared" si="37"/>
        <v>3101.75</v>
      </c>
      <c r="V264">
        <f t="shared" si="41"/>
        <v>0.99973168768446474</v>
      </c>
      <c r="W264">
        <f t="shared" si="42"/>
        <v>0.74351701782820101</v>
      </c>
      <c r="X264">
        <f t="shared" si="43"/>
        <v>0.75609756097560976</v>
      </c>
    </row>
    <row r="265" spans="1:24" x14ac:dyDescent="0.35">
      <c r="A265">
        <f t="shared" ref="A265:A318" si="44">A264+30</f>
        <v>7870</v>
      </c>
      <c r="C265">
        <f>Reference_Data!L261-Dark!L261</f>
        <v>3836</v>
      </c>
      <c r="D265">
        <f>Reference_Data!M261-Dark!M261</f>
        <v>4006</v>
      </c>
      <c r="E265">
        <f>Reference_Data!N261-Dark!N261</f>
        <v>340</v>
      </c>
      <c r="F265">
        <f>Sample_Data!L261-Dark!L261</f>
        <v>3836</v>
      </c>
      <c r="G265">
        <f>Sample_Data!M261-Dark!M261</f>
        <v>4005</v>
      </c>
      <c r="H265">
        <f>Sample_Data!N261-Dark!N261</f>
        <v>287</v>
      </c>
      <c r="I265">
        <f t="shared" si="36"/>
        <v>1709.3187499999999</v>
      </c>
      <c r="J265" s="3">
        <f t="shared" si="38"/>
        <v>1</v>
      </c>
      <c r="K265" s="3">
        <f t="shared" si="39"/>
        <v>0.99975037443834247</v>
      </c>
      <c r="L265" s="3">
        <f t="shared" si="40"/>
        <v>0.84411764705882353</v>
      </c>
      <c r="O265">
        <f>Reference_Data!O261-Dark!O261</f>
        <v>3698</v>
      </c>
      <c r="P265">
        <f>Reference_Data!P261-Dark!P261</f>
        <v>2555</v>
      </c>
      <c r="Q265">
        <f>Reference_Data!Q261-Dark!Q261</f>
        <v>86</v>
      </c>
      <c r="R265">
        <f>Sample_Data!O261-Dark!O261</f>
        <v>3698</v>
      </c>
      <c r="S265">
        <f>Sample_Data!P261-Dark!P261</f>
        <v>1909</v>
      </c>
      <c r="T265">
        <f>Sample_Data!Q261-Dark!Q261</f>
        <v>64</v>
      </c>
      <c r="U265">
        <f t="shared" si="37"/>
        <v>3108.453125</v>
      </c>
      <c r="V265">
        <f t="shared" si="41"/>
        <v>1</v>
      </c>
      <c r="W265">
        <f t="shared" si="42"/>
        <v>0.7471624266144814</v>
      </c>
      <c r="X265">
        <f t="shared" si="43"/>
        <v>0.7441860465116279</v>
      </c>
    </row>
    <row r="266" spans="1:24" x14ac:dyDescent="0.35">
      <c r="A266">
        <f t="shared" si="44"/>
        <v>7900</v>
      </c>
      <c r="C266">
        <f>Reference_Data!L262-Dark!L262</f>
        <v>3832</v>
      </c>
      <c r="D266">
        <f>Reference_Data!M262-Dark!M262</f>
        <v>4006</v>
      </c>
      <c r="E266">
        <f>Reference_Data!N262-Dark!N262</f>
        <v>327</v>
      </c>
      <c r="F266">
        <f>Sample_Data!L262-Dark!L262</f>
        <v>3832</v>
      </c>
      <c r="G266">
        <f>Sample_Data!M262-Dark!M262</f>
        <v>4002</v>
      </c>
      <c r="H266">
        <f>Sample_Data!N262-Dark!N262</f>
        <v>277</v>
      </c>
      <c r="I266">
        <f t="shared" si="36"/>
        <v>1712.9375</v>
      </c>
      <c r="J266" s="3">
        <f t="shared" si="38"/>
        <v>1</v>
      </c>
      <c r="K266" s="3">
        <f t="shared" si="39"/>
        <v>0.99900149775336999</v>
      </c>
      <c r="L266" s="3">
        <f t="shared" si="40"/>
        <v>0.84709480122324154</v>
      </c>
      <c r="O266">
        <f>Reference_Data!O262-Dark!O262</f>
        <v>3666</v>
      </c>
      <c r="P266">
        <f>Reference_Data!P262-Dark!P262</f>
        <v>2640</v>
      </c>
      <c r="Q266">
        <f>Reference_Data!Q262-Dark!Q262</f>
        <v>88</v>
      </c>
      <c r="R266">
        <f>Sample_Data!O262-Dark!O262</f>
        <v>3666</v>
      </c>
      <c r="S266">
        <f>Sample_Data!P262-Dark!P262</f>
        <v>1978</v>
      </c>
      <c r="T266">
        <f>Sample_Data!Q262-Dark!Q262</f>
        <v>66</v>
      </c>
      <c r="U266">
        <f t="shared" si="37"/>
        <v>3115.15625</v>
      </c>
      <c r="V266">
        <f t="shared" si="41"/>
        <v>1</v>
      </c>
      <c r="W266">
        <f t="shared" si="42"/>
        <v>0.74924242424242427</v>
      </c>
      <c r="X266">
        <f t="shared" si="43"/>
        <v>0.75</v>
      </c>
    </row>
    <row r="267" spans="1:24" x14ac:dyDescent="0.35">
      <c r="A267">
        <f t="shared" si="44"/>
        <v>7930</v>
      </c>
      <c r="C267">
        <f>Reference_Data!L263-Dark!L263</f>
        <v>3836</v>
      </c>
      <c r="D267">
        <f>Reference_Data!M263-Dark!M263</f>
        <v>4006</v>
      </c>
      <c r="E267">
        <f>Reference_Data!N263-Dark!N263</f>
        <v>319</v>
      </c>
      <c r="F267">
        <f>Sample_Data!L263-Dark!L263</f>
        <v>3836</v>
      </c>
      <c r="G267">
        <f>Sample_Data!M263-Dark!M263</f>
        <v>4000</v>
      </c>
      <c r="H267">
        <f>Sample_Data!N263-Dark!N263</f>
        <v>269</v>
      </c>
      <c r="I267">
        <f t="shared" si="36"/>
        <v>1716.5562500000001</v>
      </c>
      <c r="J267" s="3">
        <f t="shared" si="38"/>
        <v>1</v>
      </c>
      <c r="K267" s="3">
        <f t="shared" si="39"/>
        <v>0.99850224663005493</v>
      </c>
      <c r="L267" s="3">
        <f t="shared" si="40"/>
        <v>0.84326018808777425</v>
      </c>
      <c r="O267">
        <f>Reference_Data!O263-Dark!O263</f>
        <v>3631</v>
      </c>
      <c r="P267">
        <f>Reference_Data!P263-Dark!P263</f>
        <v>2717</v>
      </c>
      <c r="Q267">
        <f>Reference_Data!Q263-Dark!Q263</f>
        <v>90</v>
      </c>
      <c r="R267">
        <f>Sample_Data!O263-Dark!O263</f>
        <v>3631</v>
      </c>
      <c r="S267">
        <f>Sample_Data!P263-Dark!P263</f>
        <v>2041</v>
      </c>
      <c r="T267">
        <f>Sample_Data!Q263-Dark!Q263</f>
        <v>68</v>
      </c>
      <c r="U267">
        <f t="shared" si="37"/>
        <v>3121.859375</v>
      </c>
      <c r="V267">
        <f t="shared" si="41"/>
        <v>1</v>
      </c>
      <c r="W267">
        <f t="shared" si="42"/>
        <v>0.75119617224880386</v>
      </c>
      <c r="X267">
        <f t="shared" si="43"/>
        <v>0.75555555555555554</v>
      </c>
    </row>
    <row r="268" spans="1:24" x14ac:dyDescent="0.35">
      <c r="A268">
        <f t="shared" si="44"/>
        <v>7960</v>
      </c>
      <c r="C268">
        <f>Reference_Data!L264-Dark!L264</f>
        <v>3823</v>
      </c>
      <c r="D268">
        <f>Reference_Data!M264-Dark!M264</f>
        <v>4006</v>
      </c>
      <c r="E268">
        <f>Reference_Data!N264-Dark!N264</f>
        <v>307</v>
      </c>
      <c r="F268">
        <f>Sample_Data!L264-Dark!L264</f>
        <v>3823</v>
      </c>
      <c r="G268">
        <f>Sample_Data!M264-Dark!M264</f>
        <v>3998</v>
      </c>
      <c r="H268">
        <f>Sample_Data!N264-Dark!N264</f>
        <v>259</v>
      </c>
      <c r="I268">
        <f t="shared" si="36"/>
        <v>1720.1750000000002</v>
      </c>
      <c r="J268" s="3">
        <f t="shared" si="38"/>
        <v>1</v>
      </c>
      <c r="K268" s="3">
        <f t="shared" si="39"/>
        <v>0.99800299550673988</v>
      </c>
      <c r="L268" s="3">
        <f t="shared" si="40"/>
        <v>0.84364820846905542</v>
      </c>
      <c r="O268">
        <f>Reference_Data!O264-Dark!O264</f>
        <v>3553</v>
      </c>
      <c r="P268">
        <f>Reference_Data!P264-Dark!P264</f>
        <v>2796</v>
      </c>
      <c r="Q268">
        <f>Reference_Data!Q264-Dark!Q264</f>
        <v>94</v>
      </c>
      <c r="R268">
        <f>Sample_Data!O264-Dark!O264</f>
        <v>3552</v>
      </c>
      <c r="S268">
        <f>Sample_Data!P264-Dark!P264</f>
        <v>2110</v>
      </c>
      <c r="T268">
        <f>Sample_Data!Q264-Dark!Q264</f>
        <v>72</v>
      </c>
      <c r="U268">
        <f t="shared" si="37"/>
        <v>3128.5625</v>
      </c>
      <c r="V268">
        <f t="shared" si="41"/>
        <v>0.99971854770616375</v>
      </c>
      <c r="W268">
        <f t="shared" si="42"/>
        <v>0.75464949928469238</v>
      </c>
      <c r="X268">
        <f t="shared" si="43"/>
        <v>0.76595744680851063</v>
      </c>
    </row>
    <row r="269" spans="1:24" x14ac:dyDescent="0.35">
      <c r="A269">
        <f t="shared" si="44"/>
        <v>7990</v>
      </c>
      <c r="C269">
        <f>Reference_Data!L265-Dark!L265</f>
        <v>3838</v>
      </c>
      <c r="D269">
        <f>Reference_Data!M265-Dark!M265</f>
        <v>4007</v>
      </c>
      <c r="E269">
        <f>Reference_Data!N265-Dark!N265</f>
        <v>299</v>
      </c>
      <c r="F269">
        <f>Sample_Data!L265-Dark!L265</f>
        <v>3837</v>
      </c>
      <c r="G269">
        <f>Sample_Data!M265-Dark!M265</f>
        <v>3996</v>
      </c>
      <c r="H269">
        <f>Sample_Data!N265-Dark!N265</f>
        <v>254</v>
      </c>
      <c r="I269">
        <f t="shared" si="36"/>
        <v>1723.79375</v>
      </c>
      <c r="J269" s="3">
        <f t="shared" si="38"/>
        <v>0.99973944762897338</v>
      </c>
      <c r="K269" s="3">
        <f t="shared" si="39"/>
        <v>0.99725480409283751</v>
      </c>
      <c r="L269" s="3">
        <f t="shared" si="40"/>
        <v>0.84949832775919731</v>
      </c>
      <c r="O269">
        <f>Reference_Data!O265-Dark!O265</f>
        <v>3452</v>
      </c>
      <c r="P269">
        <f>Reference_Data!P265-Dark!P265</f>
        <v>2872</v>
      </c>
      <c r="Q269">
        <f>Reference_Data!Q265-Dark!Q265</f>
        <v>99</v>
      </c>
      <c r="R269">
        <f>Sample_Data!O265-Dark!O265</f>
        <v>3452</v>
      </c>
      <c r="S269">
        <f>Sample_Data!P265-Dark!P265</f>
        <v>2175</v>
      </c>
      <c r="T269">
        <f>Sample_Data!Q265-Dark!Q265</f>
        <v>75</v>
      </c>
      <c r="U269">
        <f t="shared" si="37"/>
        <v>3135.265625</v>
      </c>
      <c r="V269">
        <f t="shared" si="41"/>
        <v>1</v>
      </c>
      <c r="W269">
        <f t="shared" si="42"/>
        <v>0.75731197771587744</v>
      </c>
      <c r="X269">
        <f t="shared" si="43"/>
        <v>0.75757575757575757</v>
      </c>
    </row>
    <row r="270" spans="1:24" x14ac:dyDescent="0.35">
      <c r="A270">
        <f t="shared" si="44"/>
        <v>8020</v>
      </c>
      <c r="C270">
        <f>Reference_Data!L266-Dark!L266</f>
        <v>3832</v>
      </c>
      <c r="D270">
        <f>Reference_Data!M266-Dark!M266</f>
        <v>4006</v>
      </c>
      <c r="E270">
        <f>Reference_Data!N266-Dark!N266</f>
        <v>291</v>
      </c>
      <c r="F270">
        <f>Sample_Data!L266-Dark!L266</f>
        <v>3832</v>
      </c>
      <c r="G270">
        <f>Sample_Data!M266-Dark!M266</f>
        <v>3993</v>
      </c>
      <c r="H270">
        <f>Sample_Data!N266-Dark!N266</f>
        <v>246</v>
      </c>
      <c r="I270">
        <f t="shared" si="36"/>
        <v>1727.4124999999999</v>
      </c>
      <c r="J270" s="3">
        <f t="shared" si="38"/>
        <v>1</v>
      </c>
      <c r="K270" s="3">
        <f t="shared" si="39"/>
        <v>0.99675486769845234</v>
      </c>
      <c r="L270" s="3">
        <f t="shared" si="40"/>
        <v>0.84536082474226804</v>
      </c>
      <c r="O270">
        <f>Reference_Data!O266-Dark!O266</f>
        <v>3262</v>
      </c>
      <c r="P270">
        <f>Reference_Data!P266-Dark!P266</f>
        <v>2925</v>
      </c>
      <c r="Q270">
        <f>Reference_Data!Q266-Dark!Q266</f>
        <v>100</v>
      </c>
      <c r="R270">
        <f>Sample_Data!O266-Dark!O266</f>
        <v>3262</v>
      </c>
      <c r="S270">
        <f>Sample_Data!P266-Dark!P266</f>
        <v>2224</v>
      </c>
      <c r="T270">
        <f>Sample_Data!Q266-Dark!Q266</f>
        <v>75</v>
      </c>
      <c r="U270">
        <f t="shared" si="37"/>
        <v>3141.96875</v>
      </c>
      <c r="V270">
        <f t="shared" si="41"/>
        <v>1</v>
      </c>
      <c r="W270">
        <f t="shared" si="42"/>
        <v>0.76034188034188033</v>
      </c>
      <c r="X270">
        <f t="shared" si="43"/>
        <v>0.75</v>
      </c>
    </row>
    <row r="271" spans="1:24" x14ac:dyDescent="0.35">
      <c r="A271">
        <f t="shared" si="44"/>
        <v>8050</v>
      </c>
      <c r="C271">
        <f>Reference_Data!L267-Dark!L267</f>
        <v>3833</v>
      </c>
      <c r="D271">
        <f>Reference_Data!M267-Dark!M267</f>
        <v>4004</v>
      </c>
      <c r="E271">
        <f>Reference_Data!N267-Dark!N267</f>
        <v>278</v>
      </c>
      <c r="F271">
        <f>Sample_Data!L267-Dark!L267</f>
        <v>3834</v>
      </c>
      <c r="G271">
        <f>Sample_Data!M267-Dark!M267</f>
        <v>3992</v>
      </c>
      <c r="H271">
        <f>Sample_Data!N267-Dark!N267</f>
        <v>237</v>
      </c>
      <c r="I271">
        <f t="shared" si="36"/>
        <v>1731.03125</v>
      </c>
      <c r="J271" s="3">
        <f t="shared" si="38"/>
        <v>1.0002608922515002</v>
      </c>
      <c r="K271" s="3">
        <f t="shared" si="39"/>
        <v>0.99700299700299699</v>
      </c>
      <c r="L271" s="3">
        <f t="shared" si="40"/>
        <v>0.85251798561151082</v>
      </c>
      <c r="O271">
        <f>Reference_Data!O267-Dark!O267</f>
        <v>3046</v>
      </c>
      <c r="P271">
        <f>Reference_Data!P267-Dark!P267</f>
        <v>2961</v>
      </c>
      <c r="Q271">
        <f>Reference_Data!Q267-Dark!Q267</f>
        <v>101</v>
      </c>
      <c r="R271">
        <f>Sample_Data!O267-Dark!O267</f>
        <v>3045</v>
      </c>
      <c r="S271">
        <f>Sample_Data!P267-Dark!P267</f>
        <v>2258</v>
      </c>
      <c r="T271">
        <f>Sample_Data!Q267-Dark!Q267</f>
        <v>77</v>
      </c>
      <c r="U271">
        <f t="shared" si="37"/>
        <v>3148.671875</v>
      </c>
      <c r="V271">
        <f t="shared" si="41"/>
        <v>0.99967170059093891</v>
      </c>
      <c r="W271">
        <f t="shared" si="42"/>
        <v>0.76258020938872007</v>
      </c>
      <c r="X271">
        <f t="shared" si="43"/>
        <v>0.76237623762376239</v>
      </c>
    </row>
    <row r="272" spans="1:24" x14ac:dyDescent="0.35">
      <c r="A272">
        <f t="shared" si="44"/>
        <v>8080</v>
      </c>
      <c r="C272">
        <f>Reference_Data!L268-Dark!L268</f>
        <v>3829</v>
      </c>
      <c r="D272">
        <f>Reference_Data!M268-Dark!M268</f>
        <v>3999</v>
      </c>
      <c r="E272">
        <f>Reference_Data!N268-Dark!N268</f>
        <v>263</v>
      </c>
      <c r="F272">
        <f>Sample_Data!L268-Dark!L268</f>
        <v>3828</v>
      </c>
      <c r="G272">
        <f>Sample_Data!M268-Dark!M268</f>
        <v>3986</v>
      </c>
      <c r="H272">
        <f>Sample_Data!N268-Dark!N268</f>
        <v>223</v>
      </c>
      <c r="I272">
        <f t="shared" si="36"/>
        <v>1734.65</v>
      </c>
      <c r="J272" s="3">
        <f t="shared" si="38"/>
        <v>0.99973883520501439</v>
      </c>
      <c r="K272" s="3">
        <f t="shared" si="39"/>
        <v>0.99674918729682416</v>
      </c>
      <c r="L272" s="3">
        <f t="shared" si="40"/>
        <v>0.84790874524714832</v>
      </c>
      <c r="O272">
        <f>Reference_Data!O268-Dark!O268</f>
        <v>2751</v>
      </c>
      <c r="P272">
        <f>Reference_Data!P268-Dark!P268</f>
        <v>2960</v>
      </c>
      <c r="Q272">
        <f>Reference_Data!Q268-Dark!Q268</f>
        <v>100</v>
      </c>
      <c r="R272">
        <f>Sample_Data!O268-Dark!O268</f>
        <v>2752</v>
      </c>
      <c r="S272">
        <f>Sample_Data!P268-Dark!P268</f>
        <v>2261</v>
      </c>
      <c r="T272">
        <f>Sample_Data!Q268-Dark!Q268</f>
        <v>77</v>
      </c>
      <c r="U272">
        <f t="shared" si="37"/>
        <v>3155.375</v>
      </c>
      <c r="V272">
        <f t="shared" si="41"/>
        <v>1.0003635041802981</v>
      </c>
      <c r="W272">
        <f t="shared" si="42"/>
        <v>0.7638513513513514</v>
      </c>
      <c r="X272">
        <f t="shared" si="43"/>
        <v>0.77</v>
      </c>
    </row>
    <row r="273" spans="1:24" x14ac:dyDescent="0.35">
      <c r="A273">
        <f t="shared" si="44"/>
        <v>8110</v>
      </c>
      <c r="C273">
        <f>Reference_Data!L269-Dark!L269</f>
        <v>3837</v>
      </c>
      <c r="D273">
        <f>Reference_Data!M269-Dark!M269</f>
        <v>3996</v>
      </c>
      <c r="E273">
        <f>Reference_Data!N269-Dark!N269</f>
        <v>247</v>
      </c>
      <c r="F273">
        <f>Sample_Data!L269-Dark!L269</f>
        <v>3838</v>
      </c>
      <c r="G273">
        <f>Sample_Data!M269-Dark!M269</f>
        <v>3981</v>
      </c>
      <c r="H273">
        <f>Sample_Data!N269-Dark!N269</f>
        <v>207</v>
      </c>
      <c r="I273">
        <f t="shared" si="36"/>
        <v>1738.2687500000002</v>
      </c>
      <c r="J273" s="3">
        <f t="shared" si="38"/>
        <v>1.0002606202762574</v>
      </c>
      <c r="K273" s="3">
        <f t="shared" si="39"/>
        <v>0.99624624624624625</v>
      </c>
      <c r="L273" s="3">
        <f t="shared" si="40"/>
        <v>0.83805668016194335</v>
      </c>
      <c r="O273">
        <f>Reference_Data!O269-Dark!O269</f>
        <v>2474</v>
      </c>
      <c r="P273">
        <f>Reference_Data!P269-Dark!P269</f>
        <v>2925</v>
      </c>
      <c r="Q273">
        <f>Reference_Data!Q269-Dark!Q269</f>
        <v>99</v>
      </c>
      <c r="R273">
        <f>Sample_Data!O269-Dark!O269</f>
        <v>2475</v>
      </c>
      <c r="S273">
        <f>Sample_Data!P269-Dark!P269</f>
        <v>2240</v>
      </c>
      <c r="T273">
        <f>Sample_Data!Q269-Dark!Q269</f>
        <v>75</v>
      </c>
      <c r="U273">
        <f t="shared" si="37"/>
        <v>3162.078125</v>
      </c>
      <c r="V273">
        <f t="shared" si="41"/>
        <v>1.0004042037186742</v>
      </c>
      <c r="W273">
        <f t="shared" si="42"/>
        <v>0.76581196581196587</v>
      </c>
      <c r="X273">
        <f t="shared" si="43"/>
        <v>0.75757575757575757</v>
      </c>
    </row>
    <row r="274" spans="1:24" x14ac:dyDescent="0.35">
      <c r="A274">
        <f t="shared" si="44"/>
        <v>8140</v>
      </c>
      <c r="C274">
        <f>Reference_Data!L270-Dark!L270</f>
        <v>3830</v>
      </c>
      <c r="D274">
        <f>Reference_Data!M270-Dark!M270</f>
        <v>3986</v>
      </c>
      <c r="E274">
        <f>Reference_Data!N270-Dark!N270</f>
        <v>226</v>
      </c>
      <c r="F274">
        <f>Sample_Data!L270-Dark!L270</f>
        <v>3829</v>
      </c>
      <c r="G274">
        <f>Sample_Data!M270-Dark!M270</f>
        <v>3969</v>
      </c>
      <c r="H274">
        <f>Sample_Data!N270-Dark!N270</f>
        <v>189</v>
      </c>
      <c r="I274">
        <f t="shared" si="36"/>
        <v>1741.8875</v>
      </c>
      <c r="J274" s="3">
        <f t="shared" si="38"/>
        <v>0.99973890339425586</v>
      </c>
      <c r="K274" s="3">
        <f t="shared" si="39"/>
        <v>0.99573507275464124</v>
      </c>
      <c r="L274" s="3">
        <f t="shared" si="40"/>
        <v>0.83628318584070793</v>
      </c>
      <c r="O274">
        <f>Reference_Data!O270-Dark!O270</f>
        <v>2172</v>
      </c>
      <c r="P274">
        <f>Reference_Data!P270-Dark!P270</f>
        <v>2858</v>
      </c>
      <c r="Q274">
        <f>Reference_Data!Q270-Dark!Q270</f>
        <v>97</v>
      </c>
      <c r="R274">
        <f>Sample_Data!O270-Dark!O270</f>
        <v>2172</v>
      </c>
      <c r="S274">
        <f>Sample_Data!P270-Dark!P270</f>
        <v>2192</v>
      </c>
      <c r="T274">
        <f>Sample_Data!Q270-Dark!Q270</f>
        <v>73</v>
      </c>
      <c r="U274">
        <f t="shared" si="37"/>
        <v>3168.78125</v>
      </c>
      <c r="V274">
        <f t="shared" si="41"/>
        <v>1</v>
      </c>
      <c r="W274">
        <f t="shared" si="42"/>
        <v>0.76696990902729179</v>
      </c>
      <c r="X274">
        <f t="shared" si="43"/>
        <v>0.75257731958762886</v>
      </c>
    </row>
    <row r="275" spans="1:24" x14ac:dyDescent="0.35">
      <c r="A275">
        <f t="shared" si="44"/>
        <v>8170</v>
      </c>
      <c r="C275">
        <f>Reference_Data!L271-Dark!L271</f>
        <v>3834</v>
      </c>
      <c r="D275">
        <f>Reference_Data!M271-Dark!M271</f>
        <v>3976</v>
      </c>
      <c r="E275">
        <f>Reference_Data!N271-Dark!N271</f>
        <v>201</v>
      </c>
      <c r="F275">
        <f>Sample_Data!L271-Dark!L271</f>
        <v>3834</v>
      </c>
      <c r="G275">
        <f>Sample_Data!M271-Dark!M271</f>
        <v>3954</v>
      </c>
      <c r="H275">
        <f>Sample_Data!N271-Dark!N271</f>
        <v>170</v>
      </c>
      <c r="I275">
        <f t="shared" si="36"/>
        <v>1745.5062499999999</v>
      </c>
      <c r="J275" s="3">
        <f t="shared" si="38"/>
        <v>1</v>
      </c>
      <c r="K275" s="3">
        <f t="shared" si="39"/>
        <v>0.99446680080482897</v>
      </c>
      <c r="L275" s="3">
        <f t="shared" si="40"/>
        <v>0.845771144278607</v>
      </c>
      <c r="O275">
        <f>Reference_Data!O271-Dark!O271</f>
        <v>1893</v>
      </c>
      <c r="P275">
        <f>Reference_Data!P271-Dark!P271</f>
        <v>2758</v>
      </c>
      <c r="Q275">
        <f>Reference_Data!Q271-Dark!Q271</f>
        <v>93</v>
      </c>
      <c r="R275">
        <f>Sample_Data!O271-Dark!O271</f>
        <v>1893</v>
      </c>
      <c r="S275">
        <f>Sample_Data!P271-Dark!P271</f>
        <v>2122</v>
      </c>
      <c r="T275">
        <f>Sample_Data!Q271-Dark!Q271</f>
        <v>72</v>
      </c>
      <c r="U275">
        <f t="shared" si="37"/>
        <v>3175.484375</v>
      </c>
      <c r="V275">
        <f t="shared" si="41"/>
        <v>1</v>
      </c>
      <c r="W275">
        <f t="shared" si="42"/>
        <v>0.76939811457577956</v>
      </c>
      <c r="X275">
        <f t="shared" si="43"/>
        <v>0.77419354838709675</v>
      </c>
    </row>
    <row r="276" spans="1:24" x14ac:dyDescent="0.35">
      <c r="A276">
        <f t="shared" si="44"/>
        <v>8200</v>
      </c>
      <c r="C276">
        <f>Reference_Data!L272-Dark!L272</f>
        <v>3836</v>
      </c>
      <c r="D276">
        <f>Reference_Data!M272-Dark!M272</f>
        <v>3962</v>
      </c>
      <c r="E276">
        <f>Reference_Data!N272-Dark!N272</f>
        <v>180</v>
      </c>
      <c r="F276">
        <f>Sample_Data!L272-Dark!L272</f>
        <v>3838</v>
      </c>
      <c r="G276">
        <f>Sample_Data!M272-Dark!M272</f>
        <v>3932</v>
      </c>
      <c r="H276">
        <f>Sample_Data!N272-Dark!N272</f>
        <v>152</v>
      </c>
      <c r="I276">
        <f t="shared" si="36"/>
        <v>1749.125</v>
      </c>
      <c r="J276" s="3">
        <f t="shared" si="38"/>
        <v>1.0005213764337852</v>
      </c>
      <c r="K276" s="3">
        <f t="shared" si="39"/>
        <v>0.99242806663301364</v>
      </c>
      <c r="L276" s="3">
        <f t="shared" si="40"/>
        <v>0.84444444444444444</v>
      </c>
      <c r="O276">
        <f>Reference_Data!O272-Dark!O272</f>
        <v>1563</v>
      </c>
      <c r="P276">
        <f>Reference_Data!P272-Dark!P272</f>
        <v>2632</v>
      </c>
      <c r="Q276">
        <f>Reference_Data!Q272-Dark!Q272</f>
        <v>90</v>
      </c>
      <c r="R276">
        <f>Sample_Data!O272-Dark!O272</f>
        <v>1564</v>
      </c>
      <c r="S276">
        <f>Sample_Data!P272-Dark!P272</f>
        <v>2028</v>
      </c>
      <c r="T276">
        <f>Sample_Data!Q272-Dark!Q272</f>
        <v>69</v>
      </c>
      <c r="U276">
        <f t="shared" si="37"/>
        <v>3182.1875</v>
      </c>
      <c r="V276">
        <f t="shared" si="41"/>
        <v>1.0006397952655151</v>
      </c>
      <c r="W276">
        <f t="shared" si="42"/>
        <v>0.77051671732522797</v>
      </c>
      <c r="X276">
        <f t="shared" si="43"/>
        <v>0.76666666666666672</v>
      </c>
    </row>
    <row r="277" spans="1:24" x14ac:dyDescent="0.35">
      <c r="A277">
        <f t="shared" si="44"/>
        <v>8230</v>
      </c>
      <c r="C277">
        <f>Reference_Data!L273-Dark!L273</f>
        <v>3831</v>
      </c>
      <c r="D277">
        <f>Reference_Data!M273-Dark!M273</f>
        <v>3945</v>
      </c>
      <c r="E277">
        <f>Reference_Data!N273-Dark!N273</f>
        <v>159</v>
      </c>
      <c r="F277">
        <f>Sample_Data!L273-Dark!L273</f>
        <v>3831</v>
      </c>
      <c r="G277">
        <f>Sample_Data!M273-Dark!M273</f>
        <v>3881</v>
      </c>
      <c r="H277">
        <f>Sample_Data!N273-Dark!N273</f>
        <v>134</v>
      </c>
      <c r="I277">
        <f t="shared" si="36"/>
        <v>1752.7437500000001</v>
      </c>
      <c r="J277" s="3">
        <f t="shared" si="38"/>
        <v>1</v>
      </c>
      <c r="K277" s="3">
        <f t="shared" si="39"/>
        <v>0.98377693282636247</v>
      </c>
      <c r="L277" s="3">
        <f t="shared" si="40"/>
        <v>0.84276729559748431</v>
      </c>
      <c r="O277">
        <f>Reference_Data!O273-Dark!O273</f>
        <v>1262</v>
      </c>
      <c r="P277">
        <f>Reference_Data!P273-Dark!P273</f>
        <v>2499</v>
      </c>
      <c r="Q277">
        <f>Reference_Data!Q273-Dark!Q273</f>
        <v>84</v>
      </c>
      <c r="R277">
        <f>Sample_Data!O273-Dark!O273</f>
        <v>1262</v>
      </c>
      <c r="S277">
        <f>Sample_Data!P273-Dark!P273</f>
        <v>1929</v>
      </c>
      <c r="T277">
        <f>Sample_Data!Q273-Dark!Q273</f>
        <v>65</v>
      </c>
      <c r="U277">
        <f t="shared" si="37"/>
        <v>3188.890625</v>
      </c>
      <c r="V277">
        <f t="shared" si="41"/>
        <v>1</v>
      </c>
      <c r="W277">
        <f t="shared" si="42"/>
        <v>0.77190876350540216</v>
      </c>
      <c r="X277">
        <f t="shared" si="43"/>
        <v>0.77380952380952384</v>
      </c>
    </row>
    <row r="278" spans="1:24" x14ac:dyDescent="0.35">
      <c r="A278">
        <f t="shared" si="44"/>
        <v>8260</v>
      </c>
      <c r="C278">
        <f>Reference_Data!L274-Dark!L274</f>
        <v>3839</v>
      </c>
      <c r="D278">
        <f>Reference_Data!M274-Dark!M274</f>
        <v>3905</v>
      </c>
      <c r="E278">
        <f>Reference_Data!N274-Dark!N274</f>
        <v>139</v>
      </c>
      <c r="F278">
        <f>Sample_Data!L274-Dark!L274</f>
        <v>3838</v>
      </c>
      <c r="G278">
        <f>Sample_Data!M274-Dark!M274</f>
        <v>3519</v>
      </c>
      <c r="H278">
        <f>Sample_Data!N274-Dark!N274</f>
        <v>118</v>
      </c>
      <c r="I278">
        <f t="shared" si="36"/>
        <v>1756.3625000000002</v>
      </c>
      <c r="J278" s="3">
        <f t="shared" si="38"/>
        <v>0.99973951549882778</v>
      </c>
      <c r="K278" s="3">
        <f t="shared" si="39"/>
        <v>0.90115236875800253</v>
      </c>
      <c r="L278" s="3">
        <f t="shared" si="40"/>
        <v>0.84892086330935257</v>
      </c>
      <c r="O278">
        <f>Reference_Data!O274-Dark!O274</f>
        <v>901</v>
      </c>
      <c r="P278">
        <f>Reference_Data!P274-Dark!P274</f>
        <v>2337</v>
      </c>
      <c r="Q278">
        <f>Reference_Data!Q274-Dark!Q274</f>
        <v>78</v>
      </c>
      <c r="R278">
        <f>Sample_Data!O274-Dark!O274</f>
        <v>901</v>
      </c>
      <c r="S278">
        <f>Sample_Data!P274-Dark!P274</f>
        <v>1805</v>
      </c>
      <c r="T278">
        <f>Sample_Data!Q274-Dark!Q274</f>
        <v>59</v>
      </c>
      <c r="U278">
        <f t="shared" si="37"/>
        <v>3195.59375</v>
      </c>
      <c r="V278">
        <f t="shared" si="41"/>
        <v>1</v>
      </c>
      <c r="W278">
        <f t="shared" si="42"/>
        <v>0.77235772357723576</v>
      </c>
      <c r="X278">
        <f t="shared" si="43"/>
        <v>0.75641025641025639</v>
      </c>
    </row>
    <row r="279" spans="1:24" x14ac:dyDescent="0.35">
      <c r="A279">
        <f t="shared" si="44"/>
        <v>8290</v>
      </c>
      <c r="C279">
        <f>Reference_Data!L275-Dark!L275</f>
        <v>3841</v>
      </c>
      <c r="D279">
        <f>Reference_Data!M275-Dark!M275</f>
        <v>3613</v>
      </c>
      <c r="E279">
        <f>Reference_Data!N275-Dark!N275</f>
        <v>122</v>
      </c>
      <c r="F279">
        <f>Sample_Data!L275-Dark!L275</f>
        <v>3841</v>
      </c>
      <c r="G279">
        <f>Sample_Data!M275-Dark!M275</f>
        <v>3062</v>
      </c>
      <c r="H279">
        <f>Sample_Data!N275-Dark!N275</f>
        <v>104</v>
      </c>
      <c r="I279">
        <f t="shared" si="36"/>
        <v>1759.98125</v>
      </c>
      <c r="J279" s="3">
        <f t="shared" si="38"/>
        <v>1</v>
      </c>
      <c r="K279" s="3">
        <f t="shared" si="39"/>
        <v>0.84749515637973982</v>
      </c>
      <c r="L279" s="3">
        <f t="shared" si="40"/>
        <v>0.85245901639344257</v>
      </c>
      <c r="O279">
        <f>Reference_Data!O275-Dark!O275</f>
        <v>561</v>
      </c>
      <c r="P279">
        <f>Reference_Data!P275-Dark!P275</f>
        <v>2145</v>
      </c>
      <c r="Q279">
        <f>Reference_Data!Q275-Dark!Q275</f>
        <v>73</v>
      </c>
      <c r="R279">
        <f>Sample_Data!O275-Dark!O275</f>
        <v>560</v>
      </c>
      <c r="S279">
        <f>Sample_Data!P275-Dark!P275</f>
        <v>1659</v>
      </c>
      <c r="T279">
        <f>Sample_Data!Q275-Dark!Q275</f>
        <v>57</v>
      </c>
      <c r="U279">
        <f t="shared" si="37"/>
        <v>3202.296875</v>
      </c>
      <c r="V279">
        <f t="shared" si="41"/>
        <v>0.99821746880570406</v>
      </c>
      <c r="W279">
        <f t="shared" si="42"/>
        <v>0.77342657342657339</v>
      </c>
      <c r="X279">
        <f t="shared" si="43"/>
        <v>0.78082191780821919</v>
      </c>
    </row>
    <row r="280" spans="1:24" x14ac:dyDescent="0.35">
      <c r="A280">
        <f t="shared" si="44"/>
        <v>8320</v>
      </c>
      <c r="C280">
        <f>Reference_Data!L276-Dark!L276</f>
        <v>3837</v>
      </c>
      <c r="D280">
        <f>Reference_Data!M276-Dark!M276</f>
        <v>3131</v>
      </c>
      <c r="E280">
        <f>Reference_Data!N276-Dark!N276</f>
        <v>106</v>
      </c>
      <c r="F280">
        <f>Sample_Data!L276-Dark!L276</f>
        <v>3837</v>
      </c>
      <c r="G280">
        <f>Sample_Data!M276-Dark!M276</f>
        <v>2655</v>
      </c>
      <c r="H280">
        <f>Sample_Data!N276-Dark!N276</f>
        <v>90</v>
      </c>
      <c r="I280">
        <f t="shared" si="36"/>
        <v>1763.6</v>
      </c>
      <c r="J280" s="3">
        <f t="shared" si="38"/>
        <v>1</v>
      </c>
      <c r="K280" s="3">
        <f t="shared" si="39"/>
        <v>0.84797189396358996</v>
      </c>
      <c r="L280" s="3">
        <f t="shared" si="40"/>
        <v>0.84905660377358494</v>
      </c>
      <c r="O280">
        <f>Reference_Data!O276-Dark!O276</f>
        <v>182</v>
      </c>
      <c r="P280">
        <f>Reference_Data!P276-Dark!P276</f>
        <v>1917</v>
      </c>
      <c r="Q280">
        <f>Reference_Data!Q276-Dark!Q276</f>
        <v>65</v>
      </c>
      <c r="R280">
        <f>Sample_Data!O276-Dark!O276</f>
        <v>182</v>
      </c>
      <c r="S280">
        <f>Sample_Data!P276-Dark!P276</f>
        <v>1478</v>
      </c>
      <c r="T280">
        <f>Sample_Data!Q276-Dark!Q276</f>
        <v>51</v>
      </c>
      <c r="U280">
        <f t="shared" si="37"/>
        <v>3209</v>
      </c>
      <c r="V280">
        <f t="shared" si="41"/>
        <v>1</v>
      </c>
      <c r="W280">
        <f t="shared" si="42"/>
        <v>0.77099634846113718</v>
      </c>
      <c r="X280">
        <f t="shared" si="43"/>
        <v>0.7846153846153846</v>
      </c>
    </row>
    <row r="281" spans="1:24" x14ac:dyDescent="0.35">
      <c r="A281">
        <f t="shared" si="44"/>
        <v>8350</v>
      </c>
      <c r="C281">
        <f>Reference_Data!L277-Dark!L277</f>
        <v>3831</v>
      </c>
      <c r="D281">
        <f>Reference_Data!M277-Dark!M277</f>
        <v>2680</v>
      </c>
      <c r="E281">
        <f>Reference_Data!N277-Dark!N277</f>
        <v>89</v>
      </c>
      <c r="F281">
        <f>Sample_Data!L277-Dark!L277</f>
        <v>3830</v>
      </c>
      <c r="G281">
        <f>Sample_Data!M277-Dark!M277</f>
        <v>2254</v>
      </c>
      <c r="H281">
        <f>Sample_Data!N277-Dark!N277</f>
        <v>75</v>
      </c>
      <c r="I281">
        <f t="shared" si="36"/>
        <v>1767.21875</v>
      </c>
      <c r="J281" s="3">
        <f t="shared" si="38"/>
        <v>0.9997389715478987</v>
      </c>
      <c r="K281" s="3">
        <f t="shared" si="39"/>
        <v>0.84104477611940298</v>
      </c>
      <c r="L281" s="3">
        <f t="shared" si="40"/>
        <v>0.84269662921348309</v>
      </c>
      <c r="O281">
        <f>Reference_Data!O277-Dark!O277</f>
        <v>96</v>
      </c>
      <c r="P281">
        <f>Reference_Data!P277-Dark!P277</f>
        <v>1610</v>
      </c>
      <c r="Q281">
        <f>Reference_Data!Q277-Dark!Q277</f>
        <v>53</v>
      </c>
      <c r="R281">
        <f>Sample_Data!O277-Dark!O277</f>
        <v>97</v>
      </c>
      <c r="S281">
        <f>Sample_Data!P277-Dark!P277</f>
        <v>1226</v>
      </c>
      <c r="T281">
        <f>Sample_Data!Q277-Dark!Q277</f>
        <v>42</v>
      </c>
      <c r="U281">
        <f t="shared" si="37"/>
        <v>3215.703125</v>
      </c>
      <c r="V281">
        <f t="shared" si="41"/>
        <v>1.0104166666666667</v>
      </c>
      <c r="W281">
        <f t="shared" si="42"/>
        <v>0.76149068322981361</v>
      </c>
      <c r="X281">
        <f t="shared" si="43"/>
        <v>0.79245283018867929</v>
      </c>
    </row>
    <row r="282" spans="1:24" x14ac:dyDescent="0.35">
      <c r="A282">
        <f t="shared" si="44"/>
        <v>8380</v>
      </c>
      <c r="C282">
        <f>Reference_Data!L278-Dark!L278</f>
        <v>3846</v>
      </c>
      <c r="D282">
        <f>Reference_Data!M278-Dark!M278</f>
        <v>2311</v>
      </c>
      <c r="E282">
        <f>Reference_Data!N278-Dark!N278</f>
        <v>79</v>
      </c>
      <c r="F282">
        <f>Sample_Data!L278-Dark!L278</f>
        <v>3846</v>
      </c>
      <c r="G282">
        <f>Sample_Data!M278-Dark!M278</f>
        <v>1952</v>
      </c>
      <c r="H282">
        <f>Sample_Data!N278-Dark!N278</f>
        <v>66</v>
      </c>
      <c r="I282">
        <f t="shared" si="36"/>
        <v>1770.8375000000001</v>
      </c>
      <c r="J282" s="3">
        <f t="shared" si="38"/>
        <v>1</v>
      </c>
      <c r="K282" s="3">
        <f t="shared" si="39"/>
        <v>0.84465599307659023</v>
      </c>
      <c r="L282" s="3">
        <f t="shared" si="40"/>
        <v>0.83544303797468356</v>
      </c>
      <c r="O282">
        <f>Reference_Data!O278-Dark!O278</f>
        <v>70</v>
      </c>
      <c r="P282">
        <f>Reference_Data!P278-Dark!P278</f>
        <v>1219</v>
      </c>
      <c r="Q282">
        <f>Reference_Data!Q278-Dark!Q278</f>
        <v>42</v>
      </c>
      <c r="R282">
        <f>Sample_Data!O278-Dark!O278</f>
        <v>69</v>
      </c>
      <c r="S282">
        <f>Sample_Data!P278-Dark!P278</f>
        <v>928</v>
      </c>
      <c r="T282">
        <f>Sample_Data!Q278-Dark!Q278</f>
        <v>32</v>
      </c>
      <c r="U282">
        <f t="shared" si="37"/>
        <v>3222.40625</v>
      </c>
      <c r="V282">
        <f t="shared" si="41"/>
        <v>0.98571428571428577</v>
      </c>
      <c r="W282">
        <f t="shared" si="42"/>
        <v>0.76127973748974564</v>
      </c>
      <c r="X282">
        <f t="shared" si="43"/>
        <v>0.76190476190476186</v>
      </c>
    </row>
    <row r="283" spans="1:24" x14ac:dyDescent="0.35">
      <c r="A283">
        <f t="shared" si="44"/>
        <v>8410</v>
      </c>
      <c r="C283">
        <f>Reference_Data!L279-Dark!L279</f>
        <v>3836</v>
      </c>
      <c r="D283">
        <f>Reference_Data!M279-Dark!M279</f>
        <v>1983</v>
      </c>
      <c r="E283">
        <f>Reference_Data!N279-Dark!N279</f>
        <v>66</v>
      </c>
      <c r="F283">
        <f>Sample_Data!L279-Dark!L279</f>
        <v>3837</v>
      </c>
      <c r="G283">
        <f>Sample_Data!M279-Dark!M279</f>
        <v>1684</v>
      </c>
      <c r="H283">
        <f>Sample_Data!N279-Dark!N279</f>
        <v>57</v>
      </c>
      <c r="I283">
        <f t="shared" si="36"/>
        <v>1774.4562500000002</v>
      </c>
      <c r="J283" s="3">
        <f t="shared" si="38"/>
        <v>1.0002606882168925</v>
      </c>
      <c r="K283" s="3">
        <f t="shared" si="39"/>
        <v>0.84921835602622286</v>
      </c>
      <c r="L283" s="3">
        <f t="shared" si="40"/>
        <v>0.86363636363636365</v>
      </c>
      <c r="O283">
        <f>Reference_Data!O279-Dark!O279</f>
        <v>58</v>
      </c>
      <c r="P283">
        <f>Reference_Data!P279-Dark!P279</f>
        <v>783</v>
      </c>
      <c r="Q283">
        <f>Reference_Data!Q279-Dark!Q279</f>
        <v>27</v>
      </c>
      <c r="R283">
        <f>Sample_Data!O279-Dark!O279</f>
        <v>59</v>
      </c>
      <c r="S283">
        <f>Sample_Data!P279-Dark!P279</f>
        <v>604</v>
      </c>
      <c r="T283">
        <f>Sample_Data!Q279-Dark!Q279</f>
        <v>20</v>
      </c>
      <c r="U283">
        <f t="shared" si="37"/>
        <v>3229.109375</v>
      </c>
      <c r="V283">
        <f t="shared" si="41"/>
        <v>1.0172413793103448</v>
      </c>
      <c r="W283">
        <f t="shared" si="42"/>
        <v>0.77139208173690932</v>
      </c>
      <c r="X283">
        <f t="shared" si="43"/>
        <v>0.7407407407407407</v>
      </c>
    </row>
    <row r="284" spans="1:24" x14ac:dyDescent="0.35">
      <c r="A284">
        <f t="shared" si="44"/>
        <v>8440</v>
      </c>
      <c r="C284">
        <f>Reference_Data!L280-Dark!L280</f>
        <v>3832</v>
      </c>
      <c r="D284">
        <f>Reference_Data!M280-Dark!M280</f>
        <v>1736</v>
      </c>
      <c r="E284">
        <f>Reference_Data!N280-Dark!N280</f>
        <v>57</v>
      </c>
      <c r="F284">
        <f>Sample_Data!L280-Dark!L280</f>
        <v>3832</v>
      </c>
      <c r="G284">
        <f>Sample_Data!M280-Dark!M280</f>
        <v>1476</v>
      </c>
      <c r="H284">
        <f>Sample_Data!N280-Dark!N280</f>
        <v>48</v>
      </c>
      <c r="I284">
        <f t="shared" si="36"/>
        <v>1778.075</v>
      </c>
      <c r="J284" s="3">
        <f t="shared" si="38"/>
        <v>1</v>
      </c>
      <c r="K284" s="3">
        <f t="shared" si="39"/>
        <v>0.85023041474654382</v>
      </c>
      <c r="L284" s="3">
        <f t="shared" si="40"/>
        <v>0.84210526315789469</v>
      </c>
      <c r="O284">
        <f>Reference_Data!O280-Dark!O280</f>
        <v>57</v>
      </c>
      <c r="P284">
        <f>Reference_Data!P280-Dark!P280</f>
        <v>481</v>
      </c>
      <c r="Q284">
        <f>Reference_Data!Q280-Dark!Q280</f>
        <v>16</v>
      </c>
      <c r="R284">
        <f>Sample_Data!O280-Dark!O280</f>
        <v>56</v>
      </c>
      <c r="S284">
        <f>Sample_Data!P280-Dark!P280</f>
        <v>368</v>
      </c>
      <c r="T284">
        <f>Sample_Data!Q280-Dark!Q280</f>
        <v>12</v>
      </c>
      <c r="U284">
        <f t="shared" si="37"/>
        <v>3235.8125</v>
      </c>
      <c r="V284">
        <f t="shared" si="41"/>
        <v>0.98245614035087714</v>
      </c>
      <c r="W284">
        <f t="shared" si="42"/>
        <v>0.76507276507276512</v>
      </c>
      <c r="X284">
        <f t="shared" si="43"/>
        <v>0.75</v>
      </c>
    </row>
    <row r="285" spans="1:24" x14ac:dyDescent="0.35">
      <c r="A285">
        <f t="shared" si="44"/>
        <v>8470</v>
      </c>
      <c r="C285">
        <f>Reference_Data!L281-Dark!L281</f>
        <v>3834</v>
      </c>
      <c r="D285">
        <f>Reference_Data!M281-Dark!M281</f>
        <v>1554</v>
      </c>
      <c r="E285">
        <f>Reference_Data!N281-Dark!N281</f>
        <v>53</v>
      </c>
      <c r="F285">
        <f>Sample_Data!L281-Dark!L281</f>
        <v>3834</v>
      </c>
      <c r="G285">
        <f>Sample_Data!M281-Dark!M281</f>
        <v>1322</v>
      </c>
      <c r="H285">
        <f>Sample_Data!N281-Dark!N281</f>
        <v>45</v>
      </c>
      <c r="I285">
        <f t="shared" si="36"/>
        <v>1781.6937499999999</v>
      </c>
      <c r="J285" s="3">
        <f t="shared" si="38"/>
        <v>1</v>
      </c>
      <c r="K285" s="3">
        <f t="shared" si="39"/>
        <v>0.85070785070785071</v>
      </c>
      <c r="L285" s="3">
        <f t="shared" si="40"/>
        <v>0.84905660377358494</v>
      </c>
      <c r="O285">
        <f>Reference_Data!O281-Dark!O281</f>
        <v>48</v>
      </c>
      <c r="P285">
        <f>Reference_Data!P281-Dark!P281</f>
        <v>348</v>
      </c>
      <c r="Q285">
        <f>Reference_Data!Q281-Dark!Q281</f>
        <v>12</v>
      </c>
      <c r="R285">
        <f>Sample_Data!O281-Dark!O281</f>
        <v>48</v>
      </c>
      <c r="S285">
        <f>Sample_Data!P281-Dark!P281</f>
        <v>268</v>
      </c>
      <c r="T285">
        <f>Sample_Data!Q281-Dark!Q281</f>
        <v>8</v>
      </c>
      <c r="U285">
        <f t="shared" si="37"/>
        <v>3242.515625</v>
      </c>
      <c r="V285">
        <f t="shared" si="41"/>
        <v>1</v>
      </c>
      <c r="W285">
        <f t="shared" si="42"/>
        <v>0.77011494252873558</v>
      </c>
      <c r="X285">
        <f t="shared" si="43"/>
        <v>0.66666666666666663</v>
      </c>
    </row>
    <row r="286" spans="1:24" x14ac:dyDescent="0.35">
      <c r="A286">
        <f t="shared" si="44"/>
        <v>8500</v>
      </c>
      <c r="C286">
        <f>Reference_Data!L282-Dark!L282</f>
        <v>3831</v>
      </c>
      <c r="D286">
        <f>Reference_Data!M282-Dark!M282</f>
        <v>1402</v>
      </c>
      <c r="E286">
        <f>Reference_Data!N282-Dark!N282</f>
        <v>48</v>
      </c>
      <c r="F286">
        <f>Sample_Data!L282-Dark!L282</f>
        <v>3832</v>
      </c>
      <c r="G286">
        <f>Sample_Data!M282-Dark!M282</f>
        <v>1192</v>
      </c>
      <c r="H286">
        <f>Sample_Data!N282-Dark!N282</f>
        <v>42</v>
      </c>
      <c r="I286">
        <f t="shared" si="36"/>
        <v>1785.3125</v>
      </c>
      <c r="J286" s="3">
        <f t="shared" si="38"/>
        <v>1.0002610284521012</v>
      </c>
      <c r="K286" s="3">
        <f t="shared" si="39"/>
        <v>0.85021398002853066</v>
      </c>
      <c r="L286" s="3">
        <f t="shared" si="40"/>
        <v>0.875</v>
      </c>
      <c r="O286">
        <f>Reference_Data!O282-Dark!O282</f>
        <v>42</v>
      </c>
      <c r="P286">
        <f>Reference_Data!P282-Dark!P282</f>
        <v>293</v>
      </c>
      <c r="Q286">
        <f>Reference_Data!Q282-Dark!Q282</f>
        <v>10</v>
      </c>
      <c r="R286">
        <f>Sample_Data!O282-Dark!O282</f>
        <v>43</v>
      </c>
      <c r="S286">
        <f>Sample_Data!P282-Dark!P282</f>
        <v>225</v>
      </c>
      <c r="T286">
        <f>Sample_Data!Q282-Dark!Q282</f>
        <v>8</v>
      </c>
      <c r="U286">
        <f t="shared" si="37"/>
        <v>3249.21875</v>
      </c>
      <c r="V286">
        <f t="shared" si="41"/>
        <v>1.0238095238095237</v>
      </c>
      <c r="W286">
        <f t="shared" si="42"/>
        <v>0.76791808873720135</v>
      </c>
      <c r="X286">
        <f t="shared" si="43"/>
        <v>0.8</v>
      </c>
    </row>
    <row r="287" spans="1:24" x14ac:dyDescent="0.35">
      <c r="A287">
        <f t="shared" si="44"/>
        <v>8530</v>
      </c>
      <c r="C287">
        <f>Reference_Data!L283-Dark!L283</f>
        <v>3830</v>
      </c>
      <c r="D287">
        <f>Reference_Data!M283-Dark!M283</f>
        <v>1362</v>
      </c>
      <c r="E287">
        <f>Reference_Data!N283-Dark!N283</f>
        <v>46</v>
      </c>
      <c r="F287">
        <f>Sample_Data!L283-Dark!L283</f>
        <v>3830</v>
      </c>
      <c r="G287">
        <f>Sample_Data!M283-Dark!M283</f>
        <v>1158</v>
      </c>
      <c r="H287">
        <f>Sample_Data!N283-Dark!N283</f>
        <v>40</v>
      </c>
      <c r="I287">
        <f t="shared" si="36"/>
        <v>1788.9312500000001</v>
      </c>
      <c r="J287" s="3">
        <f t="shared" si="38"/>
        <v>1</v>
      </c>
      <c r="K287" s="3">
        <f t="shared" si="39"/>
        <v>0.85022026431718056</v>
      </c>
      <c r="L287" s="3">
        <f t="shared" si="40"/>
        <v>0.86956521739130432</v>
      </c>
      <c r="O287">
        <f>Reference_Data!O283-Dark!O283</f>
        <v>36</v>
      </c>
      <c r="P287">
        <f>Reference_Data!P283-Dark!P283</f>
        <v>277</v>
      </c>
      <c r="Q287">
        <f>Reference_Data!Q283-Dark!Q283</f>
        <v>8</v>
      </c>
      <c r="R287">
        <f>Sample_Data!O283-Dark!O283</f>
        <v>37</v>
      </c>
      <c r="S287">
        <f>Sample_Data!P283-Dark!P283</f>
        <v>211</v>
      </c>
      <c r="T287">
        <f>Sample_Data!Q283-Dark!Q283</f>
        <v>6</v>
      </c>
      <c r="U287">
        <f t="shared" si="37"/>
        <v>3255.921875</v>
      </c>
      <c r="V287">
        <f t="shared" si="41"/>
        <v>1.0277777777777777</v>
      </c>
      <c r="W287">
        <f t="shared" si="42"/>
        <v>0.76173285198555951</v>
      </c>
      <c r="X287">
        <f t="shared" si="43"/>
        <v>0.75</v>
      </c>
    </row>
    <row r="288" spans="1:24" x14ac:dyDescent="0.35">
      <c r="A288">
        <f t="shared" si="44"/>
        <v>8560</v>
      </c>
      <c r="C288">
        <f>Reference_Data!L284-Dark!L284</f>
        <v>3838</v>
      </c>
      <c r="D288">
        <f>Reference_Data!M284-Dark!M284</f>
        <v>1264</v>
      </c>
      <c r="E288">
        <f>Reference_Data!N284-Dark!N284</f>
        <v>43</v>
      </c>
      <c r="F288">
        <f>Sample_Data!L284-Dark!L284</f>
        <v>3836</v>
      </c>
      <c r="G288">
        <f>Sample_Data!M284-Dark!M284</f>
        <v>1077</v>
      </c>
      <c r="H288">
        <f>Sample_Data!N284-Dark!N284</f>
        <v>37</v>
      </c>
      <c r="I288">
        <f t="shared" si="36"/>
        <v>1792.55</v>
      </c>
      <c r="J288" s="3">
        <f t="shared" si="38"/>
        <v>0.99947889525794686</v>
      </c>
      <c r="K288" s="3">
        <f t="shared" si="39"/>
        <v>0.85205696202531644</v>
      </c>
      <c r="L288" s="3">
        <f t="shared" si="40"/>
        <v>0.86046511627906974</v>
      </c>
      <c r="O288">
        <f>Reference_Data!O284-Dark!O284</f>
        <v>34</v>
      </c>
      <c r="P288">
        <f>Reference_Data!P284-Dark!P284</f>
        <v>249</v>
      </c>
      <c r="Q288">
        <f>Reference_Data!Q284-Dark!Q284</f>
        <v>9</v>
      </c>
      <c r="R288">
        <f>Sample_Data!O284-Dark!O284</f>
        <v>33</v>
      </c>
      <c r="S288">
        <f>Sample_Data!P284-Dark!P284</f>
        <v>190</v>
      </c>
      <c r="T288">
        <f>Sample_Data!Q284-Dark!Q284</f>
        <v>7</v>
      </c>
      <c r="U288">
        <f t="shared" si="37"/>
        <v>3262.625</v>
      </c>
      <c r="V288">
        <f t="shared" si="41"/>
        <v>0.97058823529411764</v>
      </c>
      <c r="W288">
        <f t="shared" si="42"/>
        <v>0.76305220883534142</v>
      </c>
      <c r="X288">
        <f t="shared" si="43"/>
        <v>0.77777777777777779</v>
      </c>
    </row>
    <row r="289" spans="1:24" x14ac:dyDescent="0.35">
      <c r="A289">
        <f t="shared" si="44"/>
        <v>8590</v>
      </c>
      <c r="C289">
        <f>Reference_Data!L285-Dark!L285</f>
        <v>3838</v>
      </c>
      <c r="D289">
        <f>Reference_Data!M285-Dark!M285</f>
        <v>1054</v>
      </c>
      <c r="E289">
        <f>Reference_Data!N285-Dark!N285</f>
        <v>36</v>
      </c>
      <c r="F289">
        <f>Sample_Data!L285-Dark!L285</f>
        <v>3839</v>
      </c>
      <c r="G289">
        <f>Sample_Data!M285-Dark!M285</f>
        <v>902</v>
      </c>
      <c r="H289">
        <f>Sample_Data!N285-Dark!N285</f>
        <v>31</v>
      </c>
      <c r="I289">
        <f t="shared" si="36"/>
        <v>1796.16875</v>
      </c>
      <c r="J289" s="3">
        <f t="shared" si="38"/>
        <v>1.0002605523710266</v>
      </c>
      <c r="K289" s="3">
        <f t="shared" si="39"/>
        <v>0.85578747628083496</v>
      </c>
      <c r="L289" s="3">
        <f t="shared" si="40"/>
        <v>0.86111111111111116</v>
      </c>
      <c r="O289">
        <f>Reference_Data!O285-Dark!O285</f>
        <v>28</v>
      </c>
      <c r="P289">
        <f>Reference_Data!P285-Dark!P285</f>
        <v>217</v>
      </c>
      <c r="Q289">
        <f>Reference_Data!Q285-Dark!Q285</f>
        <v>6</v>
      </c>
      <c r="R289">
        <f>Sample_Data!O285-Dark!O285</f>
        <v>28</v>
      </c>
      <c r="S289">
        <f>Sample_Data!P285-Dark!P285</f>
        <v>168</v>
      </c>
      <c r="T289">
        <f>Sample_Data!Q285-Dark!Q285</f>
        <v>5</v>
      </c>
      <c r="U289">
        <f t="shared" si="37"/>
        <v>3269.328125</v>
      </c>
      <c r="V289">
        <f t="shared" si="41"/>
        <v>1</v>
      </c>
      <c r="W289">
        <f t="shared" si="42"/>
        <v>0.77419354838709675</v>
      </c>
      <c r="X289">
        <f t="shared" si="43"/>
        <v>0.83333333333333337</v>
      </c>
    </row>
    <row r="290" spans="1:24" x14ac:dyDescent="0.35">
      <c r="A290">
        <f t="shared" si="44"/>
        <v>8620</v>
      </c>
      <c r="C290">
        <f>Reference_Data!L286-Dark!L286</f>
        <v>3840</v>
      </c>
      <c r="D290">
        <f>Reference_Data!M286-Dark!M286</f>
        <v>797</v>
      </c>
      <c r="E290">
        <f>Reference_Data!N286-Dark!N286</f>
        <v>27</v>
      </c>
      <c r="F290">
        <f>Sample_Data!L286-Dark!L286</f>
        <v>3840</v>
      </c>
      <c r="G290">
        <f>Sample_Data!M286-Dark!M286</f>
        <v>689</v>
      </c>
      <c r="H290">
        <f>Sample_Data!N286-Dark!N286</f>
        <v>24</v>
      </c>
      <c r="I290">
        <f t="shared" si="36"/>
        <v>1799.7875000000001</v>
      </c>
      <c r="J290" s="3">
        <f t="shared" si="38"/>
        <v>1</v>
      </c>
      <c r="K290" s="3">
        <f t="shared" si="39"/>
        <v>0.86449184441656213</v>
      </c>
      <c r="L290" s="3">
        <f t="shared" si="40"/>
        <v>0.88888888888888884</v>
      </c>
      <c r="O290">
        <f>Reference_Data!O286-Dark!O286</f>
        <v>27</v>
      </c>
      <c r="P290">
        <f>Reference_Data!P286-Dark!P286</f>
        <v>193</v>
      </c>
      <c r="Q290">
        <f>Reference_Data!Q286-Dark!Q286</f>
        <v>6</v>
      </c>
      <c r="R290">
        <f>Sample_Data!O286-Dark!O286</f>
        <v>27</v>
      </c>
      <c r="S290">
        <f>Sample_Data!P286-Dark!P286</f>
        <v>151</v>
      </c>
      <c r="T290">
        <f>Sample_Data!Q286-Dark!Q286</f>
        <v>4</v>
      </c>
      <c r="U290">
        <f t="shared" si="37"/>
        <v>3276.03125</v>
      </c>
      <c r="V290">
        <f t="shared" si="41"/>
        <v>1</v>
      </c>
      <c r="W290">
        <f t="shared" si="42"/>
        <v>0.78238341968911918</v>
      </c>
      <c r="X290">
        <f t="shared" si="43"/>
        <v>0.66666666666666663</v>
      </c>
    </row>
    <row r="291" spans="1:24" x14ac:dyDescent="0.35">
      <c r="A291">
        <f t="shared" si="44"/>
        <v>8650</v>
      </c>
      <c r="C291">
        <f>Reference_Data!L287-Dark!L287</f>
        <v>3828</v>
      </c>
      <c r="D291">
        <f>Reference_Data!M287-Dark!M287</f>
        <v>549</v>
      </c>
      <c r="E291">
        <f>Reference_Data!N287-Dark!N287</f>
        <v>17</v>
      </c>
      <c r="F291">
        <f>Sample_Data!L287-Dark!L287</f>
        <v>3827</v>
      </c>
      <c r="G291">
        <f>Sample_Data!M287-Dark!M287</f>
        <v>480</v>
      </c>
      <c r="H291">
        <f>Sample_Data!N287-Dark!N287</f>
        <v>14</v>
      </c>
      <c r="I291">
        <f t="shared" si="36"/>
        <v>1803.40625</v>
      </c>
      <c r="J291" s="3">
        <f t="shared" si="38"/>
        <v>0.9997387669801463</v>
      </c>
      <c r="K291" s="3">
        <f t="shared" si="39"/>
        <v>0.87431693989071035</v>
      </c>
      <c r="L291" s="3">
        <f t="shared" si="40"/>
        <v>0.82352941176470584</v>
      </c>
      <c r="O291">
        <f>Reference_Data!O287-Dark!O287</f>
        <v>26</v>
      </c>
      <c r="P291">
        <f>Reference_Data!P287-Dark!P287</f>
        <v>175</v>
      </c>
      <c r="Q291">
        <f>Reference_Data!Q287-Dark!Q287</f>
        <v>5</v>
      </c>
      <c r="R291">
        <f>Sample_Data!O287-Dark!O287</f>
        <v>25</v>
      </c>
      <c r="S291">
        <f>Sample_Data!P287-Dark!P287</f>
        <v>136</v>
      </c>
      <c r="T291">
        <f>Sample_Data!Q287-Dark!Q287</f>
        <v>4</v>
      </c>
      <c r="U291">
        <f t="shared" si="37"/>
        <v>3282.734375</v>
      </c>
      <c r="V291">
        <f t="shared" si="41"/>
        <v>0.96153846153846156</v>
      </c>
      <c r="W291">
        <f t="shared" si="42"/>
        <v>0.77714285714285714</v>
      </c>
      <c r="X291">
        <f t="shared" si="43"/>
        <v>0.8</v>
      </c>
    </row>
    <row r="292" spans="1:24" x14ac:dyDescent="0.35">
      <c r="A292">
        <f t="shared" si="44"/>
        <v>8680</v>
      </c>
      <c r="C292">
        <f>Reference_Data!L288-Dark!L288</f>
        <v>3840</v>
      </c>
      <c r="D292">
        <f>Reference_Data!M288-Dark!M288</f>
        <v>394</v>
      </c>
      <c r="E292">
        <f>Reference_Data!N288-Dark!N288</f>
        <v>13</v>
      </c>
      <c r="F292">
        <f>Sample_Data!L288-Dark!L288</f>
        <v>3839</v>
      </c>
      <c r="G292">
        <f>Sample_Data!M288-Dark!M288</f>
        <v>352</v>
      </c>
      <c r="H292">
        <f>Sample_Data!N288-Dark!N288</f>
        <v>13</v>
      </c>
      <c r="I292">
        <f t="shared" si="36"/>
        <v>1807.0250000000001</v>
      </c>
      <c r="J292" s="3">
        <f t="shared" si="38"/>
        <v>0.99973958333333335</v>
      </c>
      <c r="K292" s="3">
        <f t="shared" si="39"/>
        <v>0.89340101522842641</v>
      </c>
      <c r="L292" s="3">
        <f t="shared" si="40"/>
        <v>1</v>
      </c>
      <c r="O292">
        <f>Reference_Data!O288-Dark!O288</f>
        <v>25</v>
      </c>
      <c r="P292">
        <f>Reference_Data!P288-Dark!P288</f>
        <v>165</v>
      </c>
      <c r="Q292">
        <f>Reference_Data!Q288-Dark!Q288</f>
        <v>5</v>
      </c>
      <c r="R292">
        <f>Sample_Data!O288-Dark!O288</f>
        <v>24</v>
      </c>
      <c r="S292">
        <f>Sample_Data!P288-Dark!P288</f>
        <v>130</v>
      </c>
      <c r="T292">
        <f>Sample_Data!Q288-Dark!Q288</f>
        <v>5</v>
      </c>
      <c r="U292">
        <f t="shared" si="37"/>
        <v>3289.4375</v>
      </c>
      <c r="V292">
        <f t="shared" si="41"/>
        <v>0.96</v>
      </c>
      <c r="W292">
        <f t="shared" si="42"/>
        <v>0.78787878787878785</v>
      </c>
      <c r="X292">
        <f t="shared" si="43"/>
        <v>1</v>
      </c>
    </row>
    <row r="293" spans="1:24" x14ac:dyDescent="0.35">
      <c r="A293">
        <f t="shared" si="44"/>
        <v>8710</v>
      </c>
      <c r="C293">
        <f>Reference_Data!L289-Dark!L289</f>
        <v>3835</v>
      </c>
      <c r="D293">
        <f>Reference_Data!M289-Dark!M289</f>
        <v>330</v>
      </c>
      <c r="E293">
        <f>Reference_Data!N289-Dark!N289</f>
        <v>11</v>
      </c>
      <c r="F293">
        <f>Sample_Data!L289-Dark!L289</f>
        <v>3837</v>
      </c>
      <c r="G293">
        <f>Sample_Data!M289-Dark!M289</f>
        <v>296</v>
      </c>
      <c r="H293">
        <f>Sample_Data!N289-Dark!N289</f>
        <v>10</v>
      </c>
      <c r="I293">
        <f t="shared" si="36"/>
        <v>1810.64375</v>
      </c>
      <c r="J293" s="3">
        <f t="shared" si="38"/>
        <v>1.0005215123859192</v>
      </c>
      <c r="K293" s="3">
        <f t="shared" si="39"/>
        <v>0.89696969696969697</v>
      </c>
      <c r="L293" s="3">
        <f t="shared" si="40"/>
        <v>0.90909090909090906</v>
      </c>
      <c r="O293">
        <f>Reference_Data!O289-Dark!O289</f>
        <v>24</v>
      </c>
      <c r="P293">
        <f>Reference_Data!P289-Dark!P289</f>
        <v>160</v>
      </c>
      <c r="Q293">
        <f>Reference_Data!Q289-Dark!Q289</f>
        <v>6</v>
      </c>
      <c r="R293">
        <f>Sample_Data!O289-Dark!O289</f>
        <v>25</v>
      </c>
      <c r="S293">
        <f>Sample_Data!P289-Dark!P289</f>
        <v>128</v>
      </c>
      <c r="T293">
        <f>Sample_Data!Q289-Dark!Q289</f>
        <v>4</v>
      </c>
      <c r="U293">
        <f t="shared" si="37"/>
        <v>3296.140625</v>
      </c>
      <c r="V293">
        <f t="shared" si="41"/>
        <v>1.0416666666666667</v>
      </c>
      <c r="W293">
        <f t="shared" si="42"/>
        <v>0.8</v>
      </c>
      <c r="X293">
        <f t="shared" si="43"/>
        <v>0.66666666666666663</v>
      </c>
    </row>
    <row r="294" spans="1:24" x14ac:dyDescent="0.35">
      <c r="A294">
        <f t="shared" si="44"/>
        <v>8740</v>
      </c>
      <c r="C294">
        <f>Reference_Data!L290-Dark!L290</f>
        <v>0</v>
      </c>
      <c r="D294">
        <f>Reference_Data!M290-Dark!M290</f>
        <v>0</v>
      </c>
      <c r="E294">
        <f>Reference_Data!N290-Dark!N290</f>
        <v>0</v>
      </c>
      <c r="F294">
        <f>Sample_Data!L290-Dark!L290</f>
        <v>0</v>
      </c>
      <c r="G294">
        <f>Sample_Data!M290-Dark!M290</f>
        <v>0</v>
      </c>
      <c r="H294">
        <f>Sample_Data!N290-Dark!N290</f>
        <v>0</v>
      </c>
      <c r="I294">
        <f t="shared" si="36"/>
        <v>1814.2625</v>
      </c>
      <c r="J294" s="3" t="e">
        <f t="shared" si="38"/>
        <v>#DIV/0!</v>
      </c>
      <c r="K294" s="3" t="e">
        <f t="shared" si="39"/>
        <v>#DIV/0!</v>
      </c>
      <c r="L294" s="3" t="e">
        <f t="shared" si="40"/>
        <v>#DIV/0!</v>
      </c>
      <c r="O294">
        <f>Reference_Data!O290-Dark!O290</f>
        <v>0</v>
      </c>
      <c r="P294">
        <f>Reference_Data!P290-Dark!P290</f>
        <v>0</v>
      </c>
      <c r="Q294">
        <f>Reference_Data!Q290-Dark!Q290</f>
        <v>0</v>
      </c>
      <c r="R294">
        <f>Sample_Data!O290-Dark!O290</f>
        <v>0</v>
      </c>
      <c r="S294">
        <f>Sample_Data!P290-Dark!P290</f>
        <v>0</v>
      </c>
      <c r="T294">
        <f>Sample_Data!Q290-Dark!Q290</f>
        <v>0</v>
      </c>
      <c r="U294">
        <f t="shared" si="37"/>
        <v>3302.84375</v>
      </c>
      <c r="V294" t="e">
        <f t="shared" si="41"/>
        <v>#DIV/0!</v>
      </c>
      <c r="W294" t="e">
        <f t="shared" si="42"/>
        <v>#DIV/0!</v>
      </c>
      <c r="X294" t="e">
        <f t="shared" si="43"/>
        <v>#DIV/0!</v>
      </c>
    </row>
    <row r="295" spans="1:24" x14ac:dyDescent="0.35">
      <c r="A295">
        <f t="shared" si="44"/>
        <v>8770</v>
      </c>
      <c r="C295">
        <f>Reference_Data!L291-Dark!L291</f>
        <v>0</v>
      </c>
      <c r="D295">
        <f>Reference_Data!M291-Dark!M291</f>
        <v>0</v>
      </c>
      <c r="E295">
        <f>Reference_Data!N291-Dark!N291</f>
        <v>0</v>
      </c>
      <c r="F295">
        <f>Sample_Data!L291-Dark!L291</f>
        <v>0</v>
      </c>
      <c r="G295">
        <f>Sample_Data!M291-Dark!M291</f>
        <v>0</v>
      </c>
      <c r="H295">
        <f>Sample_Data!N291-Dark!N291</f>
        <v>0</v>
      </c>
      <c r="I295">
        <f t="shared" si="36"/>
        <v>1817.8812500000001</v>
      </c>
      <c r="J295" s="3" t="e">
        <f t="shared" si="38"/>
        <v>#DIV/0!</v>
      </c>
      <c r="K295" s="3" t="e">
        <f t="shared" si="39"/>
        <v>#DIV/0!</v>
      </c>
      <c r="L295" s="3" t="e">
        <f t="shared" si="40"/>
        <v>#DIV/0!</v>
      </c>
      <c r="O295">
        <f>Reference_Data!O291-Dark!O291</f>
        <v>0</v>
      </c>
      <c r="P295">
        <f>Reference_Data!P291-Dark!P291</f>
        <v>0</v>
      </c>
      <c r="Q295">
        <f>Reference_Data!Q291-Dark!Q291</f>
        <v>0</v>
      </c>
      <c r="R295">
        <f>Sample_Data!O291-Dark!O291</f>
        <v>0</v>
      </c>
      <c r="S295">
        <f>Sample_Data!P291-Dark!P291</f>
        <v>0</v>
      </c>
      <c r="T295">
        <f>Sample_Data!Q291-Dark!Q291</f>
        <v>0</v>
      </c>
      <c r="U295">
        <f t="shared" si="37"/>
        <v>3309.546875</v>
      </c>
      <c r="V295" t="e">
        <f t="shared" si="41"/>
        <v>#DIV/0!</v>
      </c>
      <c r="W295" t="e">
        <f t="shared" si="42"/>
        <v>#DIV/0!</v>
      </c>
      <c r="X295" t="e">
        <f t="shared" si="43"/>
        <v>#DIV/0!</v>
      </c>
    </row>
    <row r="296" spans="1:24" x14ac:dyDescent="0.35">
      <c r="A296">
        <f t="shared" si="44"/>
        <v>8800</v>
      </c>
      <c r="C296">
        <f>Reference_Data!L292-Dark!L292</f>
        <v>0</v>
      </c>
      <c r="D296">
        <f>Reference_Data!M292-Dark!M292</f>
        <v>0</v>
      </c>
      <c r="E296">
        <f>Reference_Data!N292-Dark!N292</f>
        <v>0</v>
      </c>
      <c r="F296">
        <f>Sample_Data!L292-Dark!L292</f>
        <v>0</v>
      </c>
      <c r="G296">
        <f>Sample_Data!M292-Dark!M292</f>
        <v>0</v>
      </c>
      <c r="H296">
        <f>Sample_Data!N292-Dark!N292</f>
        <v>0</v>
      </c>
      <c r="I296">
        <f t="shared" si="36"/>
        <v>1821.5</v>
      </c>
      <c r="J296" s="3" t="e">
        <f t="shared" si="38"/>
        <v>#DIV/0!</v>
      </c>
      <c r="K296" s="3" t="e">
        <f t="shared" si="39"/>
        <v>#DIV/0!</v>
      </c>
      <c r="L296" s="3" t="e">
        <f t="shared" si="40"/>
        <v>#DIV/0!</v>
      </c>
      <c r="O296">
        <f>Reference_Data!O292-Dark!O292</f>
        <v>0</v>
      </c>
      <c r="P296">
        <f>Reference_Data!P292-Dark!P292</f>
        <v>0</v>
      </c>
      <c r="Q296">
        <f>Reference_Data!Q292-Dark!Q292</f>
        <v>0</v>
      </c>
      <c r="R296">
        <f>Sample_Data!O292-Dark!O292</f>
        <v>0</v>
      </c>
      <c r="S296">
        <f>Sample_Data!P292-Dark!P292</f>
        <v>0</v>
      </c>
      <c r="T296">
        <f>Sample_Data!Q292-Dark!Q292</f>
        <v>0</v>
      </c>
      <c r="U296">
        <f t="shared" si="37"/>
        <v>3316.25</v>
      </c>
      <c r="V296" t="e">
        <f t="shared" si="41"/>
        <v>#DIV/0!</v>
      </c>
      <c r="W296" t="e">
        <f t="shared" si="42"/>
        <v>#DIV/0!</v>
      </c>
      <c r="X296" t="e">
        <f t="shared" si="43"/>
        <v>#DIV/0!</v>
      </c>
    </row>
    <row r="297" spans="1:24" x14ac:dyDescent="0.35">
      <c r="A297">
        <f t="shared" si="44"/>
        <v>8830</v>
      </c>
      <c r="C297">
        <f>Reference_Data!L293-Dark!L293</f>
        <v>0</v>
      </c>
      <c r="D297">
        <f>Reference_Data!M293-Dark!M293</f>
        <v>0</v>
      </c>
      <c r="E297">
        <f>Reference_Data!N293-Dark!N293</f>
        <v>0</v>
      </c>
      <c r="F297">
        <f>Sample_Data!L293-Dark!L293</f>
        <v>0</v>
      </c>
      <c r="G297">
        <f>Sample_Data!M293-Dark!M293</f>
        <v>0</v>
      </c>
      <c r="H297">
        <f>Sample_Data!N293-Dark!N293</f>
        <v>0</v>
      </c>
      <c r="I297">
        <f t="shared" si="36"/>
        <v>1825.1187500000001</v>
      </c>
      <c r="J297" s="3" t="e">
        <f t="shared" si="38"/>
        <v>#DIV/0!</v>
      </c>
      <c r="K297" s="3" t="e">
        <f t="shared" si="39"/>
        <v>#DIV/0!</v>
      </c>
      <c r="L297" s="3" t="e">
        <f t="shared" si="40"/>
        <v>#DIV/0!</v>
      </c>
      <c r="O297">
        <f>Reference_Data!O293-Dark!O293</f>
        <v>0</v>
      </c>
      <c r="P297">
        <f>Reference_Data!P293-Dark!P293</f>
        <v>0</v>
      </c>
      <c r="Q297">
        <f>Reference_Data!Q293-Dark!Q293</f>
        <v>0</v>
      </c>
      <c r="R297">
        <f>Sample_Data!O293-Dark!O293</f>
        <v>0</v>
      </c>
      <c r="S297">
        <f>Sample_Data!P293-Dark!P293</f>
        <v>0</v>
      </c>
      <c r="T297">
        <f>Sample_Data!Q293-Dark!Q293</f>
        <v>0</v>
      </c>
      <c r="U297">
        <f t="shared" si="37"/>
        <v>3322.953125</v>
      </c>
      <c r="V297" t="e">
        <f t="shared" si="41"/>
        <v>#DIV/0!</v>
      </c>
      <c r="W297" t="e">
        <f t="shared" si="42"/>
        <v>#DIV/0!</v>
      </c>
      <c r="X297" t="e">
        <f t="shared" si="43"/>
        <v>#DIV/0!</v>
      </c>
    </row>
    <row r="298" spans="1:24" x14ac:dyDescent="0.35">
      <c r="A298">
        <f t="shared" si="44"/>
        <v>8860</v>
      </c>
      <c r="C298">
        <f>Reference_Data!L294-Dark!L294</f>
        <v>0</v>
      </c>
      <c r="D298">
        <f>Reference_Data!M294-Dark!M294</f>
        <v>0</v>
      </c>
      <c r="E298">
        <f>Reference_Data!N294-Dark!N294</f>
        <v>0</v>
      </c>
      <c r="F298">
        <f>Sample_Data!L294-Dark!L294</f>
        <v>0</v>
      </c>
      <c r="G298">
        <f>Sample_Data!M294-Dark!M294</f>
        <v>0</v>
      </c>
      <c r="H298">
        <f>Sample_Data!N294-Dark!N294</f>
        <v>0</v>
      </c>
      <c r="I298">
        <f t="shared" si="36"/>
        <v>1828.7375</v>
      </c>
      <c r="J298" s="3" t="e">
        <f t="shared" si="38"/>
        <v>#DIV/0!</v>
      </c>
      <c r="K298" s="3" t="e">
        <f t="shared" si="39"/>
        <v>#DIV/0!</v>
      </c>
      <c r="L298" s="3" t="e">
        <f t="shared" si="40"/>
        <v>#DIV/0!</v>
      </c>
      <c r="O298">
        <f>Reference_Data!O294-Dark!O294</f>
        <v>0</v>
      </c>
      <c r="P298">
        <f>Reference_Data!P294-Dark!P294</f>
        <v>0</v>
      </c>
      <c r="Q298">
        <f>Reference_Data!Q294-Dark!Q294</f>
        <v>0</v>
      </c>
      <c r="R298">
        <f>Sample_Data!O294-Dark!O294</f>
        <v>0</v>
      </c>
      <c r="S298">
        <f>Sample_Data!P294-Dark!P294</f>
        <v>0</v>
      </c>
      <c r="T298">
        <f>Sample_Data!Q294-Dark!Q294</f>
        <v>0</v>
      </c>
      <c r="U298">
        <f t="shared" si="37"/>
        <v>3329.65625</v>
      </c>
      <c r="V298" t="e">
        <f t="shared" si="41"/>
        <v>#DIV/0!</v>
      </c>
      <c r="W298" t="e">
        <f t="shared" si="42"/>
        <v>#DIV/0!</v>
      </c>
      <c r="X298" t="e">
        <f t="shared" si="43"/>
        <v>#DIV/0!</v>
      </c>
    </row>
    <row r="299" spans="1:24" x14ac:dyDescent="0.35">
      <c r="A299">
        <f t="shared" si="44"/>
        <v>8890</v>
      </c>
      <c r="C299">
        <f>Reference_Data!L295-Dark!L295</f>
        <v>0</v>
      </c>
      <c r="D299">
        <f>Reference_Data!M295-Dark!M295</f>
        <v>0</v>
      </c>
      <c r="E299">
        <f>Reference_Data!N295-Dark!N295</f>
        <v>0</v>
      </c>
      <c r="F299">
        <f>Sample_Data!L295-Dark!L295</f>
        <v>0</v>
      </c>
      <c r="G299">
        <f>Sample_Data!M295-Dark!M295</f>
        <v>0</v>
      </c>
      <c r="H299">
        <f>Sample_Data!N295-Dark!N295</f>
        <v>0</v>
      </c>
      <c r="I299">
        <f t="shared" si="36"/>
        <v>1832.35625</v>
      </c>
      <c r="J299" s="3" t="e">
        <f t="shared" si="38"/>
        <v>#DIV/0!</v>
      </c>
      <c r="K299" s="3" t="e">
        <f t="shared" si="39"/>
        <v>#DIV/0!</v>
      </c>
      <c r="L299" s="3" t="e">
        <f t="shared" si="40"/>
        <v>#DIV/0!</v>
      </c>
      <c r="O299">
        <f>Reference_Data!O295-Dark!O295</f>
        <v>0</v>
      </c>
      <c r="P299">
        <f>Reference_Data!P295-Dark!P295</f>
        <v>0</v>
      </c>
      <c r="Q299">
        <f>Reference_Data!Q295-Dark!Q295</f>
        <v>0</v>
      </c>
      <c r="R299">
        <f>Sample_Data!O295-Dark!O295</f>
        <v>0</v>
      </c>
      <c r="S299">
        <f>Sample_Data!P295-Dark!P295</f>
        <v>0</v>
      </c>
      <c r="T299">
        <f>Sample_Data!Q295-Dark!Q295</f>
        <v>0</v>
      </c>
      <c r="U299">
        <f t="shared" si="37"/>
        <v>3336.359375</v>
      </c>
      <c r="V299" t="e">
        <f t="shared" si="41"/>
        <v>#DIV/0!</v>
      </c>
      <c r="W299" t="e">
        <f t="shared" si="42"/>
        <v>#DIV/0!</v>
      </c>
      <c r="X299" t="e">
        <f t="shared" si="43"/>
        <v>#DIV/0!</v>
      </c>
    </row>
    <row r="300" spans="1:24" x14ac:dyDescent="0.35">
      <c r="A300">
        <f t="shared" si="44"/>
        <v>8920</v>
      </c>
      <c r="C300">
        <f>Reference_Data!L296-Dark!L296</f>
        <v>0</v>
      </c>
      <c r="D300">
        <f>Reference_Data!M296-Dark!M296</f>
        <v>0</v>
      </c>
      <c r="E300">
        <f>Reference_Data!N296-Dark!N296</f>
        <v>0</v>
      </c>
      <c r="F300">
        <f>Sample_Data!L296-Dark!L296</f>
        <v>0</v>
      </c>
      <c r="G300">
        <f>Sample_Data!M296-Dark!M296</f>
        <v>0</v>
      </c>
      <c r="H300">
        <f>Sample_Data!N296-Dark!N296</f>
        <v>0</v>
      </c>
      <c r="I300">
        <f t="shared" si="36"/>
        <v>1835.9750000000001</v>
      </c>
      <c r="J300" s="3" t="e">
        <f t="shared" si="38"/>
        <v>#DIV/0!</v>
      </c>
      <c r="K300" s="3" t="e">
        <f t="shared" si="39"/>
        <v>#DIV/0!</v>
      </c>
      <c r="L300" s="3" t="e">
        <f t="shared" si="40"/>
        <v>#DIV/0!</v>
      </c>
      <c r="O300">
        <f>Reference_Data!O296-Dark!O296</f>
        <v>0</v>
      </c>
      <c r="P300">
        <f>Reference_Data!P296-Dark!P296</f>
        <v>0</v>
      </c>
      <c r="Q300">
        <f>Reference_Data!Q296-Dark!Q296</f>
        <v>0</v>
      </c>
      <c r="R300">
        <f>Sample_Data!O296-Dark!O296</f>
        <v>0</v>
      </c>
      <c r="S300">
        <f>Sample_Data!P296-Dark!P296</f>
        <v>0</v>
      </c>
      <c r="T300">
        <f>Sample_Data!Q296-Dark!Q296</f>
        <v>0</v>
      </c>
      <c r="U300">
        <f t="shared" si="37"/>
        <v>3343.0625</v>
      </c>
      <c r="V300" t="e">
        <f t="shared" si="41"/>
        <v>#DIV/0!</v>
      </c>
      <c r="W300" t="e">
        <f t="shared" si="42"/>
        <v>#DIV/0!</v>
      </c>
      <c r="X300" t="e">
        <f t="shared" si="43"/>
        <v>#DIV/0!</v>
      </c>
    </row>
    <row r="301" spans="1:24" x14ac:dyDescent="0.35">
      <c r="A301">
        <f t="shared" si="44"/>
        <v>8950</v>
      </c>
      <c r="C301">
        <f>Reference_Data!L297-Dark!L297</f>
        <v>0</v>
      </c>
      <c r="D301">
        <f>Reference_Data!M297-Dark!M297</f>
        <v>0</v>
      </c>
      <c r="E301">
        <f>Reference_Data!N297-Dark!N297</f>
        <v>0</v>
      </c>
      <c r="F301">
        <f>Sample_Data!L297-Dark!L297</f>
        <v>0</v>
      </c>
      <c r="G301">
        <f>Sample_Data!M297-Dark!M297</f>
        <v>0</v>
      </c>
      <c r="H301">
        <f>Sample_Data!N297-Dark!N297</f>
        <v>0</v>
      </c>
      <c r="I301">
        <f t="shared" si="36"/>
        <v>1839.59375</v>
      </c>
      <c r="J301" s="3" t="e">
        <f t="shared" si="38"/>
        <v>#DIV/0!</v>
      </c>
      <c r="K301" s="3" t="e">
        <f t="shared" si="39"/>
        <v>#DIV/0!</v>
      </c>
      <c r="L301" s="3" t="e">
        <f t="shared" si="40"/>
        <v>#DIV/0!</v>
      </c>
      <c r="O301">
        <f>Reference_Data!O297-Dark!O297</f>
        <v>0</v>
      </c>
      <c r="P301">
        <f>Reference_Data!P297-Dark!P297</f>
        <v>0</v>
      </c>
      <c r="Q301">
        <f>Reference_Data!Q297-Dark!Q297</f>
        <v>0</v>
      </c>
      <c r="R301">
        <f>Sample_Data!O297-Dark!O297</f>
        <v>0</v>
      </c>
      <c r="S301">
        <f>Sample_Data!P297-Dark!P297</f>
        <v>0</v>
      </c>
      <c r="T301">
        <f>Sample_Data!Q297-Dark!Q297</f>
        <v>0</v>
      </c>
      <c r="U301">
        <f t="shared" si="37"/>
        <v>3349.765625</v>
      </c>
      <c r="V301" t="e">
        <f t="shared" si="41"/>
        <v>#DIV/0!</v>
      </c>
      <c r="W301" t="e">
        <f t="shared" si="42"/>
        <v>#DIV/0!</v>
      </c>
      <c r="X301" t="e">
        <f t="shared" si="43"/>
        <v>#DIV/0!</v>
      </c>
    </row>
    <row r="302" spans="1:24" x14ac:dyDescent="0.35">
      <c r="A302">
        <f t="shared" si="44"/>
        <v>8980</v>
      </c>
      <c r="C302">
        <f>Reference_Data!L298-Dark!L298</f>
        <v>0</v>
      </c>
      <c r="D302">
        <f>Reference_Data!M298-Dark!M298</f>
        <v>0</v>
      </c>
      <c r="E302">
        <f>Reference_Data!N298-Dark!N298</f>
        <v>0</v>
      </c>
      <c r="F302">
        <f>Sample_Data!L298-Dark!L298</f>
        <v>0</v>
      </c>
      <c r="G302">
        <f>Sample_Data!M298-Dark!M298</f>
        <v>0</v>
      </c>
      <c r="H302">
        <f>Sample_Data!N298-Dark!N298</f>
        <v>0</v>
      </c>
      <c r="I302">
        <f t="shared" si="36"/>
        <v>1843.2125000000001</v>
      </c>
      <c r="J302" s="3" t="e">
        <f t="shared" si="38"/>
        <v>#DIV/0!</v>
      </c>
      <c r="K302" s="3" t="e">
        <f t="shared" si="39"/>
        <v>#DIV/0!</v>
      </c>
      <c r="L302" s="3" t="e">
        <f t="shared" si="40"/>
        <v>#DIV/0!</v>
      </c>
      <c r="O302">
        <f>Reference_Data!O298-Dark!O298</f>
        <v>0</v>
      </c>
      <c r="P302">
        <f>Reference_Data!P298-Dark!P298</f>
        <v>0</v>
      </c>
      <c r="Q302">
        <f>Reference_Data!Q298-Dark!Q298</f>
        <v>0</v>
      </c>
      <c r="R302">
        <f>Sample_Data!O298-Dark!O298</f>
        <v>0</v>
      </c>
      <c r="S302">
        <f>Sample_Data!P298-Dark!P298</f>
        <v>0</v>
      </c>
      <c r="T302">
        <f>Sample_Data!Q298-Dark!Q298</f>
        <v>0</v>
      </c>
      <c r="U302">
        <f t="shared" si="37"/>
        <v>3356.46875</v>
      </c>
      <c r="V302" t="e">
        <f t="shared" si="41"/>
        <v>#DIV/0!</v>
      </c>
      <c r="W302" t="e">
        <f t="shared" si="42"/>
        <v>#DIV/0!</v>
      </c>
      <c r="X302" t="e">
        <f t="shared" si="43"/>
        <v>#DIV/0!</v>
      </c>
    </row>
    <row r="303" spans="1:24" x14ac:dyDescent="0.35">
      <c r="A303">
        <f t="shared" si="44"/>
        <v>9010</v>
      </c>
      <c r="C303">
        <f>Reference_Data!L299-Dark!L299</f>
        <v>0</v>
      </c>
      <c r="D303">
        <f>Reference_Data!M299-Dark!M299</f>
        <v>0</v>
      </c>
      <c r="E303">
        <f>Reference_Data!N299-Dark!N299</f>
        <v>0</v>
      </c>
      <c r="F303">
        <f>Sample_Data!L299-Dark!L299</f>
        <v>0</v>
      </c>
      <c r="G303">
        <f>Sample_Data!M299-Dark!M299</f>
        <v>0</v>
      </c>
      <c r="H303">
        <f>Sample_Data!N299-Dark!N299</f>
        <v>0</v>
      </c>
      <c r="I303">
        <f t="shared" si="36"/>
        <v>1846.83125</v>
      </c>
      <c r="J303" s="3" t="e">
        <f t="shared" si="38"/>
        <v>#DIV/0!</v>
      </c>
      <c r="K303" s="3" t="e">
        <f t="shared" si="39"/>
        <v>#DIV/0!</v>
      </c>
      <c r="L303" s="3" t="e">
        <f t="shared" si="40"/>
        <v>#DIV/0!</v>
      </c>
      <c r="O303">
        <f>Reference_Data!O299-Dark!O299</f>
        <v>0</v>
      </c>
      <c r="P303">
        <f>Reference_Data!P299-Dark!P299</f>
        <v>0</v>
      </c>
      <c r="Q303">
        <f>Reference_Data!Q299-Dark!Q299</f>
        <v>0</v>
      </c>
      <c r="R303">
        <f>Sample_Data!O299-Dark!O299</f>
        <v>0</v>
      </c>
      <c r="S303">
        <f>Sample_Data!P299-Dark!P299</f>
        <v>0</v>
      </c>
      <c r="T303">
        <f>Sample_Data!Q299-Dark!Q299</f>
        <v>0</v>
      </c>
      <c r="U303">
        <f t="shared" si="37"/>
        <v>3363.171875</v>
      </c>
      <c r="V303" t="e">
        <f t="shared" si="41"/>
        <v>#DIV/0!</v>
      </c>
      <c r="W303" t="e">
        <f t="shared" si="42"/>
        <v>#DIV/0!</v>
      </c>
      <c r="X303" t="e">
        <f t="shared" si="43"/>
        <v>#DIV/0!</v>
      </c>
    </row>
    <row r="304" spans="1:24" x14ac:dyDescent="0.35">
      <c r="A304">
        <f t="shared" si="44"/>
        <v>9040</v>
      </c>
      <c r="C304">
        <f>Reference_Data!L300-Dark!L300</f>
        <v>0</v>
      </c>
      <c r="D304">
        <f>Reference_Data!M300-Dark!M300</f>
        <v>0</v>
      </c>
      <c r="E304">
        <f>Reference_Data!N300-Dark!N300</f>
        <v>0</v>
      </c>
      <c r="F304">
        <f>Sample_Data!L300-Dark!L300</f>
        <v>0</v>
      </c>
      <c r="G304">
        <f>Sample_Data!M300-Dark!M300</f>
        <v>0</v>
      </c>
      <c r="H304">
        <f>Sample_Data!N300-Dark!N300</f>
        <v>0</v>
      </c>
      <c r="I304">
        <f t="shared" si="36"/>
        <v>1850.45</v>
      </c>
      <c r="J304" s="3" t="e">
        <f t="shared" si="38"/>
        <v>#DIV/0!</v>
      </c>
      <c r="K304" s="3" t="e">
        <f t="shared" si="39"/>
        <v>#DIV/0!</v>
      </c>
      <c r="L304" s="3" t="e">
        <f t="shared" si="40"/>
        <v>#DIV/0!</v>
      </c>
      <c r="O304">
        <f>Reference_Data!O300-Dark!O300</f>
        <v>0</v>
      </c>
      <c r="P304">
        <f>Reference_Data!P300-Dark!P300</f>
        <v>0</v>
      </c>
      <c r="Q304">
        <f>Reference_Data!Q300-Dark!Q300</f>
        <v>0</v>
      </c>
      <c r="R304">
        <f>Sample_Data!O300-Dark!O300</f>
        <v>0</v>
      </c>
      <c r="S304">
        <f>Sample_Data!P300-Dark!P300</f>
        <v>0</v>
      </c>
      <c r="T304">
        <f>Sample_Data!Q300-Dark!Q300</f>
        <v>0</v>
      </c>
      <c r="U304">
        <f t="shared" si="37"/>
        <v>3369.875</v>
      </c>
      <c r="V304" t="e">
        <f t="shared" si="41"/>
        <v>#DIV/0!</v>
      </c>
      <c r="W304" t="e">
        <f t="shared" si="42"/>
        <v>#DIV/0!</v>
      </c>
      <c r="X304" t="e">
        <f t="shared" si="43"/>
        <v>#DIV/0!</v>
      </c>
    </row>
    <row r="305" spans="1:24" x14ac:dyDescent="0.35">
      <c r="A305">
        <f t="shared" si="44"/>
        <v>9070</v>
      </c>
      <c r="C305">
        <f>Reference_Data!L301-Dark!L301</f>
        <v>0</v>
      </c>
      <c r="D305">
        <f>Reference_Data!M301-Dark!M301</f>
        <v>0</v>
      </c>
      <c r="E305">
        <f>Reference_Data!N301-Dark!N301</f>
        <v>0</v>
      </c>
      <c r="F305">
        <f>Sample_Data!L301-Dark!L301</f>
        <v>0</v>
      </c>
      <c r="G305">
        <f>Sample_Data!M301-Dark!M301</f>
        <v>0</v>
      </c>
      <c r="H305">
        <f>Sample_Data!N301-Dark!N301</f>
        <v>0</v>
      </c>
      <c r="I305">
        <f t="shared" si="36"/>
        <v>1854.0687500000001</v>
      </c>
      <c r="J305" s="3" t="e">
        <f t="shared" si="38"/>
        <v>#DIV/0!</v>
      </c>
      <c r="K305" s="3" t="e">
        <f t="shared" si="39"/>
        <v>#DIV/0!</v>
      </c>
      <c r="L305" s="3" t="e">
        <f t="shared" si="40"/>
        <v>#DIV/0!</v>
      </c>
      <c r="O305">
        <f>Reference_Data!O301-Dark!O301</f>
        <v>0</v>
      </c>
      <c r="P305">
        <f>Reference_Data!P301-Dark!P301</f>
        <v>0</v>
      </c>
      <c r="Q305">
        <f>Reference_Data!Q301-Dark!Q301</f>
        <v>0</v>
      </c>
      <c r="R305">
        <f>Sample_Data!O301-Dark!O301</f>
        <v>0</v>
      </c>
      <c r="S305">
        <f>Sample_Data!P301-Dark!P301</f>
        <v>0</v>
      </c>
      <c r="T305">
        <f>Sample_Data!Q301-Dark!Q301</f>
        <v>0</v>
      </c>
      <c r="U305">
        <f t="shared" si="37"/>
        <v>3376.578125</v>
      </c>
      <c r="V305" t="e">
        <f t="shared" si="41"/>
        <v>#DIV/0!</v>
      </c>
      <c r="W305" t="e">
        <f t="shared" si="42"/>
        <v>#DIV/0!</v>
      </c>
      <c r="X305" t="e">
        <f t="shared" si="43"/>
        <v>#DIV/0!</v>
      </c>
    </row>
    <row r="306" spans="1:24" x14ac:dyDescent="0.35">
      <c r="A306">
        <f t="shared" si="44"/>
        <v>9100</v>
      </c>
      <c r="C306">
        <f>Reference_Data!L302-Dark!L302</f>
        <v>0</v>
      </c>
      <c r="D306">
        <f>Reference_Data!M302-Dark!M302</f>
        <v>0</v>
      </c>
      <c r="E306">
        <f>Reference_Data!N302-Dark!N302</f>
        <v>0</v>
      </c>
      <c r="F306">
        <f>Sample_Data!L302-Dark!L302</f>
        <v>0</v>
      </c>
      <c r="G306">
        <f>Sample_Data!M302-Dark!M302</f>
        <v>0</v>
      </c>
      <c r="H306">
        <f>Sample_Data!N302-Dark!N302</f>
        <v>0</v>
      </c>
      <c r="I306">
        <f t="shared" si="36"/>
        <v>1857.6875</v>
      </c>
      <c r="J306" s="3" t="e">
        <f t="shared" si="38"/>
        <v>#DIV/0!</v>
      </c>
      <c r="K306" s="3" t="e">
        <f t="shared" si="39"/>
        <v>#DIV/0!</v>
      </c>
      <c r="L306" s="3" t="e">
        <f t="shared" si="40"/>
        <v>#DIV/0!</v>
      </c>
      <c r="O306">
        <f>Reference_Data!O302-Dark!O302</f>
        <v>0</v>
      </c>
      <c r="P306">
        <f>Reference_Data!P302-Dark!P302</f>
        <v>0</v>
      </c>
      <c r="Q306">
        <f>Reference_Data!Q302-Dark!Q302</f>
        <v>0</v>
      </c>
      <c r="R306">
        <f>Sample_Data!O302-Dark!O302</f>
        <v>0</v>
      </c>
      <c r="S306">
        <f>Sample_Data!P302-Dark!P302</f>
        <v>0</v>
      </c>
      <c r="T306">
        <f>Sample_Data!Q302-Dark!Q302</f>
        <v>0</v>
      </c>
      <c r="U306">
        <f t="shared" si="37"/>
        <v>3383.28125</v>
      </c>
      <c r="V306" t="e">
        <f t="shared" si="41"/>
        <v>#DIV/0!</v>
      </c>
      <c r="W306" t="e">
        <f t="shared" si="42"/>
        <v>#DIV/0!</v>
      </c>
      <c r="X306" t="e">
        <f t="shared" si="43"/>
        <v>#DIV/0!</v>
      </c>
    </row>
    <row r="307" spans="1:24" x14ac:dyDescent="0.35">
      <c r="A307">
        <f t="shared" si="44"/>
        <v>9130</v>
      </c>
      <c r="C307">
        <f>Reference_Data!L303-Dark!L303</f>
        <v>0</v>
      </c>
      <c r="D307">
        <f>Reference_Data!M303-Dark!M303</f>
        <v>0</v>
      </c>
      <c r="E307">
        <f>Reference_Data!N303-Dark!N303</f>
        <v>0</v>
      </c>
      <c r="F307">
        <f>Sample_Data!L303-Dark!L303</f>
        <v>0</v>
      </c>
      <c r="G307">
        <f>Sample_Data!M303-Dark!M303</f>
        <v>0</v>
      </c>
      <c r="H307">
        <f>Sample_Data!N303-Dark!N303</f>
        <v>0</v>
      </c>
      <c r="I307">
        <f t="shared" si="36"/>
        <v>1861.3062500000001</v>
      </c>
      <c r="J307" s="3" t="e">
        <f t="shared" si="38"/>
        <v>#DIV/0!</v>
      </c>
      <c r="K307" s="3" t="e">
        <f t="shared" si="39"/>
        <v>#DIV/0!</v>
      </c>
      <c r="L307" s="3" t="e">
        <f t="shared" si="40"/>
        <v>#DIV/0!</v>
      </c>
      <c r="O307">
        <f>Reference_Data!O303-Dark!O303</f>
        <v>0</v>
      </c>
      <c r="P307">
        <f>Reference_Data!P303-Dark!P303</f>
        <v>0</v>
      </c>
      <c r="Q307">
        <f>Reference_Data!Q303-Dark!Q303</f>
        <v>0</v>
      </c>
      <c r="R307">
        <f>Sample_Data!O303-Dark!O303</f>
        <v>0</v>
      </c>
      <c r="S307">
        <f>Sample_Data!P303-Dark!P303</f>
        <v>0</v>
      </c>
      <c r="T307">
        <f>Sample_Data!Q303-Dark!Q303</f>
        <v>0</v>
      </c>
      <c r="U307">
        <f t="shared" si="37"/>
        <v>3389.984375</v>
      </c>
      <c r="V307" t="e">
        <f t="shared" si="41"/>
        <v>#DIV/0!</v>
      </c>
      <c r="W307" t="e">
        <f t="shared" si="42"/>
        <v>#DIV/0!</v>
      </c>
      <c r="X307" t="e">
        <f t="shared" si="43"/>
        <v>#DIV/0!</v>
      </c>
    </row>
    <row r="308" spans="1:24" x14ac:dyDescent="0.35">
      <c r="A308">
        <f t="shared" si="44"/>
        <v>9160</v>
      </c>
      <c r="C308">
        <f>Reference_Data!L304-Dark!L304</f>
        <v>0</v>
      </c>
      <c r="D308">
        <f>Reference_Data!M304-Dark!M304</f>
        <v>0</v>
      </c>
      <c r="E308">
        <f>Reference_Data!N304-Dark!N304</f>
        <v>0</v>
      </c>
      <c r="F308">
        <f>Sample_Data!L304-Dark!L304</f>
        <v>0</v>
      </c>
      <c r="G308">
        <f>Sample_Data!M304-Dark!M304</f>
        <v>0</v>
      </c>
      <c r="H308">
        <f>Sample_Data!N304-Dark!N304</f>
        <v>0</v>
      </c>
      <c r="I308">
        <f t="shared" si="36"/>
        <v>1864.925</v>
      </c>
      <c r="J308" s="3" t="e">
        <f t="shared" si="38"/>
        <v>#DIV/0!</v>
      </c>
      <c r="K308" s="3" t="e">
        <f t="shared" si="39"/>
        <v>#DIV/0!</v>
      </c>
      <c r="L308" s="3" t="e">
        <f t="shared" si="40"/>
        <v>#DIV/0!</v>
      </c>
      <c r="O308">
        <f>Reference_Data!O304-Dark!O304</f>
        <v>0</v>
      </c>
      <c r="P308">
        <f>Reference_Data!P304-Dark!P304</f>
        <v>0</v>
      </c>
      <c r="Q308">
        <f>Reference_Data!Q304-Dark!Q304</f>
        <v>0</v>
      </c>
      <c r="R308">
        <f>Sample_Data!O304-Dark!O304</f>
        <v>0</v>
      </c>
      <c r="S308">
        <f>Sample_Data!P304-Dark!P304</f>
        <v>0</v>
      </c>
      <c r="T308">
        <f>Sample_Data!Q304-Dark!Q304</f>
        <v>0</v>
      </c>
      <c r="U308">
        <f t="shared" si="37"/>
        <v>3396.6875</v>
      </c>
      <c r="V308" t="e">
        <f t="shared" si="41"/>
        <v>#DIV/0!</v>
      </c>
      <c r="W308" t="e">
        <f t="shared" si="42"/>
        <v>#DIV/0!</v>
      </c>
      <c r="X308" t="e">
        <f t="shared" si="43"/>
        <v>#DIV/0!</v>
      </c>
    </row>
    <row r="309" spans="1:24" x14ac:dyDescent="0.35">
      <c r="A309">
        <f t="shared" si="44"/>
        <v>9190</v>
      </c>
      <c r="C309">
        <f>Reference_Data!L305-Dark!L305</f>
        <v>0</v>
      </c>
      <c r="D309">
        <f>Reference_Data!M305-Dark!M305</f>
        <v>0</v>
      </c>
      <c r="E309">
        <f>Reference_Data!N305-Dark!N305</f>
        <v>0</v>
      </c>
      <c r="F309">
        <f>Sample_Data!L305-Dark!L305</f>
        <v>0</v>
      </c>
      <c r="G309">
        <f>Sample_Data!M305-Dark!M305</f>
        <v>0</v>
      </c>
      <c r="H309">
        <f>Sample_Data!N305-Dark!N305</f>
        <v>0</v>
      </c>
      <c r="I309">
        <f t="shared" si="36"/>
        <v>1868.54375</v>
      </c>
      <c r="J309" s="3" t="e">
        <f t="shared" si="38"/>
        <v>#DIV/0!</v>
      </c>
      <c r="K309" s="3" t="e">
        <f t="shared" si="39"/>
        <v>#DIV/0!</v>
      </c>
      <c r="L309" s="3" t="e">
        <f t="shared" si="40"/>
        <v>#DIV/0!</v>
      </c>
      <c r="O309">
        <f>Reference_Data!O305-Dark!O305</f>
        <v>0</v>
      </c>
      <c r="P309">
        <f>Reference_Data!P305-Dark!P305</f>
        <v>0</v>
      </c>
      <c r="Q309">
        <f>Reference_Data!Q305-Dark!Q305</f>
        <v>0</v>
      </c>
      <c r="R309">
        <f>Sample_Data!O305-Dark!O305</f>
        <v>0</v>
      </c>
      <c r="S309">
        <f>Sample_Data!P305-Dark!P305</f>
        <v>0</v>
      </c>
      <c r="T309">
        <f>Sample_Data!Q305-Dark!Q305</f>
        <v>0</v>
      </c>
      <c r="U309">
        <f t="shared" si="37"/>
        <v>3403.390625</v>
      </c>
      <c r="V309" t="e">
        <f t="shared" si="41"/>
        <v>#DIV/0!</v>
      </c>
      <c r="W309" t="e">
        <f t="shared" si="42"/>
        <v>#DIV/0!</v>
      </c>
      <c r="X309" t="e">
        <f t="shared" si="43"/>
        <v>#DIV/0!</v>
      </c>
    </row>
    <row r="310" spans="1:24" x14ac:dyDescent="0.35">
      <c r="A310">
        <f t="shared" si="44"/>
        <v>9220</v>
      </c>
      <c r="C310">
        <f>Reference_Data!L306-Dark!L306</f>
        <v>0</v>
      </c>
      <c r="D310">
        <f>Reference_Data!M306-Dark!M306</f>
        <v>0</v>
      </c>
      <c r="E310">
        <f>Reference_Data!N306-Dark!N306</f>
        <v>0</v>
      </c>
      <c r="F310">
        <f>Sample_Data!L306-Dark!L306</f>
        <v>0</v>
      </c>
      <c r="G310">
        <f>Sample_Data!M306-Dark!M306</f>
        <v>0</v>
      </c>
      <c r="H310">
        <f>Sample_Data!N306-Dark!N306</f>
        <v>0</v>
      </c>
      <c r="I310">
        <f t="shared" si="36"/>
        <v>1872.1625000000001</v>
      </c>
      <c r="J310" s="3" t="e">
        <f t="shared" si="38"/>
        <v>#DIV/0!</v>
      </c>
      <c r="K310" s="3" t="e">
        <f t="shared" si="39"/>
        <v>#DIV/0!</v>
      </c>
      <c r="L310" s="3" t="e">
        <f t="shared" si="40"/>
        <v>#DIV/0!</v>
      </c>
      <c r="O310">
        <f>Reference_Data!O306-Dark!O306</f>
        <v>0</v>
      </c>
      <c r="P310">
        <f>Reference_Data!P306-Dark!P306</f>
        <v>0</v>
      </c>
      <c r="Q310">
        <f>Reference_Data!Q306-Dark!Q306</f>
        <v>0</v>
      </c>
      <c r="R310">
        <f>Sample_Data!O306-Dark!O306</f>
        <v>0</v>
      </c>
      <c r="S310">
        <f>Sample_Data!P306-Dark!P306</f>
        <v>0</v>
      </c>
      <c r="T310">
        <f>Sample_Data!Q306-Dark!Q306</f>
        <v>0</v>
      </c>
      <c r="U310">
        <f t="shared" si="37"/>
        <v>3410.09375</v>
      </c>
      <c r="V310" t="e">
        <f t="shared" si="41"/>
        <v>#DIV/0!</v>
      </c>
      <c r="W310" t="e">
        <f t="shared" si="42"/>
        <v>#DIV/0!</v>
      </c>
      <c r="X310" t="e">
        <f t="shared" si="43"/>
        <v>#DIV/0!</v>
      </c>
    </row>
    <row r="311" spans="1:24" x14ac:dyDescent="0.35">
      <c r="A311">
        <f t="shared" si="44"/>
        <v>9250</v>
      </c>
      <c r="C311">
        <f>Reference_Data!L307-Dark!L307</f>
        <v>0</v>
      </c>
      <c r="D311">
        <f>Reference_Data!M307-Dark!M307</f>
        <v>0</v>
      </c>
      <c r="E311">
        <f>Reference_Data!N307-Dark!N307</f>
        <v>0</v>
      </c>
      <c r="F311">
        <f>Sample_Data!L307-Dark!L307</f>
        <v>0</v>
      </c>
      <c r="G311">
        <f>Sample_Data!M307-Dark!M307</f>
        <v>0</v>
      </c>
      <c r="H311">
        <f>Sample_Data!N307-Dark!N307</f>
        <v>0</v>
      </c>
      <c r="I311">
        <f t="shared" si="36"/>
        <v>1875.78125</v>
      </c>
      <c r="J311" s="3" t="e">
        <f t="shared" si="38"/>
        <v>#DIV/0!</v>
      </c>
      <c r="K311" s="3" t="e">
        <f t="shared" si="39"/>
        <v>#DIV/0!</v>
      </c>
      <c r="L311" s="3" t="e">
        <f t="shared" si="40"/>
        <v>#DIV/0!</v>
      </c>
      <c r="O311">
        <f>Reference_Data!O307-Dark!O307</f>
        <v>0</v>
      </c>
      <c r="P311">
        <f>Reference_Data!P307-Dark!P307</f>
        <v>0</v>
      </c>
      <c r="Q311">
        <f>Reference_Data!Q307-Dark!Q307</f>
        <v>0</v>
      </c>
      <c r="R311">
        <f>Sample_Data!O307-Dark!O307</f>
        <v>0</v>
      </c>
      <c r="S311">
        <f>Sample_Data!P307-Dark!P307</f>
        <v>0</v>
      </c>
      <c r="T311">
        <f>Sample_Data!Q307-Dark!Q307</f>
        <v>0</v>
      </c>
      <c r="U311">
        <f t="shared" si="37"/>
        <v>3416.796875</v>
      </c>
      <c r="V311" t="e">
        <f t="shared" si="41"/>
        <v>#DIV/0!</v>
      </c>
      <c r="W311" t="e">
        <f t="shared" si="42"/>
        <v>#DIV/0!</v>
      </c>
      <c r="X311" t="e">
        <f t="shared" si="43"/>
        <v>#DIV/0!</v>
      </c>
    </row>
    <row r="312" spans="1:24" x14ac:dyDescent="0.35">
      <c r="A312">
        <f t="shared" si="44"/>
        <v>9280</v>
      </c>
      <c r="C312">
        <f>Reference_Data!L308-Dark!L308</f>
        <v>0</v>
      </c>
      <c r="D312">
        <f>Reference_Data!M308-Dark!M308</f>
        <v>0</v>
      </c>
      <c r="E312">
        <f>Reference_Data!N308-Dark!N308</f>
        <v>0</v>
      </c>
      <c r="F312">
        <f>Sample_Data!L308-Dark!L308</f>
        <v>0</v>
      </c>
      <c r="G312">
        <f>Sample_Data!M308-Dark!M308</f>
        <v>0</v>
      </c>
      <c r="H312">
        <f>Sample_Data!N308-Dark!N308</f>
        <v>0</v>
      </c>
      <c r="I312">
        <f t="shared" si="36"/>
        <v>1879.4</v>
      </c>
      <c r="J312" s="3" t="e">
        <f t="shared" si="38"/>
        <v>#DIV/0!</v>
      </c>
      <c r="K312" s="3" t="e">
        <f t="shared" si="39"/>
        <v>#DIV/0!</v>
      </c>
      <c r="L312" s="3" t="e">
        <f t="shared" si="40"/>
        <v>#DIV/0!</v>
      </c>
      <c r="O312">
        <f>Reference_Data!O308-Dark!O308</f>
        <v>0</v>
      </c>
      <c r="P312">
        <f>Reference_Data!P308-Dark!P308</f>
        <v>0</v>
      </c>
      <c r="Q312">
        <f>Reference_Data!Q308-Dark!Q308</f>
        <v>0</v>
      </c>
      <c r="R312">
        <f>Sample_Data!O308-Dark!O308</f>
        <v>0</v>
      </c>
      <c r="S312">
        <f>Sample_Data!P308-Dark!P308</f>
        <v>0</v>
      </c>
      <c r="T312">
        <f>Sample_Data!Q308-Dark!Q308</f>
        <v>0</v>
      </c>
      <c r="U312">
        <f t="shared" si="37"/>
        <v>3423.5</v>
      </c>
      <c r="V312" t="e">
        <f t="shared" si="41"/>
        <v>#DIV/0!</v>
      </c>
      <c r="W312" t="e">
        <f t="shared" si="42"/>
        <v>#DIV/0!</v>
      </c>
      <c r="X312" t="e">
        <f t="shared" si="43"/>
        <v>#DIV/0!</v>
      </c>
    </row>
    <row r="313" spans="1:24" x14ac:dyDescent="0.35">
      <c r="A313">
        <f t="shared" si="44"/>
        <v>9310</v>
      </c>
      <c r="C313">
        <f>Reference_Data!L309-Dark!L309</f>
        <v>0</v>
      </c>
      <c r="D313">
        <f>Reference_Data!M309-Dark!M309</f>
        <v>0</v>
      </c>
      <c r="E313">
        <f>Reference_Data!N309-Dark!N309</f>
        <v>0</v>
      </c>
      <c r="F313">
        <f>Sample_Data!L309-Dark!L309</f>
        <v>0</v>
      </c>
      <c r="G313">
        <f>Sample_Data!M309-Dark!M309</f>
        <v>0</v>
      </c>
      <c r="H313">
        <f>Sample_Data!N309-Dark!N309</f>
        <v>0</v>
      </c>
      <c r="I313">
        <f t="shared" si="36"/>
        <v>1883.01875</v>
      </c>
      <c r="J313" s="3" t="e">
        <f t="shared" si="38"/>
        <v>#DIV/0!</v>
      </c>
      <c r="K313" s="3" t="e">
        <f t="shared" si="39"/>
        <v>#DIV/0!</v>
      </c>
      <c r="L313" s="3" t="e">
        <f t="shared" si="40"/>
        <v>#DIV/0!</v>
      </c>
      <c r="O313">
        <f>Reference_Data!O309-Dark!O309</f>
        <v>0</v>
      </c>
      <c r="P313">
        <f>Reference_Data!P309-Dark!P309</f>
        <v>0</v>
      </c>
      <c r="Q313">
        <f>Reference_Data!Q309-Dark!Q309</f>
        <v>0</v>
      </c>
      <c r="R313">
        <f>Sample_Data!O309-Dark!O309</f>
        <v>0</v>
      </c>
      <c r="S313">
        <f>Sample_Data!P309-Dark!P309</f>
        <v>0</v>
      </c>
      <c r="T313">
        <f>Sample_Data!Q309-Dark!Q309</f>
        <v>0</v>
      </c>
      <c r="U313">
        <f t="shared" si="37"/>
        <v>3430.203125</v>
      </c>
      <c r="V313" t="e">
        <f t="shared" si="41"/>
        <v>#DIV/0!</v>
      </c>
      <c r="W313" t="e">
        <f t="shared" si="42"/>
        <v>#DIV/0!</v>
      </c>
      <c r="X313" t="e">
        <f t="shared" si="43"/>
        <v>#DIV/0!</v>
      </c>
    </row>
    <row r="314" spans="1:24" x14ac:dyDescent="0.35">
      <c r="A314">
        <f t="shared" si="44"/>
        <v>9340</v>
      </c>
      <c r="C314">
        <f>Reference_Data!L310-Dark!L310</f>
        <v>0</v>
      </c>
      <c r="D314">
        <f>Reference_Data!M310-Dark!M310</f>
        <v>0</v>
      </c>
      <c r="E314">
        <f>Reference_Data!N310-Dark!N310</f>
        <v>0</v>
      </c>
      <c r="F314">
        <f>Sample_Data!L310-Dark!L310</f>
        <v>0</v>
      </c>
      <c r="G314">
        <f>Sample_Data!M310-Dark!M310</f>
        <v>0</v>
      </c>
      <c r="H314">
        <f>Sample_Data!N310-Dark!N310</f>
        <v>0</v>
      </c>
      <c r="I314">
        <f t="shared" si="36"/>
        <v>1886.6375</v>
      </c>
      <c r="J314" s="3" t="e">
        <f t="shared" si="38"/>
        <v>#DIV/0!</v>
      </c>
      <c r="K314" s="3" t="e">
        <f t="shared" si="39"/>
        <v>#DIV/0!</v>
      </c>
      <c r="L314" s="3" t="e">
        <f t="shared" si="40"/>
        <v>#DIV/0!</v>
      </c>
      <c r="O314">
        <f>Reference_Data!O310-Dark!O310</f>
        <v>0</v>
      </c>
      <c r="P314">
        <f>Reference_Data!P310-Dark!P310</f>
        <v>0</v>
      </c>
      <c r="Q314">
        <f>Reference_Data!Q310-Dark!Q310</f>
        <v>0</v>
      </c>
      <c r="R314">
        <f>Sample_Data!O310-Dark!O310</f>
        <v>0</v>
      </c>
      <c r="S314">
        <f>Sample_Data!P310-Dark!P310</f>
        <v>0</v>
      </c>
      <c r="T314">
        <f>Sample_Data!Q310-Dark!Q310</f>
        <v>0</v>
      </c>
      <c r="U314">
        <f t="shared" si="37"/>
        <v>3436.90625</v>
      </c>
      <c r="V314" t="e">
        <f t="shared" si="41"/>
        <v>#DIV/0!</v>
      </c>
      <c r="W314" t="e">
        <f t="shared" si="42"/>
        <v>#DIV/0!</v>
      </c>
      <c r="X314" t="e">
        <f t="shared" si="43"/>
        <v>#DIV/0!</v>
      </c>
    </row>
    <row r="315" spans="1:24" x14ac:dyDescent="0.35">
      <c r="A315">
        <f t="shared" si="44"/>
        <v>9370</v>
      </c>
      <c r="C315">
        <f>Reference_Data!L311-Dark!L311</f>
        <v>0</v>
      </c>
      <c r="D315">
        <f>Reference_Data!M311-Dark!M311</f>
        <v>0</v>
      </c>
      <c r="E315">
        <f>Reference_Data!N311-Dark!N311</f>
        <v>0</v>
      </c>
      <c r="F315">
        <f>Sample_Data!L311-Dark!L311</f>
        <v>0</v>
      </c>
      <c r="G315">
        <f>Sample_Data!M311-Dark!M311</f>
        <v>0</v>
      </c>
      <c r="H315">
        <f>Sample_Data!N311-Dark!N311</f>
        <v>0</v>
      </c>
      <c r="I315">
        <f t="shared" si="36"/>
        <v>1890.2562500000001</v>
      </c>
      <c r="J315" s="3" t="e">
        <f t="shared" si="38"/>
        <v>#DIV/0!</v>
      </c>
      <c r="K315" s="3" t="e">
        <f t="shared" si="39"/>
        <v>#DIV/0!</v>
      </c>
      <c r="L315" s="3" t="e">
        <f t="shared" si="40"/>
        <v>#DIV/0!</v>
      </c>
      <c r="O315">
        <f>Reference_Data!O311-Dark!O311</f>
        <v>0</v>
      </c>
      <c r="P315">
        <f>Reference_Data!P311-Dark!P311</f>
        <v>0</v>
      </c>
      <c r="Q315">
        <f>Reference_Data!Q311-Dark!Q311</f>
        <v>0</v>
      </c>
      <c r="R315">
        <f>Sample_Data!O311-Dark!O311</f>
        <v>0</v>
      </c>
      <c r="S315">
        <f>Sample_Data!P311-Dark!P311</f>
        <v>0</v>
      </c>
      <c r="T315">
        <f>Sample_Data!Q311-Dark!Q311</f>
        <v>0</v>
      </c>
      <c r="U315">
        <f t="shared" si="37"/>
        <v>3443.609375</v>
      </c>
      <c r="V315" t="e">
        <f t="shared" si="41"/>
        <v>#DIV/0!</v>
      </c>
      <c r="W315" t="e">
        <f t="shared" si="42"/>
        <v>#DIV/0!</v>
      </c>
      <c r="X315" t="e">
        <f t="shared" si="43"/>
        <v>#DIV/0!</v>
      </c>
    </row>
    <row r="316" spans="1:24" x14ac:dyDescent="0.35">
      <c r="A316">
        <f t="shared" si="44"/>
        <v>9400</v>
      </c>
      <c r="C316">
        <f>Reference_Data!L312-Dark!L312</f>
        <v>0</v>
      </c>
      <c r="D316">
        <f>Reference_Data!M312-Dark!M312</f>
        <v>0</v>
      </c>
      <c r="E316">
        <f>Reference_Data!N312-Dark!N312</f>
        <v>0</v>
      </c>
      <c r="F316">
        <f>Sample_Data!L312-Dark!L312</f>
        <v>0</v>
      </c>
      <c r="G316">
        <f>Sample_Data!M312-Dark!M312</f>
        <v>0</v>
      </c>
      <c r="H316">
        <f>Sample_Data!N312-Dark!N312</f>
        <v>0</v>
      </c>
      <c r="I316">
        <f t="shared" si="36"/>
        <v>1893.875</v>
      </c>
      <c r="J316" s="3" t="e">
        <f t="shared" si="38"/>
        <v>#DIV/0!</v>
      </c>
      <c r="K316" s="3" t="e">
        <f t="shared" si="39"/>
        <v>#DIV/0!</v>
      </c>
      <c r="L316" s="3" t="e">
        <f t="shared" si="40"/>
        <v>#DIV/0!</v>
      </c>
      <c r="O316">
        <f>Reference_Data!O312-Dark!O312</f>
        <v>0</v>
      </c>
      <c r="P316">
        <f>Reference_Data!P312-Dark!P312</f>
        <v>0</v>
      </c>
      <c r="Q316">
        <f>Reference_Data!Q312-Dark!Q312</f>
        <v>0</v>
      </c>
      <c r="R316">
        <f>Sample_Data!O312-Dark!O312</f>
        <v>0</v>
      </c>
      <c r="S316">
        <f>Sample_Data!P312-Dark!P312</f>
        <v>0</v>
      </c>
      <c r="T316">
        <f>Sample_Data!Q312-Dark!Q312</f>
        <v>0</v>
      </c>
      <c r="U316">
        <f t="shared" si="37"/>
        <v>3450.3125</v>
      </c>
      <c r="V316" t="e">
        <f t="shared" si="41"/>
        <v>#DIV/0!</v>
      </c>
      <c r="W316" t="e">
        <f t="shared" si="42"/>
        <v>#DIV/0!</v>
      </c>
      <c r="X316" t="e">
        <f t="shared" si="43"/>
        <v>#DIV/0!</v>
      </c>
    </row>
    <row r="317" spans="1:24" x14ac:dyDescent="0.35">
      <c r="A317">
        <f t="shared" si="44"/>
        <v>9430</v>
      </c>
      <c r="C317">
        <f>Reference_Data!L313-Dark!L313</f>
        <v>0</v>
      </c>
      <c r="D317">
        <f>Reference_Data!M313-Dark!M313</f>
        <v>0</v>
      </c>
      <c r="E317">
        <f>Reference_Data!N313-Dark!N313</f>
        <v>0</v>
      </c>
      <c r="F317">
        <f>Sample_Data!L313-Dark!L313</f>
        <v>0</v>
      </c>
      <c r="G317">
        <f>Sample_Data!M313-Dark!M313</f>
        <v>0</v>
      </c>
      <c r="H317">
        <f>Sample_Data!N313-Dark!N313</f>
        <v>0</v>
      </c>
      <c r="I317">
        <f t="shared" si="36"/>
        <v>1897.4937500000001</v>
      </c>
      <c r="J317" s="3" t="e">
        <f t="shared" si="38"/>
        <v>#DIV/0!</v>
      </c>
      <c r="K317" s="3" t="e">
        <f t="shared" si="39"/>
        <v>#DIV/0!</v>
      </c>
      <c r="L317" s="3" t="e">
        <f t="shared" si="40"/>
        <v>#DIV/0!</v>
      </c>
      <c r="O317">
        <f>Reference_Data!O313-Dark!O313</f>
        <v>0</v>
      </c>
      <c r="P317">
        <f>Reference_Data!P313-Dark!P313</f>
        <v>0</v>
      </c>
      <c r="Q317">
        <f>Reference_Data!Q313-Dark!Q313</f>
        <v>0</v>
      </c>
      <c r="R317">
        <f>Sample_Data!O313-Dark!O313</f>
        <v>0</v>
      </c>
      <c r="S317">
        <f>Sample_Data!P313-Dark!P313</f>
        <v>0</v>
      </c>
      <c r="T317">
        <f>Sample_Data!Q313-Dark!Q313</f>
        <v>0</v>
      </c>
      <c r="U317">
        <f t="shared" si="37"/>
        <v>3457.015625</v>
      </c>
      <c r="V317" t="e">
        <f t="shared" si="41"/>
        <v>#DIV/0!</v>
      </c>
      <c r="W317" t="e">
        <f t="shared" si="42"/>
        <v>#DIV/0!</v>
      </c>
      <c r="X317" t="e">
        <f t="shared" si="43"/>
        <v>#DIV/0!</v>
      </c>
    </row>
    <row r="318" spans="1:24" x14ac:dyDescent="0.35">
      <c r="A318">
        <f t="shared" si="44"/>
        <v>9460</v>
      </c>
      <c r="C318">
        <f>Reference_Data!L314-Dark!L314</f>
        <v>0</v>
      </c>
      <c r="D318">
        <f>Reference_Data!M314-Dark!M314</f>
        <v>0</v>
      </c>
      <c r="E318">
        <f>Reference_Data!N314-Dark!N314</f>
        <v>0</v>
      </c>
      <c r="F318">
        <f>Sample_Data!L314-Dark!L314</f>
        <v>0</v>
      </c>
      <c r="G318">
        <f>Sample_Data!M314-Dark!M314</f>
        <v>0</v>
      </c>
      <c r="H318">
        <f>Sample_Data!N314-Dark!N314</f>
        <v>0</v>
      </c>
      <c r="I318">
        <f t="shared" si="36"/>
        <v>1901.1125</v>
      </c>
      <c r="J318" s="3" t="e">
        <f t="shared" si="38"/>
        <v>#DIV/0!</v>
      </c>
      <c r="K318" s="3" t="e">
        <f t="shared" si="39"/>
        <v>#DIV/0!</v>
      </c>
      <c r="L318" s="3" t="e">
        <f t="shared" si="40"/>
        <v>#DIV/0!</v>
      </c>
      <c r="O318">
        <f>Reference_Data!O314-Dark!O314</f>
        <v>0</v>
      </c>
      <c r="P318">
        <f>Reference_Data!P314-Dark!P314</f>
        <v>0</v>
      </c>
      <c r="Q318">
        <f>Reference_Data!Q314-Dark!Q314</f>
        <v>0</v>
      </c>
      <c r="R318">
        <f>Sample_Data!O314-Dark!O314</f>
        <v>0</v>
      </c>
      <c r="S318">
        <f>Sample_Data!P314-Dark!P314</f>
        <v>0</v>
      </c>
      <c r="T318">
        <f>Sample_Data!Q314-Dark!Q314</f>
        <v>0</v>
      </c>
      <c r="U318">
        <f t="shared" si="37"/>
        <v>3463.71875</v>
      </c>
      <c r="V318" t="e">
        <f t="shared" si="41"/>
        <v>#DIV/0!</v>
      </c>
      <c r="W318" t="e">
        <f t="shared" si="42"/>
        <v>#DIV/0!</v>
      </c>
      <c r="X318" t="e">
        <f t="shared" si="43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72E2-7E37-4C96-B203-AB6B91B62B22}">
  <dimension ref="A1:F2420"/>
  <sheetViews>
    <sheetView workbookViewId="0">
      <selection activeCell="G149" sqref="G149"/>
    </sheetView>
  </sheetViews>
  <sheetFormatPr defaultRowHeight="14.5" x14ac:dyDescent="0.35"/>
  <sheetData>
    <row r="1" spans="1:1" x14ac:dyDescent="0.35">
      <c r="A1" t="s">
        <v>33</v>
      </c>
    </row>
    <row r="2" spans="1:1" x14ac:dyDescent="0.35">
      <c r="A2" t="s">
        <v>34</v>
      </c>
    </row>
    <row r="3" spans="1:1" x14ac:dyDescent="0.35">
      <c r="A3" t="s">
        <v>35</v>
      </c>
    </row>
    <row r="4" spans="1:1" x14ac:dyDescent="0.35">
      <c r="A4" t="s">
        <v>36</v>
      </c>
    </row>
    <row r="5" spans="1:1" x14ac:dyDescent="0.35">
      <c r="A5" t="s">
        <v>37</v>
      </c>
    </row>
    <row r="6" spans="1:1" x14ac:dyDescent="0.35">
      <c r="A6" t="s">
        <v>38</v>
      </c>
    </row>
    <row r="7" spans="1:1" x14ac:dyDescent="0.35">
      <c r="A7" t="s">
        <v>39</v>
      </c>
    </row>
    <row r="8" spans="1:1" x14ac:dyDescent="0.35">
      <c r="A8" t="s">
        <v>40</v>
      </c>
    </row>
    <row r="9" spans="1:1" x14ac:dyDescent="0.35">
      <c r="A9" t="s">
        <v>41</v>
      </c>
    </row>
    <row r="10" spans="1:1" x14ac:dyDescent="0.35">
      <c r="A10" t="s">
        <v>42</v>
      </c>
    </row>
    <row r="11" spans="1:1" x14ac:dyDescent="0.35">
      <c r="A11" t="s">
        <v>43</v>
      </c>
    </row>
    <row r="13" spans="1:1" x14ac:dyDescent="0.35">
      <c r="A13" t="s">
        <v>44</v>
      </c>
    </row>
    <row r="14" spans="1:1" x14ac:dyDescent="0.35">
      <c r="A14" t="s">
        <v>45</v>
      </c>
    </row>
    <row r="15" spans="1:1" x14ac:dyDescent="0.35">
      <c r="A15" t="s">
        <v>46</v>
      </c>
    </row>
    <row r="16" spans="1:1" x14ac:dyDescent="0.35">
      <c r="A16" t="s">
        <v>47</v>
      </c>
    </row>
    <row r="17" spans="1:6" x14ac:dyDescent="0.35">
      <c r="A17" t="s">
        <v>48</v>
      </c>
    </row>
    <row r="18" spans="1:6" x14ac:dyDescent="0.35">
      <c r="A18" t="s">
        <v>49</v>
      </c>
    </row>
    <row r="19" spans="1:6" x14ac:dyDescent="0.35">
      <c r="A19" t="s">
        <v>50</v>
      </c>
    </row>
    <row r="20" spans="1:6" x14ac:dyDescent="0.35">
      <c r="A20" t="s">
        <v>51</v>
      </c>
    </row>
    <row r="21" spans="1:6" x14ac:dyDescent="0.35">
      <c r="A21" t="s">
        <v>52</v>
      </c>
    </row>
    <row r="22" spans="1:6" x14ac:dyDescent="0.35">
      <c r="A22" t="s">
        <v>53</v>
      </c>
    </row>
    <row r="23" spans="1:6" x14ac:dyDescent="0.35">
      <c r="A23" t="s">
        <v>54</v>
      </c>
    </row>
    <row r="24" spans="1:6" x14ac:dyDescent="0.35">
      <c r="A24" t="s">
        <v>55</v>
      </c>
    </row>
    <row r="25" spans="1:6" x14ac:dyDescent="0.35">
      <c r="A25" t="s">
        <v>56</v>
      </c>
    </row>
    <row r="26" spans="1:6" x14ac:dyDescent="0.35">
      <c r="A26" t="s">
        <v>57</v>
      </c>
    </row>
    <row r="27" spans="1:6" x14ac:dyDescent="0.35">
      <c r="A27" t="s">
        <v>58</v>
      </c>
      <c r="B27" t="s">
        <v>59</v>
      </c>
      <c r="C27" t="s">
        <v>60</v>
      </c>
      <c r="D27" t="s">
        <v>61</v>
      </c>
      <c r="E27" t="s">
        <v>62</v>
      </c>
      <c r="F27" t="s">
        <v>63</v>
      </c>
    </row>
    <row r="28" spans="1:6" x14ac:dyDescent="0.35">
      <c r="A28" t="s">
        <v>64</v>
      </c>
      <c r="B28" t="s">
        <v>62</v>
      </c>
      <c r="C28" t="s">
        <v>65</v>
      </c>
    </row>
    <row r="30" spans="1:6" x14ac:dyDescent="0.35">
      <c r="A30" t="s">
        <v>66</v>
      </c>
    </row>
    <row r="31" spans="1:6" x14ac:dyDescent="0.35">
      <c r="A31" t="s">
        <v>67</v>
      </c>
    </row>
    <row r="32" spans="1:6" x14ac:dyDescent="0.35">
      <c r="A32" t="s">
        <v>68</v>
      </c>
    </row>
    <row r="33" spans="1:1" x14ac:dyDescent="0.35">
      <c r="A33" t="s">
        <v>69</v>
      </c>
    </row>
    <row r="34" spans="1:1" x14ac:dyDescent="0.35">
      <c r="A34" t="s">
        <v>70</v>
      </c>
    </row>
    <row r="35" spans="1:1" x14ac:dyDescent="0.35">
      <c r="A35" t="s">
        <v>71</v>
      </c>
    </row>
    <row r="36" spans="1:1" x14ac:dyDescent="0.35">
      <c r="A36" t="s">
        <v>72</v>
      </c>
    </row>
    <row r="37" spans="1:1" x14ac:dyDescent="0.35">
      <c r="A37" t="s">
        <v>73</v>
      </c>
    </row>
    <row r="38" spans="1:1" x14ac:dyDescent="0.35">
      <c r="A38" t="s">
        <v>74</v>
      </c>
    </row>
    <row r="39" spans="1:1" x14ac:dyDescent="0.35">
      <c r="A39" t="s">
        <v>75</v>
      </c>
    </row>
    <row r="41" spans="1:1" x14ac:dyDescent="0.35">
      <c r="A41" t="s">
        <v>76</v>
      </c>
    </row>
    <row r="42" spans="1:1" x14ac:dyDescent="0.35">
      <c r="A42" t="s">
        <v>77</v>
      </c>
    </row>
    <row r="43" spans="1:1" x14ac:dyDescent="0.35">
      <c r="A43" t="s">
        <v>78</v>
      </c>
    </row>
    <row r="44" spans="1:1" x14ac:dyDescent="0.35">
      <c r="A44" t="s">
        <v>79</v>
      </c>
    </row>
    <row r="45" spans="1:1" x14ac:dyDescent="0.35">
      <c r="A45" t="s">
        <v>80</v>
      </c>
    </row>
    <row r="46" spans="1:1" x14ac:dyDescent="0.35">
      <c r="A46" t="s">
        <v>81</v>
      </c>
    </row>
    <row r="47" spans="1:1" x14ac:dyDescent="0.35">
      <c r="A47" t="s">
        <v>82</v>
      </c>
    </row>
    <row r="48" spans="1:1" x14ac:dyDescent="0.35">
      <c r="A48" t="s">
        <v>83</v>
      </c>
    </row>
    <row r="49" spans="1:1" x14ac:dyDescent="0.35">
      <c r="A49" t="s">
        <v>84</v>
      </c>
    </row>
    <row r="50" spans="1:1" x14ac:dyDescent="0.35">
      <c r="A50" t="s">
        <v>85</v>
      </c>
    </row>
    <row r="51" spans="1:1" x14ac:dyDescent="0.35">
      <c r="A51" t="s">
        <v>86</v>
      </c>
    </row>
    <row r="52" spans="1:1" x14ac:dyDescent="0.35">
      <c r="A52" t="s">
        <v>87</v>
      </c>
    </row>
    <row r="53" spans="1:1" x14ac:dyDescent="0.35">
      <c r="A53" t="s">
        <v>88</v>
      </c>
    </row>
    <row r="54" spans="1:1" x14ac:dyDescent="0.35">
      <c r="A54" t="s">
        <v>89</v>
      </c>
    </row>
    <row r="55" spans="1:1" x14ac:dyDescent="0.35">
      <c r="A55" t="s">
        <v>90</v>
      </c>
    </row>
    <row r="56" spans="1:1" x14ac:dyDescent="0.35">
      <c r="A56" t="s">
        <v>91</v>
      </c>
    </row>
    <row r="57" spans="1:1" x14ac:dyDescent="0.35">
      <c r="A57" t="s">
        <v>92</v>
      </c>
    </row>
    <row r="58" spans="1:1" x14ac:dyDescent="0.35">
      <c r="A58" t="s">
        <v>93</v>
      </c>
    </row>
    <row r="59" spans="1:1" x14ac:dyDescent="0.35">
      <c r="A59" t="s">
        <v>94</v>
      </c>
    </row>
    <row r="60" spans="1:1" x14ac:dyDescent="0.35">
      <c r="A60" t="s">
        <v>95</v>
      </c>
    </row>
    <row r="61" spans="1:1" x14ac:dyDescent="0.35">
      <c r="A61" t="s">
        <v>96</v>
      </c>
    </row>
    <row r="62" spans="1:1" x14ac:dyDescent="0.35">
      <c r="A62" t="s">
        <v>97</v>
      </c>
    </row>
    <row r="63" spans="1:1" x14ac:dyDescent="0.35">
      <c r="A63" t="s">
        <v>98</v>
      </c>
    </row>
    <row r="64" spans="1:1" x14ac:dyDescent="0.35">
      <c r="A64" t="s">
        <v>99</v>
      </c>
    </row>
    <row r="66" spans="1:2" x14ac:dyDescent="0.35">
      <c r="A66" t="s">
        <v>100</v>
      </c>
    </row>
    <row r="67" spans="1:2" x14ac:dyDescent="0.35">
      <c r="A67" t="s">
        <v>101</v>
      </c>
    </row>
    <row r="68" spans="1:2" x14ac:dyDescent="0.35">
      <c r="A68" t="s">
        <v>102</v>
      </c>
    </row>
    <row r="69" spans="1:2" x14ac:dyDescent="0.35">
      <c r="A69" t="s">
        <v>103</v>
      </c>
    </row>
    <row r="70" spans="1:2" x14ac:dyDescent="0.35">
      <c r="A70" t="s">
        <v>104</v>
      </c>
    </row>
    <row r="72" spans="1:2" x14ac:dyDescent="0.35">
      <c r="A72" t="s">
        <v>105</v>
      </c>
    </row>
    <row r="73" spans="1:2" x14ac:dyDescent="0.35">
      <c r="A73" t="s">
        <v>77</v>
      </c>
    </row>
    <row r="74" spans="1:2" x14ac:dyDescent="0.35">
      <c r="A74" t="s">
        <v>106</v>
      </c>
    </row>
    <row r="75" spans="1:2" x14ac:dyDescent="0.35">
      <c r="A75" t="s">
        <v>107</v>
      </c>
    </row>
    <row r="76" spans="1:2" x14ac:dyDescent="0.35">
      <c r="A76" t="s">
        <v>108</v>
      </c>
    </row>
    <row r="77" spans="1:2" x14ac:dyDescent="0.35">
      <c r="A77" t="s">
        <v>109</v>
      </c>
    </row>
    <row r="78" spans="1:2" x14ac:dyDescent="0.35">
      <c r="A78" t="s">
        <v>110</v>
      </c>
    </row>
    <row r="79" spans="1:2" x14ac:dyDescent="0.35">
      <c r="A79" t="s">
        <v>111</v>
      </c>
      <c r="B79" t="s">
        <v>112</v>
      </c>
    </row>
    <row r="80" spans="1:2" x14ac:dyDescent="0.35">
      <c r="A80" t="s">
        <v>113</v>
      </c>
      <c r="B80" t="s">
        <v>114</v>
      </c>
    </row>
    <row r="81" spans="1:2" x14ac:dyDescent="0.35">
      <c r="A81" t="s">
        <v>115</v>
      </c>
    </row>
    <row r="82" spans="1:2" x14ac:dyDescent="0.35">
      <c r="A82" t="s">
        <v>116</v>
      </c>
    </row>
    <row r="83" spans="1:2" x14ac:dyDescent="0.35">
      <c r="A83" t="s">
        <v>117</v>
      </c>
    </row>
    <row r="84" spans="1:2" x14ac:dyDescent="0.35">
      <c r="A84" t="s">
        <v>118</v>
      </c>
    </row>
    <row r="85" spans="1:2" x14ac:dyDescent="0.35">
      <c r="A85" t="s">
        <v>119</v>
      </c>
    </row>
    <row r="86" spans="1:2" x14ac:dyDescent="0.35">
      <c r="A86" t="s">
        <v>120</v>
      </c>
    </row>
    <row r="87" spans="1:2" x14ac:dyDescent="0.35">
      <c r="A87" t="s">
        <v>121</v>
      </c>
    </row>
    <row r="88" spans="1:2" x14ac:dyDescent="0.35">
      <c r="A88" t="s">
        <v>122</v>
      </c>
    </row>
    <row r="89" spans="1:2" x14ac:dyDescent="0.35">
      <c r="A89" t="s">
        <v>89</v>
      </c>
    </row>
    <row r="90" spans="1:2" x14ac:dyDescent="0.35">
      <c r="A90" t="s">
        <v>123</v>
      </c>
    </row>
    <row r="91" spans="1:2" x14ac:dyDescent="0.35">
      <c r="A91" t="s">
        <v>124</v>
      </c>
    </row>
    <row r="92" spans="1:2" x14ac:dyDescent="0.35">
      <c r="A92" t="s">
        <v>125</v>
      </c>
    </row>
    <row r="93" spans="1:2" x14ac:dyDescent="0.35">
      <c r="A93" t="s">
        <v>126</v>
      </c>
    </row>
    <row r="94" spans="1:2" x14ac:dyDescent="0.35">
      <c r="A94" t="s">
        <v>127</v>
      </c>
    </row>
    <row r="95" spans="1:2" x14ac:dyDescent="0.35">
      <c r="A95" t="s">
        <v>128</v>
      </c>
      <c r="B95" t="s">
        <v>129</v>
      </c>
    </row>
    <row r="96" spans="1:2" x14ac:dyDescent="0.35">
      <c r="A96" t="s">
        <v>130</v>
      </c>
    </row>
    <row r="97" spans="1:1" x14ac:dyDescent="0.35">
      <c r="A97" t="s">
        <v>97</v>
      </c>
    </row>
    <row r="98" spans="1:1" x14ac:dyDescent="0.35">
      <c r="A98" t="s">
        <v>131</v>
      </c>
    </row>
    <row r="99" spans="1:1" x14ac:dyDescent="0.35">
      <c r="A99" t="s">
        <v>132</v>
      </c>
    </row>
    <row r="100" spans="1:1" x14ac:dyDescent="0.35">
      <c r="A100" t="s">
        <v>101</v>
      </c>
    </row>
    <row r="101" spans="1:1" x14ac:dyDescent="0.35">
      <c r="A101" t="s">
        <v>133</v>
      </c>
    </row>
    <row r="102" spans="1:1" x14ac:dyDescent="0.35">
      <c r="A102" t="s">
        <v>134</v>
      </c>
    </row>
    <row r="103" spans="1:1" x14ac:dyDescent="0.35">
      <c r="A103" t="s">
        <v>135</v>
      </c>
    </row>
    <row r="104" spans="1:1" x14ac:dyDescent="0.35">
      <c r="A104" t="s">
        <v>136</v>
      </c>
    </row>
    <row r="105" spans="1:1" x14ac:dyDescent="0.35">
      <c r="A105" t="s">
        <v>137</v>
      </c>
    </row>
    <row r="106" spans="1:1" x14ac:dyDescent="0.35">
      <c r="A106" t="s">
        <v>138</v>
      </c>
    </row>
    <row r="107" spans="1:1" x14ac:dyDescent="0.35">
      <c r="A107" t="s">
        <v>139</v>
      </c>
    </row>
    <row r="108" spans="1:1" x14ac:dyDescent="0.35">
      <c r="A108" t="s">
        <v>140</v>
      </c>
    </row>
    <row r="109" spans="1:1" x14ac:dyDescent="0.35">
      <c r="A109" t="s">
        <v>141</v>
      </c>
    </row>
    <row r="110" spans="1:1" x14ac:dyDescent="0.35">
      <c r="A110" t="s">
        <v>142</v>
      </c>
    </row>
    <row r="111" spans="1:1" x14ac:dyDescent="0.35">
      <c r="A111" t="s">
        <v>143</v>
      </c>
    </row>
    <row r="112" spans="1:1" x14ac:dyDescent="0.35">
      <c r="A112" t="s">
        <v>135</v>
      </c>
    </row>
    <row r="113" spans="1:1" x14ac:dyDescent="0.35">
      <c r="A113" t="s">
        <v>144</v>
      </c>
    </row>
    <row r="114" spans="1:1" x14ac:dyDescent="0.35">
      <c r="A114" t="s">
        <v>145</v>
      </c>
    </row>
    <row r="115" spans="1:1" x14ac:dyDescent="0.35">
      <c r="A115" t="s">
        <v>146</v>
      </c>
    </row>
    <row r="116" spans="1:1" x14ac:dyDescent="0.35">
      <c r="A116" t="s">
        <v>147</v>
      </c>
    </row>
    <row r="117" spans="1:1" x14ac:dyDescent="0.35">
      <c r="A117" t="s">
        <v>148</v>
      </c>
    </row>
    <row r="118" spans="1:1" x14ac:dyDescent="0.35">
      <c r="A118" t="s">
        <v>149</v>
      </c>
    </row>
    <row r="119" spans="1:1" x14ac:dyDescent="0.35">
      <c r="A119" t="s">
        <v>150</v>
      </c>
    </row>
    <row r="120" spans="1:1" x14ac:dyDescent="0.35">
      <c r="A120" t="s">
        <v>151</v>
      </c>
    </row>
    <row r="121" spans="1:1" x14ac:dyDescent="0.35">
      <c r="A121" t="s">
        <v>152</v>
      </c>
    </row>
    <row r="122" spans="1:1" x14ac:dyDescent="0.35">
      <c r="A122" t="s">
        <v>153</v>
      </c>
    </row>
    <row r="123" spans="1:1" x14ac:dyDescent="0.35">
      <c r="A123" t="s">
        <v>154</v>
      </c>
    </row>
    <row r="124" spans="1:1" x14ac:dyDescent="0.35">
      <c r="A124" t="s">
        <v>155</v>
      </c>
    </row>
    <row r="125" spans="1:1" x14ac:dyDescent="0.35">
      <c r="A125" t="s">
        <v>144</v>
      </c>
    </row>
    <row r="126" spans="1:1" x14ac:dyDescent="0.35">
      <c r="A126" t="s">
        <v>156</v>
      </c>
    </row>
    <row r="127" spans="1:1" x14ac:dyDescent="0.35">
      <c r="A127" t="s">
        <v>157</v>
      </c>
    </row>
    <row r="128" spans="1:1" x14ac:dyDescent="0.35">
      <c r="A128" t="s">
        <v>158</v>
      </c>
    </row>
    <row r="129" spans="1:4" x14ac:dyDescent="0.35">
      <c r="A129" t="s">
        <v>148</v>
      </c>
    </row>
    <row r="130" spans="1:4" x14ac:dyDescent="0.35">
      <c r="A130" t="s">
        <v>159</v>
      </c>
    </row>
    <row r="131" spans="1:4" x14ac:dyDescent="0.35">
      <c r="A131" t="s">
        <v>160</v>
      </c>
    </row>
    <row r="132" spans="1:4" x14ac:dyDescent="0.35">
      <c r="A132" t="s">
        <v>153</v>
      </c>
    </row>
    <row r="133" spans="1:4" x14ac:dyDescent="0.35">
      <c r="A133" t="s">
        <v>154</v>
      </c>
    </row>
    <row r="134" spans="1:4" x14ac:dyDescent="0.35">
      <c r="A134" t="s">
        <v>155</v>
      </c>
    </row>
    <row r="135" spans="1:4" x14ac:dyDescent="0.35">
      <c r="A135" t="s">
        <v>161</v>
      </c>
    </row>
    <row r="136" spans="1:4" x14ac:dyDescent="0.35">
      <c r="A136" t="s">
        <v>72</v>
      </c>
    </row>
    <row r="137" spans="1:4" x14ac:dyDescent="0.35">
      <c r="A137" t="s">
        <v>162</v>
      </c>
      <c r="D137">
        <v>0.85</v>
      </c>
    </row>
    <row r="138" spans="1:4" x14ac:dyDescent="0.35">
      <c r="A138">
        <v>0.3</v>
      </c>
      <c r="B138">
        <f>A138*1000</f>
        <v>300</v>
      </c>
      <c r="C138">
        <v>0.270596</v>
      </c>
      <c r="D138">
        <f>C138*$D$137</f>
        <v>0.23000660000000001</v>
      </c>
    </row>
    <row r="139" spans="1:4" x14ac:dyDescent="0.35">
      <c r="A139">
        <v>0.30499999999999999</v>
      </c>
      <c r="B139">
        <f t="shared" ref="B139:B202" si="0">A139*1000</f>
        <v>305</v>
      </c>
      <c r="C139">
        <v>0.27033099999999999</v>
      </c>
      <c r="D139">
        <f t="shared" ref="D139:D202" si="1">C139*$D$137</f>
        <v>0.22978135</v>
      </c>
    </row>
    <row r="140" spans="1:4" x14ac:dyDescent="0.35">
      <c r="A140">
        <v>0.31</v>
      </c>
      <c r="B140">
        <f t="shared" si="0"/>
        <v>310</v>
      </c>
      <c r="C140">
        <v>0.27169900000000002</v>
      </c>
      <c r="D140">
        <f t="shared" si="1"/>
        <v>0.23094415000000001</v>
      </c>
    </row>
    <row r="141" spans="1:4" x14ac:dyDescent="0.35">
      <c r="A141">
        <v>0.315</v>
      </c>
      <c r="B141">
        <f t="shared" si="0"/>
        <v>315</v>
      </c>
      <c r="C141">
        <v>0.27846500000000002</v>
      </c>
      <c r="D141">
        <f t="shared" si="1"/>
        <v>0.23669525</v>
      </c>
    </row>
    <row r="142" spans="1:4" x14ac:dyDescent="0.35">
      <c r="A142">
        <v>0.32</v>
      </c>
      <c r="B142">
        <f t="shared" si="0"/>
        <v>320</v>
      </c>
      <c r="C142">
        <v>0.28914600000000001</v>
      </c>
      <c r="D142">
        <f t="shared" si="1"/>
        <v>0.2457741</v>
      </c>
    </row>
    <row r="143" spans="1:4" x14ac:dyDescent="0.35">
      <c r="A143">
        <v>0.32500000000000001</v>
      </c>
      <c r="B143">
        <f t="shared" si="0"/>
        <v>325</v>
      </c>
      <c r="C143">
        <v>0.304259</v>
      </c>
      <c r="D143">
        <f t="shared" si="1"/>
        <v>0.25862014999999999</v>
      </c>
    </row>
    <row r="144" spans="1:4" x14ac:dyDescent="0.35">
      <c r="A144">
        <v>0.33</v>
      </c>
      <c r="B144">
        <f t="shared" si="0"/>
        <v>330</v>
      </c>
      <c r="C144">
        <v>0.32506200000000002</v>
      </c>
      <c r="D144">
        <f t="shared" si="1"/>
        <v>0.27630270000000001</v>
      </c>
    </row>
    <row r="145" spans="1:4" x14ac:dyDescent="0.35">
      <c r="A145">
        <v>0.33500000000000002</v>
      </c>
      <c r="B145">
        <f t="shared" si="0"/>
        <v>335</v>
      </c>
      <c r="C145">
        <v>0.34839199999999998</v>
      </c>
      <c r="D145">
        <f t="shared" si="1"/>
        <v>0.29613319999999999</v>
      </c>
    </row>
    <row r="146" spans="1:4" x14ac:dyDescent="0.35">
      <c r="A146">
        <v>0.34</v>
      </c>
      <c r="B146">
        <f t="shared" si="0"/>
        <v>340</v>
      </c>
      <c r="C146">
        <v>0.373419</v>
      </c>
      <c r="D146">
        <f t="shared" si="1"/>
        <v>0.31740615</v>
      </c>
    </row>
    <row r="147" spans="1:4" x14ac:dyDescent="0.35">
      <c r="A147">
        <v>0.34499999999999997</v>
      </c>
      <c r="B147">
        <f t="shared" si="0"/>
        <v>345</v>
      </c>
      <c r="C147">
        <v>0.39983999999999997</v>
      </c>
      <c r="D147">
        <f t="shared" si="1"/>
        <v>0.33986399999999994</v>
      </c>
    </row>
    <row r="148" spans="1:4" x14ac:dyDescent="0.35">
      <c r="A148">
        <v>0.35</v>
      </c>
      <c r="B148">
        <f t="shared" si="0"/>
        <v>350</v>
      </c>
      <c r="C148">
        <v>0.42554900000000001</v>
      </c>
      <c r="D148">
        <f t="shared" si="1"/>
        <v>0.36171664999999997</v>
      </c>
    </row>
    <row r="149" spans="1:4" x14ac:dyDescent="0.35">
      <c r="A149">
        <v>0.35499999999999998</v>
      </c>
      <c r="B149">
        <f t="shared" si="0"/>
        <v>355</v>
      </c>
      <c r="C149">
        <v>0.45515</v>
      </c>
      <c r="D149">
        <f t="shared" si="1"/>
        <v>0.38687749999999999</v>
      </c>
    </row>
    <row r="150" spans="1:4" x14ac:dyDescent="0.35">
      <c r="A150">
        <v>0.36</v>
      </c>
      <c r="B150">
        <f t="shared" si="0"/>
        <v>360</v>
      </c>
      <c r="C150">
        <v>0.481014</v>
      </c>
      <c r="D150">
        <f t="shared" si="1"/>
        <v>0.4088619</v>
      </c>
    </row>
    <row r="151" spans="1:4" x14ac:dyDescent="0.35">
      <c r="A151">
        <v>0.36499999999999999</v>
      </c>
      <c r="B151">
        <f t="shared" si="0"/>
        <v>365</v>
      </c>
      <c r="C151">
        <v>0.50664900000000002</v>
      </c>
      <c r="D151">
        <f t="shared" si="1"/>
        <v>0.43065165</v>
      </c>
    </row>
    <row r="152" spans="1:4" x14ac:dyDescent="0.35">
      <c r="A152">
        <v>0.37</v>
      </c>
      <c r="B152">
        <f t="shared" si="0"/>
        <v>370</v>
      </c>
      <c r="C152">
        <v>0.52807999999999999</v>
      </c>
      <c r="D152">
        <f t="shared" si="1"/>
        <v>0.44886799999999999</v>
      </c>
    </row>
    <row r="153" spans="1:4" x14ac:dyDescent="0.35">
      <c r="A153">
        <v>0.375</v>
      </c>
      <c r="B153">
        <f t="shared" si="0"/>
        <v>375</v>
      </c>
      <c r="C153">
        <v>0.55152500000000004</v>
      </c>
      <c r="D153">
        <f t="shared" si="1"/>
        <v>0.46879625000000003</v>
      </c>
    </row>
    <row r="154" spans="1:4" x14ac:dyDescent="0.35">
      <c r="A154">
        <v>0.38</v>
      </c>
      <c r="B154">
        <f t="shared" si="0"/>
        <v>380</v>
      </c>
      <c r="C154">
        <v>0.56915300000000002</v>
      </c>
      <c r="D154">
        <f t="shared" si="1"/>
        <v>0.48378005000000002</v>
      </c>
    </row>
    <row r="155" spans="1:4" x14ac:dyDescent="0.35">
      <c r="A155">
        <v>0.38500000000000001</v>
      </c>
      <c r="B155">
        <f t="shared" si="0"/>
        <v>385</v>
      </c>
      <c r="C155">
        <v>0.58701499999999995</v>
      </c>
      <c r="D155">
        <f t="shared" si="1"/>
        <v>0.49896274999999995</v>
      </c>
    </row>
    <row r="156" spans="1:4" x14ac:dyDescent="0.35">
      <c r="A156">
        <v>0.39</v>
      </c>
      <c r="B156">
        <f t="shared" si="0"/>
        <v>390</v>
      </c>
      <c r="C156">
        <v>0.60372700000000001</v>
      </c>
      <c r="D156">
        <f t="shared" si="1"/>
        <v>0.51316795000000004</v>
      </c>
    </row>
    <row r="157" spans="1:4" x14ac:dyDescent="0.35">
      <c r="A157">
        <v>0.39500000000000002</v>
      </c>
      <c r="B157">
        <f t="shared" si="0"/>
        <v>395</v>
      </c>
      <c r="C157">
        <v>0.61763100000000004</v>
      </c>
      <c r="D157">
        <f t="shared" si="1"/>
        <v>0.52498635000000005</v>
      </c>
    </row>
    <row r="158" spans="1:4" x14ac:dyDescent="0.35">
      <c r="A158">
        <v>0.4</v>
      </c>
      <c r="B158">
        <f t="shared" si="0"/>
        <v>400</v>
      </c>
      <c r="C158">
        <v>0.63610199999999995</v>
      </c>
      <c r="D158">
        <f t="shared" si="1"/>
        <v>0.54068669999999996</v>
      </c>
    </row>
    <row r="159" spans="1:4" x14ac:dyDescent="0.35">
      <c r="A159">
        <v>0.40500000000000003</v>
      </c>
      <c r="B159">
        <f t="shared" si="0"/>
        <v>405</v>
      </c>
      <c r="C159">
        <v>0.64317199999999997</v>
      </c>
      <c r="D159">
        <f t="shared" si="1"/>
        <v>0.54669619999999997</v>
      </c>
    </row>
    <row r="160" spans="1:4" x14ac:dyDescent="0.35">
      <c r="A160">
        <v>0.41</v>
      </c>
      <c r="B160">
        <f t="shared" si="0"/>
        <v>410</v>
      </c>
      <c r="C160">
        <v>0.65359999999999996</v>
      </c>
      <c r="D160">
        <f t="shared" si="1"/>
        <v>0.55555999999999994</v>
      </c>
    </row>
    <row r="161" spans="1:4" x14ac:dyDescent="0.35">
      <c r="A161">
        <v>0.41499999999999998</v>
      </c>
      <c r="B161">
        <f t="shared" si="0"/>
        <v>415</v>
      </c>
      <c r="C161">
        <v>0.66386900000000004</v>
      </c>
      <c r="D161">
        <f t="shared" si="1"/>
        <v>0.56428865000000006</v>
      </c>
    </row>
    <row r="162" spans="1:4" x14ac:dyDescent="0.35">
      <c r="A162">
        <v>0.42</v>
      </c>
      <c r="B162">
        <f t="shared" si="0"/>
        <v>420</v>
      </c>
      <c r="C162">
        <v>0.67422099999999996</v>
      </c>
      <c r="D162">
        <f t="shared" si="1"/>
        <v>0.57308784999999995</v>
      </c>
    </row>
    <row r="163" spans="1:4" x14ac:dyDescent="0.35">
      <c r="A163">
        <v>0.42499999999999999</v>
      </c>
      <c r="B163">
        <f t="shared" si="0"/>
        <v>425</v>
      </c>
      <c r="C163">
        <v>0.68293000000000004</v>
      </c>
      <c r="D163">
        <f t="shared" si="1"/>
        <v>0.58049050000000002</v>
      </c>
    </row>
    <row r="164" spans="1:4" x14ac:dyDescent="0.35">
      <c r="A164">
        <v>0.43</v>
      </c>
      <c r="B164">
        <f t="shared" si="0"/>
        <v>430</v>
      </c>
      <c r="C164">
        <v>0.69725000000000004</v>
      </c>
      <c r="D164">
        <f t="shared" si="1"/>
        <v>0.59266249999999998</v>
      </c>
    </row>
    <row r="165" spans="1:4" x14ac:dyDescent="0.35">
      <c r="A165">
        <v>0.435</v>
      </c>
      <c r="B165">
        <f t="shared" si="0"/>
        <v>435</v>
      </c>
      <c r="C165">
        <v>0.70741600000000004</v>
      </c>
      <c r="D165">
        <f t="shared" si="1"/>
        <v>0.60130360000000005</v>
      </c>
    </row>
    <row r="166" spans="1:4" x14ac:dyDescent="0.35">
      <c r="A166">
        <v>0.44</v>
      </c>
      <c r="B166">
        <f t="shared" si="0"/>
        <v>440</v>
      </c>
      <c r="C166">
        <v>0.71882900000000005</v>
      </c>
      <c r="D166">
        <f t="shared" si="1"/>
        <v>0.61100465000000004</v>
      </c>
    </row>
    <row r="167" spans="1:4" x14ac:dyDescent="0.35">
      <c r="A167">
        <v>0.44500000000000001</v>
      </c>
      <c r="B167">
        <f t="shared" si="0"/>
        <v>445</v>
      </c>
      <c r="C167">
        <v>0.72918700000000003</v>
      </c>
      <c r="D167">
        <f t="shared" si="1"/>
        <v>0.61980895000000003</v>
      </c>
    </row>
    <row r="168" spans="1:4" x14ac:dyDescent="0.35">
      <c r="A168">
        <v>0.45</v>
      </c>
      <c r="B168">
        <f t="shared" si="0"/>
        <v>450</v>
      </c>
      <c r="C168">
        <v>0.73581799999999997</v>
      </c>
      <c r="D168">
        <f t="shared" si="1"/>
        <v>0.62544529999999998</v>
      </c>
    </row>
    <row r="169" spans="1:4" x14ac:dyDescent="0.35">
      <c r="A169">
        <v>0.45500000000000002</v>
      </c>
      <c r="B169">
        <f t="shared" si="0"/>
        <v>455</v>
      </c>
      <c r="C169">
        <v>0.74430799999999997</v>
      </c>
      <c r="D169">
        <f t="shared" si="1"/>
        <v>0.63266179999999994</v>
      </c>
    </row>
    <row r="170" spans="1:4" x14ac:dyDescent="0.35">
      <c r="A170">
        <v>0.46</v>
      </c>
      <c r="B170">
        <f t="shared" si="0"/>
        <v>460</v>
      </c>
      <c r="C170">
        <v>0.74926899999999996</v>
      </c>
      <c r="D170">
        <f t="shared" si="1"/>
        <v>0.63687864999999999</v>
      </c>
    </row>
    <row r="171" spans="1:4" x14ac:dyDescent="0.35">
      <c r="A171">
        <v>0.46500000000000002</v>
      </c>
      <c r="B171">
        <f t="shared" si="0"/>
        <v>465</v>
      </c>
      <c r="C171">
        <v>0.75388299999999997</v>
      </c>
      <c r="D171">
        <f t="shared" si="1"/>
        <v>0.64080054999999991</v>
      </c>
    </row>
    <row r="172" spans="1:4" x14ac:dyDescent="0.35">
      <c r="A172">
        <v>0.47</v>
      </c>
      <c r="B172">
        <f t="shared" si="0"/>
        <v>470</v>
      </c>
      <c r="C172">
        <v>0.75940300000000005</v>
      </c>
      <c r="D172">
        <f t="shared" si="1"/>
        <v>0.64549255000000005</v>
      </c>
    </row>
    <row r="173" spans="1:4" x14ac:dyDescent="0.35">
      <c r="A173">
        <v>0.47499999999999998</v>
      </c>
      <c r="B173">
        <f t="shared" si="0"/>
        <v>475</v>
      </c>
      <c r="C173">
        <v>0.76327500000000004</v>
      </c>
      <c r="D173">
        <f t="shared" si="1"/>
        <v>0.64878374999999999</v>
      </c>
    </row>
    <row r="174" spans="1:4" x14ac:dyDescent="0.35">
      <c r="A174">
        <v>0.48</v>
      </c>
      <c r="B174">
        <f t="shared" si="0"/>
        <v>480</v>
      </c>
      <c r="C174">
        <v>0.76912599999999998</v>
      </c>
      <c r="D174">
        <f t="shared" si="1"/>
        <v>0.65375709999999998</v>
      </c>
    </row>
    <row r="175" spans="1:4" x14ac:dyDescent="0.35">
      <c r="A175">
        <v>0.48499999999999999</v>
      </c>
      <c r="B175">
        <f t="shared" si="0"/>
        <v>485</v>
      </c>
      <c r="C175">
        <v>0.77511300000000005</v>
      </c>
      <c r="D175">
        <f t="shared" si="1"/>
        <v>0.65884605000000007</v>
      </c>
    </row>
    <row r="176" spans="1:4" x14ac:dyDescent="0.35">
      <c r="A176">
        <v>0.49</v>
      </c>
      <c r="B176">
        <f t="shared" si="0"/>
        <v>490</v>
      </c>
      <c r="C176">
        <v>0.78126700000000004</v>
      </c>
      <c r="D176">
        <f t="shared" si="1"/>
        <v>0.66407695</v>
      </c>
    </row>
    <row r="177" spans="1:4" x14ac:dyDescent="0.35">
      <c r="A177">
        <v>0.495</v>
      </c>
      <c r="B177">
        <f t="shared" si="0"/>
        <v>495</v>
      </c>
      <c r="C177">
        <v>0.78636700000000004</v>
      </c>
      <c r="D177">
        <f t="shared" si="1"/>
        <v>0.66841194999999998</v>
      </c>
    </row>
    <row r="178" spans="1:4" x14ac:dyDescent="0.35">
      <c r="A178">
        <v>0.5</v>
      </c>
      <c r="B178">
        <f t="shared" si="0"/>
        <v>500</v>
      </c>
      <c r="C178">
        <v>0.79386900000000005</v>
      </c>
      <c r="D178">
        <f t="shared" si="1"/>
        <v>0.67478864999999999</v>
      </c>
    </row>
    <row r="179" spans="1:4" x14ac:dyDescent="0.35">
      <c r="A179">
        <v>0.505</v>
      </c>
      <c r="B179">
        <f t="shared" si="0"/>
        <v>505</v>
      </c>
      <c r="C179">
        <v>0.80303999999999998</v>
      </c>
      <c r="D179">
        <f t="shared" si="1"/>
        <v>0.68258399999999997</v>
      </c>
    </row>
    <row r="180" spans="1:4" x14ac:dyDescent="0.35">
      <c r="A180">
        <v>0.51</v>
      </c>
      <c r="B180">
        <f t="shared" si="0"/>
        <v>510</v>
      </c>
      <c r="C180">
        <v>0.81103700000000001</v>
      </c>
      <c r="D180">
        <f t="shared" si="1"/>
        <v>0.68938144999999995</v>
      </c>
    </row>
    <row r="181" spans="1:4" x14ac:dyDescent="0.35">
      <c r="A181">
        <v>0.51500000000000001</v>
      </c>
      <c r="B181">
        <f t="shared" si="0"/>
        <v>515</v>
      </c>
      <c r="C181">
        <v>0.82014799999999999</v>
      </c>
      <c r="D181">
        <f t="shared" si="1"/>
        <v>0.69712580000000002</v>
      </c>
    </row>
    <row r="182" spans="1:4" x14ac:dyDescent="0.35">
      <c r="A182">
        <v>0.52</v>
      </c>
      <c r="B182">
        <f t="shared" si="0"/>
        <v>520</v>
      </c>
      <c r="C182">
        <v>0.82890399999999997</v>
      </c>
      <c r="D182">
        <f t="shared" si="1"/>
        <v>0.70456839999999998</v>
      </c>
    </row>
    <row r="183" spans="1:4" x14ac:dyDescent="0.35">
      <c r="A183">
        <v>0.52500000000000002</v>
      </c>
      <c r="B183">
        <f t="shared" si="0"/>
        <v>525</v>
      </c>
      <c r="C183">
        <v>0.83506899999999995</v>
      </c>
      <c r="D183">
        <f t="shared" si="1"/>
        <v>0.70980864999999993</v>
      </c>
    </row>
    <row r="184" spans="1:4" x14ac:dyDescent="0.35">
      <c r="A184">
        <v>0.53</v>
      </c>
      <c r="B184">
        <f t="shared" si="0"/>
        <v>530</v>
      </c>
      <c r="C184">
        <v>0.84390900000000002</v>
      </c>
      <c r="D184">
        <f t="shared" si="1"/>
        <v>0.71732264999999995</v>
      </c>
    </row>
    <row r="185" spans="1:4" x14ac:dyDescent="0.35">
      <c r="A185">
        <v>0.53500000000000003</v>
      </c>
      <c r="B185">
        <f t="shared" si="0"/>
        <v>535</v>
      </c>
      <c r="C185">
        <v>0.85376399999999997</v>
      </c>
      <c r="D185">
        <f t="shared" si="1"/>
        <v>0.72569939999999999</v>
      </c>
    </row>
    <row r="186" spans="1:4" x14ac:dyDescent="0.35">
      <c r="A186">
        <v>0.54</v>
      </c>
      <c r="B186">
        <f t="shared" si="0"/>
        <v>540</v>
      </c>
      <c r="C186">
        <v>0.86142600000000003</v>
      </c>
      <c r="D186">
        <f t="shared" si="1"/>
        <v>0.73221210000000003</v>
      </c>
    </row>
    <row r="187" spans="1:4" x14ac:dyDescent="0.35">
      <c r="A187">
        <v>0.54500000000000004</v>
      </c>
      <c r="B187">
        <f t="shared" si="0"/>
        <v>545</v>
      </c>
      <c r="C187">
        <v>0.86428300000000002</v>
      </c>
      <c r="D187">
        <f t="shared" si="1"/>
        <v>0.73464054999999995</v>
      </c>
    </row>
    <row r="188" spans="1:4" x14ac:dyDescent="0.35">
      <c r="A188">
        <v>0.55000000000000004</v>
      </c>
      <c r="B188">
        <f t="shared" si="0"/>
        <v>550</v>
      </c>
      <c r="C188">
        <v>0.87258500000000006</v>
      </c>
      <c r="D188">
        <f t="shared" si="1"/>
        <v>0.74169724999999997</v>
      </c>
    </row>
    <row r="189" spans="1:4" x14ac:dyDescent="0.35">
      <c r="A189">
        <v>0.55500000000000005</v>
      </c>
      <c r="B189">
        <f t="shared" si="0"/>
        <v>555</v>
      </c>
      <c r="C189">
        <v>0.87701300000000004</v>
      </c>
      <c r="D189">
        <f t="shared" si="1"/>
        <v>0.74546105000000007</v>
      </c>
    </row>
    <row r="190" spans="1:4" x14ac:dyDescent="0.35">
      <c r="A190">
        <v>0.56000000000000005</v>
      </c>
      <c r="B190">
        <f t="shared" si="0"/>
        <v>560</v>
      </c>
      <c r="C190">
        <v>0.87997800000000004</v>
      </c>
      <c r="D190">
        <f t="shared" si="1"/>
        <v>0.74798129999999996</v>
      </c>
    </row>
    <row r="191" spans="1:4" x14ac:dyDescent="0.35">
      <c r="A191">
        <v>0.56499999999999995</v>
      </c>
      <c r="B191">
        <f t="shared" si="0"/>
        <v>565</v>
      </c>
      <c r="C191">
        <v>0.88884200000000002</v>
      </c>
      <c r="D191">
        <f t="shared" si="1"/>
        <v>0.75551570000000001</v>
      </c>
    </row>
    <row r="192" spans="1:4" x14ac:dyDescent="0.35">
      <c r="A192">
        <v>0.56999999999999995</v>
      </c>
      <c r="B192">
        <f t="shared" si="0"/>
        <v>570</v>
      </c>
      <c r="C192">
        <v>0.89106700000000005</v>
      </c>
      <c r="D192">
        <f t="shared" si="1"/>
        <v>0.75740695000000002</v>
      </c>
    </row>
    <row r="193" spans="1:4" x14ac:dyDescent="0.35">
      <c r="A193">
        <v>0.57499999999999996</v>
      </c>
      <c r="B193">
        <f t="shared" si="0"/>
        <v>575</v>
      </c>
      <c r="C193">
        <v>0.89388800000000002</v>
      </c>
      <c r="D193">
        <f t="shared" si="1"/>
        <v>0.75980479999999995</v>
      </c>
    </row>
    <row r="194" spans="1:4" x14ac:dyDescent="0.35">
      <c r="A194">
        <v>0.57999999999999996</v>
      </c>
      <c r="B194">
        <f t="shared" si="0"/>
        <v>580</v>
      </c>
      <c r="C194">
        <v>0.89838300000000004</v>
      </c>
      <c r="D194">
        <f t="shared" si="1"/>
        <v>0.76362554999999999</v>
      </c>
    </row>
    <row r="195" spans="1:4" x14ac:dyDescent="0.35">
      <c r="A195">
        <v>0.58499999999999996</v>
      </c>
      <c r="B195">
        <f t="shared" si="0"/>
        <v>585</v>
      </c>
      <c r="C195">
        <v>0.90090800000000004</v>
      </c>
      <c r="D195">
        <f t="shared" si="1"/>
        <v>0.7657718</v>
      </c>
    </row>
    <row r="196" spans="1:4" x14ac:dyDescent="0.35">
      <c r="A196">
        <v>0.59</v>
      </c>
      <c r="B196">
        <f t="shared" si="0"/>
        <v>590</v>
      </c>
      <c r="C196">
        <v>0.90171900000000005</v>
      </c>
      <c r="D196">
        <f t="shared" si="1"/>
        <v>0.76646115000000004</v>
      </c>
    </row>
    <row r="197" spans="1:4" x14ac:dyDescent="0.35">
      <c r="A197">
        <v>0.59499999999999997</v>
      </c>
      <c r="B197">
        <f t="shared" si="0"/>
        <v>595</v>
      </c>
      <c r="C197">
        <v>0.90380300000000002</v>
      </c>
      <c r="D197">
        <f t="shared" si="1"/>
        <v>0.76823255000000001</v>
      </c>
    </row>
    <row r="198" spans="1:4" x14ac:dyDescent="0.35">
      <c r="A198">
        <v>0.6</v>
      </c>
      <c r="B198">
        <f t="shared" si="0"/>
        <v>600</v>
      </c>
      <c r="C198">
        <v>0.90674200000000005</v>
      </c>
      <c r="D198">
        <f t="shared" si="1"/>
        <v>0.77073069999999999</v>
      </c>
    </row>
    <row r="199" spans="1:4" x14ac:dyDescent="0.35">
      <c r="A199">
        <v>0.60499999999999998</v>
      </c>
      <c r="B199">
        <f t="shared" si="0"/>
        <v>605</v>
      </c>
      <c r="C199">
        <v>0.90823600000000004</v>
      </c>
      <c r="D199">
        <f t="shared" si="1"/>
        <v>0.77200060000000004</v>
      </c>
    </row>
    <row r="200" spans="1:4" x14ac:dyDescent="0.35">
      <c r="A200">
        <v>0.61</v>
      </c>
      <c r="B200">
        <f t="shared" si="0"/>
        <v>610</v>
      </c>
      <c r="C200">
        <v>0.91198599999999996</v>
      </c>
      <c r="D200">
        <f t="shared" si="1"/>
        <v>0.77518809999999994</v>
      </c>
    </row>
    <row r="201" spans="1:4" x14ac:dyDescent="0.35">
      <c r="A201">
        <v>0.61499999999999999</v>
      </c>
      <c r="B201">
        <f t="shared" si="0"/>
        <v>615</v>
      </c>
      <c r="C201">
        <v>0.90662799999999999</v>
      </c>
      <c r="D201">
        <f t="shared" si="1"/>
        <v>0.77063379999999992</v>
      </c>
    </row>
    <row r="202" spans="1:4" x14ac:dyDescent="0.35">
      <c r="A202">
        <v>0.62</v>
      </c>
      <c r="B202">
        <f t="shared" si="0"/>
        <v>620</v>
      </c>
      <c r="C202">
        <v>0.90954800000000002</v>
      </c>
      <c r="D202">
        <f t="shared" si="1"/>
        <v>0.77311580000000002</v>
      </c>
    </row>
    <row r="203" spans="1:4" x14ac:dyDescent="0.35">
      <c r="A203">
        <v>0.625</v>
      </c>
      <c r="B203">
        <f t="shared" ref="B203:B266" si="2">A203*1000</f>
        <v>625</v>
      </c>
      <c r="C203">
        <v>0.90992099999999998</v>
      </c>
      <c r="D203">
        <f t="shared" ref="D203:D266" si="3">C203*$D$137</f>
        <v>0.77343284999999995</v>
      </c>
    </row>
    <row r="204" spans="1:4" x14ac:dyDescent="0.35">
      <c r="A204">
        <v>0.63</v>
      </c>
      <c r="B204">
        <f t="shared" si="2"/>
        <v>630</v>
      </c>
      <c r="C204">
        <v>0.91217199999999998</v>
      </c>
      <c r="D204">
        <f t="shared" si="3"/>
        <v>0.77534619999999999</v>
      </c>
    </row>
    <row r="205" spans="1:4" x14ac:dyDescent="0.35">
      <c r="A205">
        <v>0.63500000000000001</v>
      </c>
      <c r="B205">
        <f t="shared" si="2"/>
        <v>635</v>
      </c>
      <c r="C205">
        <v>0.91064400000000001</v>
      </c>
      <c r="D205">
        <f t="shared" si="3"/>
        <v>0.77404739999999994</v>
      </c>
    </row>
    <row r="206" spans="1:4" x14ac:dyDescent="0.35">
      <c r="A206">
        <v>0.64</v>
      </c>
      <c r="B206">
        <f t="shared" si="2"/>
        <v>640</v>
      </c>
      <c r="C206">
        <v>0.91366499999999995</v>
      </c>
      <c r="D206">
        <f t="shared" si="3"/>
        <v>0.77661524999999998</v>
      </c>
    </row>
    <row r="207" spans="1:4" x14ac:dyDescent="0.35">
      <c r="A207">
        <v>0.64500000000000002</v>
      </c>
      <c r="B207">
        <f t="shared" si="2"/>
        <v>645</v>
      </c>
      <c r="C207">
        <v>0.91678099999999996</v>
      </c>
      <c r="D207">
        <f t="shared" si="3"/>
        <v>0.77926384999999998</v>
      </c>
    </row>
    <row r="208" spans="1:4" x14ac:dyDescent="0.35">
      <c r="A208">
        <v>0.65</v>
      </c>
      <c r="B208">
        <f t="shared" si="2"/>
        <v>650</v>
      </c>
      <c r="C208">
        <v>0.91500700000000001</v>
      </c>
      <c r="D208">
        <f t="shared" si="3"/>
        <v>0.77775594999999997</v>
      </c>
    </row>
    <row r="209" spans="1:4" x14ac:dyDescent="0.35">
      <c r="A209">
        <v>0.65500000000000003</v>
      </c>
      <c r="B209">
        <f t="shared" si="2"/>
        <v>655</v>
      </c>
      <c r="C209">
        <v>0.91692300000000004</v>
      </c>
      <c r="D209">
        <f t="shared" si="3"/>
        <v>0.77938455000000006</v>
      </c>
    </row>
    <row r="210" spans="1:4" x14ac:dyDescent="0.35">
      <c r="A210">
        <v>0.66</v>
      </c>
      <c r="B210">
        <f t="shared" si="2"/>
        <v>660</v>
      </c>
      <c r="C210">
        <v>0.91493400000000003</v>
      </c>
      <c r="D210">
        <f t="shared" si="3"/>
        <v>0.77769390000000005</v>
      </c>
    </row>
    <row r="211" spans="1:4" x14ac:dyDescent="0.35">
      <c r="A211">
        <v>0.66500000000000004</v>
      </c>
      <c r="B211">
        <f t="shared" si="2"/>
        <v>665</v>
      </c>
      <c r="C211">
        <v>0.91491400000000001</v>
      </c>
      <c r="D211">
        <f t="shared" si="3"/>
        <v>0.7776769</v>
      </c>
    </row>
    <row r="212" spans="1:4" x14ac:dyDescent="0.35">
      <c r="A212">
        <v>0.67</v>
      </c>
      <c r="B212">
        <f t="shared" si="2"/>
        <v>670</v>
      </c>
      <c r="C212">
        <v>0.91866599999999998</v>
      </c>
      <c r="D212">
        <f t="shared" si="3"/>
        <v>0.78086610000000001</v>
      </c>
    </row>
    <row r="213" spans="1:4" x14ac:dyDescent="0.35">
      <c r="A213">
        <v>0.67500000000000004</v>
      </c>
      <c r="B213">
        <f t="shared" si="2"/>
        <v>675</v>
      </c>
      <c r="C213">
        <v>0.91950900000000002</v>
      </c>
      <c r="D213">
        <f t="shared" si="3"/>
        <v>0.78158265000000005</v>
      </c>
    </row>
    <row r="214" spans="1:4" x14ac:dyDescent="0.35">
      <c r="A214">
        <v>0.68</v>
      </c>
      <c r="B214">
        <f t="shared" si="2"/>
        <v>680</v>
      </c>
      <c r="C214">
        <v>0.92072900000000002</v>
      </c>
      <c r="D214">
        <f t="shared" si="3"/>
        <v>0.78261965</v>
      </c>
    </row>
    <row r="215" spans="1:4" x14ac:dyDescent="0.35">
      <c r="A215">
        <v>0.68500000000000005</v>
      </c>
      <c r="B215">
        <f t="shared" si="2"/>
        <v>685</v>
      </c>
      <c r="C215">
        <v>0.92265799999999998</v>
      </c>
      <c r="D215">
        <f t="shared" si="3"/>
        <v>0.78425929999999999</v>
      </c>
    </row>
    <row r="216" spans="1:4" x14ac:dyDescent="0.35">
      <c r="A216">
        <v>0.69</v>
      </c>
      <c r="B216">
        <f t="shared" si="2"/>
        <v>690</v>
      </c>
      <c r="C216">
        <v>0.92341399999999996</v>
      </c>
      <c r="D216">
        <f t="shared" si="3"/>
        <v>0.78490189999999993</v>
      </c>
    </row>
    <row r="217" spans="1:4" x14ac:dyDescent="0.35">
      <c r="A217">
        <v>0.69499999999999995</v>
      </c>
      <c r="B217">
        <f t="shared" si="2"/>
        <v>695</v>
      </c>
      <c r="C217">
        <v>0.92143799999999998</v>
      </c>
      <c r="D217">
        <f t="shared" si="3"/>
        <v>0.78322229999999993</v>
      </c>
    </row>
    <row r="218" spans="1:4" x14ac:dyDescent="0.35">
      <c r="A218">
        <v>0.7</v>
      </c>
      <c r="B218">
        <f t="shared" si="2"/>
        <v>700</v>
      </c>
      <c r="C218">
        <v>0.92235100000000003</v>
      </c>
      <c r="D218">
        <f t="shared" si="3"/>
        <v>0.78399834999999995</v>
      </c>
    </row>
    <row r="219" spans="1:4" x14ac:dyDescent="0.35">
      <c r="A219">
        <v>0.70499999999999996</v>
      </c>
      <c r="B219">
        <f t="shared" si="2"/>
        <v>705</v>
      </c>
      <c r="C219">
        <v>0.920825</v>
      </c>
      <c r="D219">
        <f t="shared" si="3"/>
        <v>0.78270125000000002</v>
      </c>
    </row>
    <row r="220" spans="1:4" x14ac:dyDescent="0.35">
      <c r="A220">
        <v>0.71</v>
      </c>
      <c r="B220">
        <f t="shared" si="2"/>
        <v>710</v>
      </c>
      <c r="C220">
        <v>0.92184299999999997</v>
      </c>
      <c r="D220">
        <f t="shared" si="3"/>
        <v>0.78356654999999997</v>
      </c>
    </row>
    <row r="221" spans="1:4" x14ac:dyDescent="0.35">
      <c r="A221">
        <v>0.71499999999999997</v>
      </c>
      <c r="B221">
        <f t="shared" si="2"/>
        <v>715</v>
      </c>
      <c r="C221">
        <v>0.92331600000000003</v>
      </c>
      <c r="D221">
        <f t="shared" si="3"/>
        <v>0.78481860000000003</v>
      </c>
    </row>
    <row r="222" spans="1:4" x14ac:dyDescent="0.35">
      <c r="A222">
        <v>0.72</v>
      </c>
      <c r="B222">
        <f t="shared" si="2"/>
        <v>720</v>
      </c>
      <c r="C222">
        <v>0.92472299999999996</v>
      </c>
      <c r="D222">
        <f t="shared" si="3"/>
        <v>0.78601454999999998</v>
      </c>
    </row>
    <row r="223" spans="1:4" x14ac:dyDescent="0.35">
      <c r="A223">
        <v>0.72499999999999998</v>
      </c>
      <c r="B223">
        <f t="shared" si="2"/>
        <v>725</v>
      </c>
      <c r="C223">
        <v>0.92633299999999996</v>
      </c>
      <c r="D223">
        <f t="shared" si="3"/>
        <v>0.78738304999999997</v>
      </c>
    </row>
    <row r="224" spans="1:4" x14ac:dyDescent="0.35">
      <c r="A224">
        <v>0.73</v>
      </c>
      <c r="B224">
        <f t="shared" si="2"/>
        <v>730</v>
      </c>
      <c r="C224">
        <v>0.928145</v>
      </c>
      <c r="D224">
        <f t="shared" si="3"/>
        <v>0.78892324999999996</v>
      </c>
    </row>
    <row r="225" spans="1:4" x14ac:dyDescent="0.35">
      <c r="A225">
        <v>0.73499999999999999</v>
      </c>
      <c r="B225">
        <f t="shared" si="2"/>
        <v>735</v>
      </c>
      <c r="C225">
        <v>0.92876800000000004</v>
      </c>
      <c r="D225">
        <f t="shared" si="3"/>
        <v>0.78945280000000007</v>
      </c>
    </row>
    <row r="226" spans="1:4" x14ac:dyDescent="0.35">
      <c r="A226">
        <v>0.74</v>
      </c>
      <c r="B226">
        <f t="shared" si="2"/>
        <v>740</v>
      </c>
      <c r="C226">
        <v>0.93061400000000005</v>
      </c>
      <c r="D226">
        <f t="shared" si="3"/>
        <v>0.79102190000000006</v>
      </c>
    </row>
    <row r="227" spans="1:4" x14ac:dyDescent="0.35">
      <c r="A227">
        <v>0.745</v>
      </c>
      <c r="B227">
        <f t="shared" si="2"/>
        <v>745</v>
      </c>
      <c r="C227">
        <v>0.92536700000000005</v>
      </c>
      <c r="D227">
        <f t="shared" si="3"/>
        <v>0.78656195000000007</v>
      </c>
    </row>
    <row r="228" spans="1:4" x14ac:dyDescent="0.35">
      <c r="A228">
        <v>0.75</v>
      </c>
      <c r="B228">
        <f t="shared" si="2"/>
        <v>750</v>
      </c>
      <c r="C228">
        <v>0.93025500000000005</v>
      </c>
      <c r="D228">
        <f t="shared" si="3"/>
        <v>0.79071675000000008</v>
      </c>
    </row>
    <row r="229" spans="1:4" x14ac:dyDescent="0.35">
      <c r="A229">
        <v>0.755</v>
      </c>
      <c r="B229">
        <f t="shared" si="2"/>
        <v>755</v>
      </c>
      <c r="C229">
        <v>0.92752100000000004</v>
      </c>
      <c r="D229">
        <f t="shared" si="3"/>
        <v>0.78839285000000003</v>
      </c>
    </row>
    <row r="230" spans="1:4" x14ac:dyDescent="0.35">
      <c r="A230">
        <v>0.76</v>
      </c>
      <c r="B230">
        <f t="shared" si="2"/>
        <v>760</v>
      </c>
      <c r="C230">
        <v>0.93092299999999994</v>
      </c>
      <c r="D230">
        <f t="shared" si="3"/>
        <v>0.79128454999999998</v>
      </c>
    </row>
    <row r="231" spans="1:4" x14ac:dyDescent="0.35">
      <c r="A231">
        <v>0.76500000000000001</v>
      </c>
      <c r="B231">
        <f t="shared" si="2"/>
        <v>765</v>
      </c>
      <c r="C231">
        <v>0.93515400000000004</v>
      </c>
      <c r="D231">
        <f t="shared" si="3"/>
        <v>0.7948809</v>
      </c>
    </row>
    <row r="232" spans="1:4" x14ac:dyDescent="0.35">
      <c r="A232">
        <v>0.77</v>
      </c>
      <c r="B232">
        <f t="shared" si="2"/>
        <v>770</v>
      </c>
      <c r="C232">
        <v>0.93328699999999998</v>
      </c>
      <c r="D232">
        <f t="shared" si="3"/>
        <v>0.79329394999999991</v>
      </c>
    </row>
    <row r="233" spans="1:4" x14ac:dyDescent="0.35">
      <c r="A233">
        <v>0.77500000000000002</v>
      </c>
      <c r="B233">
        <f t="shared" si="2"/>
        <v>775</v>
      </c>
      <c r="C233">
        <v>0.93381899999999995</v>
      </c>
      <c r="D233">
        <f t="shared" si="3"/>
        <v>0.79374614999999993</v>
      </c>
    </row>
    <row r="234" spans="1:4" x14ac:dyDescent="0.35">
      <c r="A234">
        <v>0.78</v>
      </c>
      <c r="B234">
        <f t="shared" si="2"/>
        <v>780</v>
      </c>
      <c r="C234">
        <v>0.93012499999999998</v>
      </c>
      <c r="D234">
        <f t="shared" si="3"/>
        <v>0.79060624999999995</v>
      </c>
    </row>
    <row r="235" spans="1:4" x14ac:dyDescent="0.35">
      <c r="A235">
        <v>0.78500000000000003</v>
      </c>
      <c r="B235">
        <f t="shared" si="2"/>
        <v>785</v>
      </c>
      <c r="C235">
        <v>0.93238100000000002</v>
      </c>
      <c r="D235">
        <f t="shared" si="3"/>
        <v>0.79252385000000003</v>
      </c>
    </row>
    <row r="236" spans="1:4" x14ac:dyDescent="0.35">
      <c r="A236">
        <v>0.79</v>
      </c>
      <c r="B236">
        <f t="shared" si="2"/>
        <v>790</v>
      </c>
      <c r="C236">
        <v>0.93423</v>
      </c>
      <c r="D236">
        <f t="shared" si="3"/>
        <v>0.79409549999999995</v>
      </c>
    </row>
    <row r="237" spans="1:4" x14ac:dyDescent="0.35">
      <c r="A237">
        <v>0.79500000000000004</v>
      </c>
      <c r="B237">
        <f t="shared" si="2"/>
        <v>795</v>
      </c>
      <c r="C237">
        <v>0.93436600000000003</v>
      </c>
      <c r="D237">
        <f t="shared" si="3"/>
        <v>0.79421110000000006</v>
      </c>
    </row>
    <row r="238" spans="1:4" x14ac:dyDescent="0.35">
      <c r="A238">
        <v>0.8</v>
      </c>
      <c r="B238">
        <f t="shared" si="2"/>
        <v>800</v>
      </c>
      <c r="C238">
        <v>0.93557500000000005</v>
      </c>
      <c r="D238">
        <f t="shared" si="3"/>
        <v>0.79523874999999999</v>
      </c>
    </row>
    <row r="239" spans="1:4" x14ac:dyDescent="0.35">
      <c r="A239">
        <v>0.80500000000000005</v>
      </c>
      <c r="B239">
        <f t="shared" si="2"/>
        <v>805</v>
      </c>
      <c r="C239">
        <v>0.93175200000000002</v>
      </c>
      <c r="D239">
        <f t="shared" si="3"/>
        <v>0.79198919999999995</v>
      </c>
    </row>
    <row r="240" spans="1:4" x14ac:dyDescent="0.35">
      <c r="A240">
        <v>0.81</v>
      </c>
      <c r="B240">
        <f t="shared" si="2"/>
        <v>810</v>
      </c>
      <c r="C240">
        <v>0.93348299999999995</v>
      </c>
      <c r="D240">
        <f t="shared" si="3"/>
        <v>0.79346054999999993</v>
      </c>
    </row>
    <row r="241" spans="1:4" x14ac:dyDescent="0.35">
      <c r="A241">
        <v>0.81499999999999995</v>
      </c>
      <c r="B241">
        <f t="shared" si="2"/>
        <v>815</v>
      </c>
      <c r="C241">
        <v>0.93191900000000005</v>
      </c>
      <c r="D241">
        <f t="shared" si="3"/>
        <v>0.79213115000000001</v>
      </c>
    </row>
    <row r="242" spans="1:4" x14ac:dyDescent="0.35">
      <c r="A242">
        <v>0.82</v>
      </c>
      <c r="B242">
        <f t="shared" si="2"/>
        <v>820</v>
      </c>
      <c r="C242">
        <v>0.93380799999999997</v>
      </c>
      <c r="D242">
        <f t="shared" si="3"/>
        <v>0.79373679999999991</v>
      </c>
    </row>
    <row r="243" spans="1:4" x14ac:dyDescent="0.35">
      <c r="A243">
        <v>0.82499999999999996</v>
      </c>
      <c r="B243">
        <f t="shared" si="2"/>
        <v>825</v>
      </c>
      <c r="C243">
        <v>0.93206</v>
      </c>
      <c r="D243">
        <f t="shared" si="3"/>
        <v>0.79225099999999993</v>
      </c>
    </row>
    <row r="244" spans="1:4" x14ac:dyDescent="0.35">
      <c r="A244">
        <v>0.83</v>
      </c>
      <c r="B244">
        <f t="shared" si="2"/>
        <v>830</v>
      </c>
      <c r="C244">
        <v>0.93269500000000005</v>
      </c>
      <c r="D244">
        <f t="shared" si="3"/>
        <v>0.79279074999999999</v>
      </c>
    </row>
    <row r="245" spans="1:4" x14ac:dyDescent="0.35">
      <c r="A245">
        <v>0.83499999999999996</v>
      </c>
      <c r="B245">
        <f t="shared" si="2"/>
        <v>835</v>
      </c>
      <c r="C245">
        <v>0.92983700000000002</v>
      </c>
      <c r="D245">
        <f t="shared" si="3"/>
        <v>0.79036145000000002</v>
      </c>
    </row>
    <row r="246" spans="1:4" x14ac:dyDescent="0.35">
      <c r="A246">
        <v>0.84</v>
      </c>
      <c r="B246">
        <f t="shared" si="2"/>
        <v>840</v>
      </c>
      <c r="C246">
        <v>0.93574800000000002</v>
      </c>
      <c r="D246">
        <f t="shared" si="3"/>
        <v>0.79538580000000003</v>
      </c>
    </row>
    <row r="247" spans="1:4" x14ac:dyDescent="0.35">
      <c r="A247">
        <v>0.84499999999999997</v>
      </c>
      <c r="B247">
        <f t="shared" si="2"/>
        <v>845</v>
      </c>
      <c r="C247">
        <v>0.93316500000000002</v>
      </c>
      <c r="D247">
        <f t="shared" si="3"/>
        <v>0.79319024999999999</v>
      </c>
    </row>
    <row r="248" spans="1:4" x14ac:dyDescent="0.35">
      <c r="A248">
        <v>0.85</v>
      </c>
      <c r="B248">
        <f t="shared" si="2"/>
        <v>850</v>
      </c>
      <c r="C248">
        <v>0.93659599999999998</v>
      </c>
      <c r="D248">
        <f t="shared" si="3"/>
        <v>0.7961066</v>
      </c>
    </row>
    <row r="249" spans="1:4" x14ac:dyDescent="0.35">
      <c r="A249">
        <v>0.85499999999999998</v>
      </c>
      <c r="B249">
        <f t="shared" si="2"/>
        <v>855</v>
      </c>
      <c r="C249">
        <v>0.93545100000000003</v>
      </c>
      <c r="D249">
        <f t="shared" si="3"/>
        <v>0.79513334999999996</v>
      </c>
    </row>
    <row r="250" spans="1:4" x14ac:dyDescent="0.35">
      <c r="A250">
        <v>0.86</v>
      </c>
      <c r="B250">
        <f t="shared" si="2"/>
        <v>860</v>
      </c>
      <c r="C250">
        <v>0.93339300000000003</v>
      </c>
      <c r="D250">
        <f t="shared" si="3"/>
        <v>0.79338405000000001</v>
      </c>
    </row>
    <row r="251" spans="1:4" x14ac:dyDescent="0.35">
      <c r="A251">
        <v>0.86499999999999999</v>
      </c>
      <c r="B251">
        <f t="shared" si="2"/>
        <v>865</v>
      </c>
      <c r="C251">
        <v>0.935222</v>
      </c>
      <c r="D251">
        <f t="shared" si="3"/>
        <v>0.7949387</v>
      </c>
    </row>
    <row r="252" spans="1:4" x14ac:dyDescent="0.35">
      <c r="A252">
        <v>0.87</v>
      </c>
      <c r="B252">
        <f t="shared" si="2"/>
        <v>870</v>
      </c>
      <c r="C252">
        <v>0.935025</v>
      </c>
      <c r="D252">
        <f t="shared" si="3"/>
        <v>0.79477124999999993</v>
      </c>
    </row>
    <row r="253" spans="1:4" x14ac:dyDescent="0.35">
      <c r="A253">
        <v>0.875</v>
      </c>
      <c r="B253">
        <f t="shared" si="2"/>
        <v>875</v>
      </c>
      <c r="C253">
        <v>0.93425100000000005</v>
      </c>
      <c r="D253">
        <f t="shared" si="3"/>
        <v>0.79411335000000005</v>
      </c>
    </row>
    <row r="254" spans="1:4" x14ac:dyDescent="0.35">
      <c r="A254">
        <v>0.88</v>
      </c>
      <c r="B254">
        <f t="shared" si="2"/>
        <v>880</v>
      </c>
      <c r="C254">
        <v>0.937226</v>
      </c>
      <c r="D254">
        <f t="shared" si="3"/>
        <v>0.79664210000000002</v>
      </c>
    </row>
    <row r="255" spans="1:4" x14ac:dyDescent="0.35">
      <c r="A255">
        <v>0.88500000000000001</v>
      </c>
      <c r="B255">
        <f t="shared" si="2"/>
        <v>885</v>
      </c>
      <c r="C255">
        <v>0.93082399999999998</v>
      </c>
      <c r="D255">
        <f t="shared" si="3"/>
        <v>0.79120039999999991</v>
      </c>
    </row>
    <row r="256" spans="1:4" x14ac:dyDescent="0.35">
      <c r="A256">
        <v>0.89</v>
      </c>
      <c r="B256">
        <f t="shared" si="2"/>
        <v>890</v>
      </c>
      <c r="C256">
        <v>0.93164100000000005</v>
      </c>
      <c r="D256">
        <f t="shared" si="3"/>
        <v>0.79189485000000004</v>
      </c>
    </row>
    <row r="257" spans="1:4" x14ac:dyDescent="0.35">
      <c r="A257">
        <v>0.89500000000000002</v>
      </c>
      <c r="B257">
        <f t="shared" si="2"/>
        <v>895</v>
      </c>
      <c r="C257">
        <v>0.93184500000000003</v>
      </c>
      <c r="D257">
        <f t="shared" si="3"/>
        <v>0.79206825000000003</v>
      </c>
    </row>
    <row r="258" spans="1:4" x14ac:dyDescent="0.35">
      <c r="A258">
        <v>0.9</v>
      </c>
      <c r="B258">
        <f t="shared" si="2"/>
        <v>900</v>
      </c>
      <c r="C258">
        <v>0.93339700000000003</v>
      </c>
      <c r="D258">
        <f t="shared" si="3"/>
        <v>0.79338744999999999</v>
      </c>
    </row>
    <row r="259" spans="1:4" x14ac:dyDescent="0.35">
      <c r="A259">
        <v>0.90500000000000003</v>
      </c>
      <c r="B259">
        <f t="shared" si="2"/>
        <v>905</v>
      </c>
      <c r="C259">
        <v>0.93315599999999999</v>
      </c>
      <c r="D259">
        <f t="shared" si="3"/>
        <v>0.79318259999999996</v>
      </c>
    </row>
    <row r="260" spans="1:4" x14ac:dyDescent="0.35">
      <c r="A260">
        <v>0.91</v>
      </c>
      <c r="B260">
        <f t="shared" si="2"/>
        <v>910</v>
      </c>
      <c r="C260">
        <v>0.93357400000000001</v>
      </c>
      <c r="D260">
        <f t="shared" si="3"/>
        <v>0.79353790000000002</v>
      </c>
    </row>
    <row r="261" spans="1:4" x14ac:dyDescent="0.35">
      <c r="A261">
        <v>0.91500000000000004</v>
      </c>
      <c r="B261">
        <f t="shared" si="2"/>
        <v>915</v>
      </c>
      <c r="C261">
        <v>0.933388</v>
      </c>
      <c r="D261">
        <f t="shared" si="3"/>
        <v>0.79337979999999997</v>
      </c>
    </row>
    <row r="262" spans="1:4" x14ac:dyDescent="0.35">
      <c r="A262">
        <v>0.92</v>
      </c>
      <c r="B262">
        <f t="shared" si="2"/>
        <v>920</v>
      </c>
      <c r="C262">
        <v>0.93192699999999995</v>
      </c>
      <c r="D262">
        <f t="shared" si="3"/>
        <v>0.79213794999999998</v>
      </c>
    </row>
    <row r="263" spans="1:4" x14ac:dyDescent="0.35">
      <c r="A263">
        <v>0.92500000000000004</v>
      </c>
      <c r="B263">
        <f t="shared" si="2"/>
        <v>925</v>
      </c>
      <c r="C263">
        <v>0.93546099999999999</v>
      </c>
      <c r="D263">
        <f t="shared" si="3"/>
        <v>0.79514184999999993</v>
      </c>
    </row>
    <row r="264" spans="1:4" x14ac:dyDescent="0.35">
      <c r="A264">
        <v>0.93</v>
      </c>
      <c r="B264">
        <f t="shared" si="2"/>
        <v>930</v>
      </c>
      <c r="C264">
        <v>0.93253799999999998</v>
      </c>
      <c r="D264">
        <f t="shared" si="3"/>
        <v>0.79265730000000001</v>
      </c>
    </row>
    <row r="265" spans="1:4" x14ac:dyDescent="0.35">
      <c r="A265">
        <v>0.93500000000000005</v>
      </c>
      <c r="B265">
        <f t="shared" si="2"/>
        <v>935</v>
      </c>
      <c r="C265">
        <v>0.93313599999999997</v>
      </c>
      <c r="D265">
        <f t="shared" si="3"/>
        <v>0.79316559999999992</v>
      </c>
    </row>
    <row r="266" spans="1:4" x14ac:dyDescent="0.35">
      <c r="A266">
        <v>0.94</v>
      </c>
      <c r="B266">
        <f t="shared" si="2"/>
        <v>940</v>
      </c>
      <c r="C266">
        <v>0.93224899999999999</v>
      </c>
      <c r="D266">
        <f t="shared" si="3"/>
        <v>0.79241165000000002</v>
      </c>
    </row>
    <row r="267" spans="1:4" x14ac:dyDescent="0.35">
      <c r="A267">
        <v>0.94499999999999995</v>
      </c>
      <c r="B267">
        <f t="shared" ref="B267:B330" si="4">A267*1000</f>
        <v>945</v>
      </c>
      <c r="C267">
        <v>0.93228299999999997</v>
      </c>
      <c r="D267">
        <f t="shared" ref="D267:D330" si="5">C267*$D$137</f>
        <v>0.79244054999999991</v>
      </c>
    </row>
    <row r="268" spans="1:4" x14ac:dyDescent="0.35">
      <c r="A268">
        <v>0.95</v>
      </c>
      <c r="B268">
        <f t="shared" si="4"/>
        <v>950</v>
      </c>
      <c r="C268">
        <v>0.932114</v>
      </c>
      <c r="D268">
        <f t="shared" si="5"/>
        <v>0.79229689999999997</v>
      </c>
    </row>
    <row r="269" spans="1:4" x14ac:dyDescent="0.35">
      <c r="A269">
        <v>0.95499999999999996</v>
      </c>
      <c r="B269">
        <f t="shared" si="4"/>
        <v>955</v>
      </c>
      <c r="C269">
        <v>0.92742599999999997</v>
      </c>
      <c r="D269">
        <f t="shared" si="5"/>
        <v>0.78831209999999996</v>
      </c>
    </row>
    <row r="270" spans="1:4" x14ac:dyDescent="0.35">
      <c r="A270">
        <v>0.96</v>
      </c>
      <c r="B270">
        <f t="shared" si="4"/>
        <v>960</v>
      </c>
      <c r="C270">
        <v>0.92915700000000001</v>
      </c>
      <c r="D270">
        <f t="shared" si="5"/>
        <v>0.78978344999999994</v>
      </c>
    </row>
    <row r="271" spans="1:4" x14ac:dyDescent="0.35">
      <c r="A271">
        <v>0.96499999999999997</v>
      </c>
      <c r="B271">
        <f t="shared" si="4"/>
        <v>965</v>
      </c>
      <c r="C271">
        <v>0.92650600000000005</v>
      </c>
      <c r="D271">
        <f t="shared" si="5"/>
        <v>0.78753010000000001</v>
      </c>
    </row>
    <row r="272" spans="1:4" x14ac:dyDescent="0.35">
      <c r="A272">
        <v>0.97</v>
      </c>
      <c r="B272">
        <f t="shared" si="4"/>
        <v>970</v>
      </c>
      <c r="C272">
        <v>0.92910599999999999</v>
      </c>
      <c r="D272">
        <f t="shared" si="5"/>
        <v>0.78974009999999994</v>
      </c>
    </row>
    <row r="273" spans="1:4" x14ac:dyDescent="0.35">
      <c r="A273">
        <v>0.97499999999999998</v>
      </c>
      <c r="B273">
        <f t="shared" si="4"/>
        <v>975</v>
      </c>
      <c r="C273">
        <v>0.93492699999999995</v>
      </c>
      <c r="D273">
        <f t="shared" si="5"/>
        <v>0.79468794999999992</v>
      </c>
    </row>
    <row r="274" spans="1:4" x14ac:dyDescent="0.35">
      <c r="A274">
        <v>0.98</v>
      </c>
      <c r="B274">
        <f t="shared" si="4"/>
        <v>980</v>
      </c>
      <c r="C274">
        <v>0.93597399999999997</v>
      </c>
      <c r="D274">
        <f t="shared" si="5"/>
        <v>0.79557789999999995</v>
      </c>
    </row>
    <row r="275" spans="1:4" x14ac:dyDescent="0.35">
      <c r="A275">
        <v>0.98499999999999999</v>
      </c>
      <c r="B275">
        <f t="shared" si="4"/>
        <v>985</v>
      </c>
      <c r="C275">
        <v>0.937693</v>
      </c>
      <c r="D275">
        <f t="shared" si="5"/>
        <v>0.79703904999999997</v>
      </c>
    </row>
    <row r="276" spans="1:4" x14ac:dyDescent="0.35">
      <c r="A276">
        <v>0.99</v>
      </c>
      <c r="B276">
        <f t="shared" si="4"/>
        <v>990</v>
      </c>
      <c r="C276">
        <v>0.93571599999999999</v>
      </c>
      <c r="D276">
        <f t="shared" si="5"/>
        <v>0.79535860000000003</v>
      </c>
    </row>
    <row r="277" spans="1:4" x14ac:dyDescent="0.35">
      <c r="A277">
        <v>0.995</v>
      </c>
      <c r="B277">
        <f t="shared" si="4"/>
        <v>995</v>
      </c>
      <c r="C277">
        <v>0.935585</v>
      </c>
      <c r="D277">
        <f t="shared" si="5"/>
        <v>0.79524724999999996</v>
      </c>
    </row>
    <row r="278" spans="1:4" x14ac:dyDescent="0.35">
      <c r="A278">
        <v>1</v>
      </c>
      <c r="B278">
        <f t="shared" si="4"/>
        <v>1000</v>
      </c>
      <c r="C278">
        <v>0.94000899999999998</v>
      </c>
      <c r="D278">
        <f t="shared" si="5"/>
        <v>0.79900764999999996</v>
      </c>
    </row>
    <row r="279" spans="1:4" x14ac:dyDescent="0.35">
      <c r="A279">
        <v>1.0049999999999999</v>
      </c>
      <c r="B279">
        <f t="shared" si="4"/>
        <v>1004.9999999999999</v>
      </c>
      <c r="C279">
        <v>0.93704799999999999</v>
      </c>
      <c r="D279">
        <f t="shared" si="5"/>
        <v>0.79649079999999994</v>
      </c>
    </row>
    <row r="280" spans="1:4" x14ac:dyDescent="0.35">
      <c r="A280">
        <v>1.01</v>
      </c>
      <c r="B280">
        <f t="shared" si="4"/>
        <v>1010</v>
      </c>
      <c r="C280">
        <v>0.93675900000000001</v>
      </c>
      <c r="D280">
        <f t="shared" si="5"/>
        <v>0.79624514999999996</v>
      </c>
    </row>
    <row r="281" spans="1:4" x14ac:dyDescent="0.35">
      <c r="A281">
        <v>1.0149999999999999</v>
      </c>
      <c r="B281">
        <f t="shared" si="4"/>
        <v>1014.9999999999999</v>
      </c>
      <c r="C281">
        <v>0.93615800000000005</v>
      </c>
      <c r="D281">
        <f t="shared" si="5"/>
        <v>0.79573430000000001</v>
      </c>
    </row>
    <row r="282" spans="1:4" x14ac:dyDescent="0.35">
      <c r="A282">
        <v>1.02</v>
      </c>
      <c r="B282">
        <f t="shared" si="4"/>
        <v>1020</v>
      </c>
      <c r="C282">
        <v>0.93961300000000003</v>
      </c>
      <c r="D282">
        <f t="shared" si="5"/>
        <v>0.79867105000000005</v>
      </c>
    </row>
    <row r="283" spans="1:4" x14ac:dyDescent="0.35">
      <c r="A283">
        <v>1.0249999999999999</v>
      </c>
      <c r="B283">
        <f t="shared" si="4"/>
        <v>1025</v>
      </c>
      <c r="C283">
        <v>0.93798800000000004</v>
      </c>
      <c r="D283">
        <f t="shared" si="5"/>
        <v>0.79728980000000005</v>
      </c>
    </row>
    <row r="284" spans="1:4" x14ac:dyDescent="0.35">
      <c r="A284">
        <v>1.03</v>
      </c>
      <c r="B284">
        <f t="shared" si="4"/>
        <v>1030</v>
      </c>
      <c r="C284">
        <v>0.94034399999999996</v>
      </c>
      <c r="D284">
        <f t="shared" si="5"/>
        <v>0.7992923999999999</v>
      </c>
    </row>
    <row r="285" spans="1:4" x14ac:dyDescent="0.35">
      <c r="A285">
        <v>1.0349999999999999</v>
      </c>
      <c r="B285">
        <f t="shared" si="4"/>
        <v>1035</v>
      </c>
      <c r="C285">
        <v>0.94020899999999996</v>
      </c>
      <c r="D285">
        <f t="shared" si="5"/>
        <v>0.79917764999999996</v>
      </c>
    </row>
    <row r="286" spans="1:4" x14ac:dyDescent="0.35">
      <c r="A286">
        <v>1.04</v>
      </c>
      <c r="B286">
        <f t="shared" si="4"/>
        <v>1040</v>
      </c>
      <c r="C286">
        <v>0.94054000000000004</v>
      </c>
      <c r="D286">
        <f t="shared" si="5"/>
        <v>0.79945900000000003</v>
      </c>
    </row>
    <row r="287" spans="1:4" x14ac:dyDescent="0.35">
      <c r="A287">
        <v>1.0449999999999999</v>
      </c>
      <c r="B287">
        <f t="shared" si="4"/>
        <v>1045</v>
      </c>
      <c r="C287">
        <v>0.94149499999999997</v>
      </c>
      <c r="D287">
        <f t="shared" si="5"/>
        <v>0.80027074999999992</v>
      </c>
    </row>
    <row r="288" spans="1:4" x14ac:dyDescent="0.35">
      <c r="A288">
        <v>1.05</v>
      </c>
      <c r="B288">
        <f t="shared" si="4"/>
        <v>1050</v>
      </c>
      <c r="C288">
        <v>0.94152599999999997</v>
      </c>
      <c r="D288">
        <f t="shared" si="5"/>
        <v>0.80029709999999998</v>
      </c>
    </row>
    <row r="289" spans="1:4" x14ac:dyDescent="0.35">
      <c r="A289">
        <v>1.0549999999999999</v>
      </c>
      <c r="B289">
        <f t="shared" si="4"/>
        <v>1055</v>
      </c>
      <c r="C289">
        <v>0.94224699999999995</v>
      </c>
      <c r="D289">
        <f t="shared" si="5"/>
        <v>0.80090994999999998</v>
      </c>
    </row>
    <row r="290" spans="1:4" x14ac:dyDescent="0.35">
      <c r="A290">
        <v>1.06</v>
      </c>
      <c r="B290">
        <f t="shared" si="4"/>
        <v>1060</v>
      </c>
      <c r="C290">
        <v>0.94270299999999996</v>
      </c>
      <c r="D290">
        <f t="shared" si="5"/>
        <v>0.80129754999999991</v>
      </c>
    </row>
    <row r="291" spans="1:4" x14ac:dyDescent="0.35">
      <c r="A291">
        <v>1.0649999999999999</v>
      </c>
      <c r="B291">
        <f t="shared" si="4"/>
        <v>1065</v>
      </c>
      <c r="C291">
        <v>0.94258699999999995</v>
      </c>
      <c r="D291">
        <f t="shared" si="5"/>
        <v>0.80119894999999997</v>
      </c>
    </row>
    <row r="292" spans="1:4" x14ac:dyDescent="0.35">
      <c r="A292">
        <v>1.07</v>
      </c>
      <c r="B292">
        <f t="shared" si="4"/>
        <v>1070</v>
      </c>
      <c r="C292">
        <v>0.94312099999999999</v>
      </c>
      <c r="D292">
        <f t="shared" si="5"/>
        <v>0.80165284999999997</v>
      </c>
    </row>
    <row r="293" spans="1:4" x14ac:dyDescent="0.35">
      <c r="A293">
        <v>1.075</v>
      </c>
      <c r="B293">
        <f t="shared" si="4"/>
        <v>1075</v>
      </c>
      <c r="C293">
        <v>0.94086899999999996</v>
      </c>
      <c r="D293">
        <f t="shared" si="5"/>
        <v>0.79973865</v>
      </c>
    </row>
    <row r="294" spans="1:4" x14ac:dyDescent="0.35">
      <c r="A294">
        <v>1.08</v>
      </c>
      <c r="B294">
        <f t="shared" si="4"/>
        <v>1080</v>
      </c>
      <c r="C294">
        <v>0.94095300000000004</v>
      </c>
      <c r="D294">
        <f t="shared" si="5"/>
        <v>0.79981005000000005</v>
      </c>
    </row>
    <row r="295" spans="1:4" x14ac:dyDescent="0.35">
      <c r="A295">
        <v>1.085</v>
      </c>
      <c r="B295">
        <f t="shared" si="4"/>
        <v>1085</v>
      </c>
      <c r="C295">
        <v>0.94045000000000001</v>
      </c>
      <c r="D295">
        <f t="shared" si="5"/>
        <v>0.7993825</v>
      </c>
    </row>
    <row r="296" spans="1:4" x14ac:dyDescent="0.35">
      <c r="A296">
        <v>1.0900000000000001</v>
      </c>
      <c r="B296">
        <f t="shared" si="4"/>
        <v>1090</v>
      </c>
      <c r="C296">
        <v>0.94536299999999995</v>
      </c>
      <c r="D296">
        <f t="shared" si="5"/>
        <v>0.80355854999999998</v>
      </c>
    </row>
    <row r="297" spans="1:4" x14ac:dyDescent="0.35">
      <c r="A297">
        <v>1.095</v>
      </c>
      <c r="B297">
        <f t="shared" si="4"/>
        <v>1095</v>
      </c>
      <c r="C297">
        <v>0.94460900000000003</v>
      </c>
      <c r="D297">
        <f t="shared" si="5"/>
        <v>0.80291765000000004</v>
      </c>
    </row>
    <row r="298" spans="1:4" x14ac:dyDescent="0.35">
      <c r="A298">
        <v>1.1000000000000001</v>
      </c>
      <c r="B298">
        <f t="shared" si="4"/>
        <v>1100</v>
      </c>
      <c r="C298">
        <v>0.94394900000000004</v>
      </c>
      <c r="D298">
        <f t="shared" si="5"/>
        <v>0.80235665</v>
      </c>
    </row>
    <row r="299" spans="1:4" x14ac:dyDescent="0.35">
      <c r="A299">
        <v>1.105</v>
      </c>
      <c r="B299">
        <f t="shared" si="4"/>
        <v>1105</v>
      </c>
      <c r="C299">
        <v>0.944693</v>
      </c>
      <c r="D299">
        <f t="shared" si="5"/>
        <v>0.80298904999999998</v>
      </c>
    </row>
    <row r="300" spans="1:4" x14ac:dyDescent="0.35">
      <c r="A300">
        <v>1.1100000000000001</v>
      </c>
      <c r="B300">
        <f t="shared" si="4"/>
        <v>1110</v>
      </c>
      <c r="C300">
        <v>0.94386899999999996</v>
      </c>
      <c r="D300">
        <f t="shared" si="5"/>
        <v>0.80228864999999994</v>
      </c>
    </row>
    <row r="301" spans="1:4" x14ac:dyDescent="0.35">
      <c r="A301">
        <v>1.115</v>
      </c>
      <c r="B301">
        <f t="shared" si="4"/>
        <v>1115</v>
      </c>
      <c r="C301">
        <v>0.94686599999999999</v>
      </c>
      <c r="D301">
        <f t="shared" si="5"/>
        <v>0.80483609999999994</v>
      </c>
    </row>
    <row r="302" spans="1:4" x14ac:dyDescent="0.35">
      <c r="A302">
        <v>1.1200000000000001</v>
      </c>
      <c r="B302">
        <f t="shared" si="4"/>
        <v>1120</v>
      </c>
      <c r="C302">
        <v>0.94423400000000002</v>
      </c>
      <c r="D302">
        <f t="shared" si="5"/>
        <v>0.8025989</v>
      </c>
    </row>
    <row r="303" spans="1:4" x14ac:dyDescent="0.35">
      <c r="A303">
        <v>1.125</v>
      </c>
      <c r="B303">
        <f t="shared" si="4"/>
        <v>1125</v>
      </c>
      <c r="C303">
        <v>0.94877900000000004</v>
      </c>
      <c r="D303">
        <f t="shared" si="5"/>
        <v>0.80646214999999999</v>
      </c>
    </row>
    <row r="304" spans="1:4" x14ac:dyDescent="0.35">
      <c r="A304">
        <v>1.1299999999999999</v>
      </c>
      <c r="B304">
        <f t="shared" si="4"/>
        <v>1130</v>
      </c>
      <c r="C304">
        <v>0.94658699999999996</v>
      </c>
      <c r="D304">
        <f t="shared" si="5"/>
        <v>0.80459894999999992</v>
      </c>
    </row>
    <row r="305" spans="1:4" x14ac:dyDescent="0.35">
      <c r="A305">
        <v>1.135</v>
      </c>
      <c r="B305">
        <f t="shared" si="4"/>
        <v>1135</v>
      </c>
      <c r="C305">
        <v>0.94522499999999998</v>
      </c>
      <c r="D305">
        <f t="shared" si="5"/>
        <v>0.80344125</v>
      </c>
    </row>
    <row r="306" spans="1:4" x14ac:dyDescent="0.35">
      <c r="A306">
        <v>1.1399999999999999</v>
      </c>
      <c r="B306">
        <f t="shared" si="4"/>
        <v>1140</v>
      </c>
      <c r="C306">
        <v>0.94822200000000001</v>
      </c>
      <c r="D306">
        <f t="shared" si="5"/>
        <v>0.8059887</v>
      </c>
    </row>
    <row r="307" spans="1:4" x14ac:dyDescent="0.35">
      <c r="A307">
        <v>1.145</v>
      </c>
      <c r="B307">
        <f t="shared" si="4"/>
        <v>1145</v>
      </c>
      <c r="C307">
        <v>0.94698700000000002</v>
      </c>
      <c r="D307">
        <f t="shared" si="5"/>
        <v>0.80493895000000004</v>
      </c>
    </row>
    <row r="308" spans="1:4" x14ac:dyDescent="0.35">
      <c r="A308">
        <v>1.1499999999999999</v>
      </c>
      <c r="B308">
        <f t="shared" si="4"/>
        <v>1150</v>
      </c>
      <c r="C308">
        <v>0.94609600000000005</v>
      </c>
      <c r="D308">
        <f t="shared" si="5"/>
        <v>0.80418160000000005</v>
      </c>
    </row>
    <row r="309" spans="1:4" x14ac:dyDescent="0.35">
      <c r="A309">
        <v>1.155</v>
      </c>
      <c r="B309">
        <f t="shared" si="4"/>
        <v>1155</v>
      </c>
      <c r="C309">
        <v>0.94696000000000002</v>
      </c>
      <c r="D309">
        <f t="shared" si="5"/>
        <v>0.80491599999999996</v>
      </c>
    </row>
    <row r="310" spans="1:4" x14ac:dyDescent="0.35">
      <c r="A310">
        <v>1.1599999999999999</v>
      </c>
      <c r="B310">
        <f t="shared" si="4"/>
        <v>1160</v>
      </c>
      <c r="C310">
        <v>0.94717399999999996</v>
      </c>
      <c r="D310">
        <f t="shared" si="5"/>
        <v>0.80509789999999992</v>
      </c>
    </row>
    <row r="311" spans="1:4" x14ac:dyDescent="0.35">
      <c r="A311">
        <v>1.165</v>
      </c>
      <c r="B311">
        <f t="shared" si="4"/>
        <v>1165</v>
      </c>
      <c r="C311">
        <v>0.948654</v>
      </c>
      <c r="D311">
        <f t="shared" si="5"/>
        <v>0.80635590000000001</v>
      </c>
    </row>
    <row r="312" spans="1:4" x14ac:dyDescent="0.35">
      <c r="A312">
        <v>1.17</v>
      </c>
      <c r="B312">
        <f t="shared" si="4"/>
        <v>1170</v>
      </c>
      <c r="C312">
        <v>0.94898099999999996</v>
      </c>
      <c r="D312">
        <f t="shared" si="5"/>
        <v>0.80663384999999999</v>
      </c>
    </row>
    <row r="313" spans="1:4" x14ac:dyDescent="0.35">
      <c r="A313">
        <v>1.175</v>
      </c>
      <c r="B313">
        <f t="shared" si="4"/>
        <v>1175</v>
      </c>
      <c r="C313">
        <v>0.94696100000000005</v>
      </c>
      <c r="D313">
        <f t="shared" si="5"/>
        <v>0.80491685000000002</v>
      </c>
    </row>
    <row r="314" spans="1:4" x14ac:dyDescent="0.35">
      <c r="A314">
        <v>1.18</v>
      </c>
      <c r="B314">
        <f t="shared" si="4"/>
        <v>1180</v>
      </c>
      <c r="C314">
        <v>0.94799800000000001</v>
      </c>
      <c r="D314">
        <f t="shared" si="5"/>
        <v>0.80579829999999997</v>
      </c>
    </row>
    <row r="315" spans="1:4" x14ac:dyDescent="0.35">
      <c r="A315">
        <v>1.1850000000000001</v>
      </c>
      <c r="B315">
        <f t="shared" si="4"/>
        <v>1185</v>
      </c>
      <c r="C315">
        <v>0.94914299999999996</v>
      </c>
      <c r="D315">
        <f t="shared" si="5"/>
        <v>0.80677154999999989</v>
      </c>
    </row>
    <row r="316" spans="1:4" x14ac:dyDescent="0.35">
      <c r="A316">
        <v>1.19</v>
      </c>
      <c r="B316">
        <f t="shared" si="4"/>
        <v>1190</v>
      </c>
      <c r="C316">
        <v>0.95030199999999998</v>
      </c>
      <c r="D316">
        <f t="shared" si="5"/>
        <v>0.80775669999999999</v>
      </c>
    </row>
    <row r="317" spans="1:4" x14ac:dyDescent="0.35">
      <c r="A317">
        <v>1.1950000000000001</v>
      </c>
      <c r="B317">
        <f t="shared" si="4"/>
        <v>1195</v>
      </c>
      <c r="C317">
        <v>0.94837400000000005</v>
      </c>
      <c r="D317">
        <f t="shared" si="5"/>
        <v>0.80611790000000005</v>
      </c>
    </row>
    <row r="318" spans="1:4" x14ac:dyDescent="0.35">
      <c r="A318">
        <v>1.2</v>
      </c>
      <c r="B318">
        <f t="shared" si="4"/>
        <v>1200</v>
      </c>
      <c r="C318">
        <v>0.94970500000000002</v>
      </c>
      <c r="D318">
        <f t="shared" si="5"/>
        <v>0.80724925000000003</v>
      </c>
    </row>
    <row r="319" spans="1:4" x14ac:dyDescent="0.35">
      <c r="A319">
        <v>1.2050000000000001</v>
      </c>
      <c r="B319">
        <f t="shared" si="4"/>
        <v>1205</v>
      </c>
      <c r="C319">
        <v>0.94811500000000004</v>
      </c>
      <c r="D319">
        <f t="shared" si="5"/>
        <v>0.80589774999999997</v>
      </c>
    </row>
    <row r="320" spans="1:4" x14ac:dyDescent="0.35">
      <c r="A320">
        <v>1.21</v>
      </c>
      <c r="B320">
        <f t="shared" si="4"/>
        <v>1210</v>
      </c>
      <c r="C320">
        <v>0.94652499999999995</v>
      </c>
      <c r="D320">
        <f t="shared" si="5"/>
        <v>0.80454624999999991</v>
      </c>
    </row>
    <row r="321" spans="1:4" x14ac:dyDescent="0.35">
      <c r="A321">
        <v>1.2150000000000001</v>
      </c>
      <c r="B321">
        <f t="shared" si="4"/>
        <v>1215</v>
      </c>
      <c r="C321">
        <v>0.94994299999999998</v>
      </c>
      <c r="D321">
        <f t="shared" si="5"/>
        <v>0.80745155000000002</v>
      </c>
    </row>
    <row r="322" spans="1:4" x14ac:dyDescent="0.35">
      <c r="A322">
        <v>1.22</v>
      </c>
      <c r="B322">
        <f t="shared" si="4"/>
        <v>1220</v>
      </c>
      <c r="C322">
        <v>0.94678499999999999</v>
      </c>
      <c r="D322">
        <f t="shared" si="5"/>
        <v>0.80476724999999993</v>
      </c>
    </row>
    <row r="323" spans="1:4" x14ac:dyDescent="0.35">
      <c r="A323">
        <v>1.2250000000000001</v>
      </c>
      <c r="B323">
        <f t="shared" si="4"/>
        <v>1225</v>
      </c>
      <c r="C323">
        <v>0.94569000000000003</v>
      </c>
      <c r="D323">
        <f t="shared" si="5"/>
        <v>0.80383649999999995</v>
      </c>
    </row>
    <row r="324" spans="1:4" x14ac:dyDescent="0.35">
      <c r="A324">
        <v>1.23</v>
      </c>
      <c r="B324">
        <f t="shared" si="4"/>
        <v>1230</v>
      </c>
      <c r="C324">
        <v>0.94140900000000005</v>
      </c>
      <c r="D324">
        <f t="shared" si="5"/>
        <v>0.80019764999999998</v>
      </c>
    </row>
    <row r="325" spans="1:4" x14ac:dyDescent="0.35">
      <c r="A325">
        <v>1.2350000000000001</v>
      </c>
      <c r="B325">
        <f t="shared" si="4"/>
        <v>1235</v>
      </c>
      <c r="C325">
        <v>0.941187</v>
      </c>
      <c r="D325">
        <f t="shared" si="5"/>
        <v>0.80000894999999994</v>
      </c>
    </row>
    <row r="326" spans="1:4" x14ac:dyDescent="0.35">
      <c r="A326">
        <v>1.24</v>
      </c>
      <c r="B326">
        <f t="shared" si="4"/>
        <v>1240</v>
      </c>
      <c r="C326">
        <v>0.93730999999999998</v>
      </c>
      <c r="D326">
        <f t="shared" si="5"/>
        <v>0.79671349999999996</v>
      </c>
    </row>
    <row r="327" spans="1:4" x14ac:dyDescent="0.35">
      <c r="A327">
        <v>1.2450000000000001</v>
      </c>
      <c r="B327">
        <f t="shared" si="4"/>
        <v>1245</v>
      </c>
      <c r="C327">
        <v>0.93957800000000002</v>
      </c>
      <c r="D327">
        <f t="shared" si="5"/>
        <v>0.7986413</v>
      </c>
    </row>
    <row r="328" spans="1:4" x14ac:dyDescent="0.35">
      <c r="A328">
        <v>1.25</v>
      </c>
      <c r="B328">
        <f t="shared" si="4"/>
        <v>1250</v>
      </c>
      <c r="C328">
        <v>0.93983099999999997</v>
      </c>
      <c r="D328">
        <f t="shared" si="5"/>
        <v>0.79885634999999999</v>
      </c>
    </row>
    <row r="329" spans="1:4" x14ac:dyDescent="0.35">
      <c r="A329">
        <v>1.2549999999999999</v>
      </c>
      <c r="B329">
        <f t="shared" si="4"/>
        <v>1255</v>
      </c>
      <c r="C329">
        <v>0.94329200000000002</v>
      </c>
      <c r="D329">
        <f t="shared" si="5"/>
        <v>0.80179820000000002</v>
      </c>
    </row>
    <row r="330" spans="1:4" x14ac:dyDescent="0.35">
      <c r="A330">
        <v>1.26</v>
      </c>
      <c r="B330">
        <f t="shared" si="4"/>
        <v>1260</v>
      </c>
      <c r="C330">
        <v>0.94273700000000005</v>
      </c>
      <c r="D330">
        <f t="shared" si="5"/>
        <v>0.80132645000000002</v>
      </c>
    </row>
    <row r="331" spans="1:4" x14ac:dyDescent="0.35">
      <c r="A331">
        <v>1.2649999999999999</v>
      </c>
      <c r="B331">
        <f t="shared" ref="B331:B394" si="6">A331*1000</f>
        <v>1265</v>
      </c>
      <c r="C331">
        <v>0.94355500000000003</v>
      </c>
      <c r="D331">
        <f t="shared" ref="D331:D394" si="7">C331*$D$137</f>
        <v>0.80202174999999998</v>
      </c>
    </row>
    <row r="332" spans="1:4" x14ac:dyDescent="0.35">
      <c r="A332">
        <v>1.27</v>
      </c>
      <c r="B332">
        <f t="shared" si="6"/>
        <v>1270</v>
      </c>
      <c r="C332">
        <v>0.94171400000000005</v>
      </c>
      <c r="D332">
        <f t="shared" si="7"/>
        <v>0.80045690000000003</v>
      </c>
    </row>
    <row r="333" spans="1:4" x14ac:dyDescent="0.35">
      <c r="A333">
        <v>1.2749999999999999</v>
      </c>
      <c r="B333">
        <f t="shared" si="6"/>
        <v>1275</v>
      </c>
      <c r="C333">
        <v>0.93783899999999998</v>
      </c>
      <c r="D333">
        <f t="shared" si="7"/>
        <v>0.79716314999999993</v>
      </c>
    </row>
    <row r="334" spans="1:4" x14ac:dyDescent="0.35">
      <c r="A334">
        <v>1.28</v>
      </c>
      <c r="B334">
        <f t="shared" si="6"/>
        <v>1280</v>
      </c>
      <c r="C334">
        <v>0.93763099999999999</v>
      </c>
      <c r="D334">
        <f t="shared" si="7"/>
        <v>0.79698634999999995</v>
      </c>
    </row>
    <row r="335" spans="1:4" x14ac:dyDescent="0.35">
      <c r="A335">
        <v>1.2849999999999999</v>
      </c>
      <c r="B335">
        <f t="shared" si="6"/>
        <v>1285</v>
      </c>
      <c r="C335">
        <v>0.93428900000000004</v>
      </c>
      <c r="D335">
        <f t="shared" si="7"/>
        <v>0.79414565000000004</v>
      </c>
    </row>
    <row r="336" spans="1:4" x14ac:dyDescent="0.35">
      <c r="A336">
        <v>1.29</v>
      </c>
      <c r="B336">
        <f t="shared" si="6"/>
        <v>1290</v>
      </c>
      <c r="C336">
        <v>0.93227099999999996</v>
      </c>
      <c r="D336">
        <f t="shared" si="7"/>
        <v>0.79243034999999995</v>
      </c>
    </row>
    <row r="337" spans="1:4" x14ac:dyDescent="0.35">
      <c r="A337">
        <v>1.2949999999999999</v>
      </c>
      <c r="B337">
        <f t="shared" si="6"/>
        <v>1295</v>
      </c>
      <c r="C337">
        <v>0.92515099999999995</v>
      </c>
      <c r="D337">
        <f t="shared" si="7"/>
        <v>0.78637834999999989</v>
      </c>
    </row>
    <row r="338" spans="1:4" x14ac:dyDescent="0.35">
      <c r="A338">
        <v>1.3</v>
      </c>
      <c r="B338">
        <f t="shared" si="6"/>
        <v>1300</v>
      </c>
      <c r="C338">
        <v>0.92076800000000003</v>
      </c>
      <c r="D338">
        <f t="shared" si="7"/>
        <v>0.78265280000000004</v>
      </c>
    </row>
    <row r="339" spans="1:4" x14ac:dyDescent="0.35">
      <c r="A339">
        <v>1.3049999999999999</v>
      </c>
      <c r="B339">
        <f t="shared" si="6"/>
        <v>1305</v>
      </c>
      <c r="C339">
        <v>0.91676599999999997</v>
      </c>
      <c r="D339">
        <f t="shared" si="7"/>
        <v>0.77925109999999997</v>
      </c>
    </row>
    <row r="340" spans="1:4" x14ac:dyDescent="0.35">
      <c r="A340">
        <v>1.31</v>
      </c>
      <c r="B340">
        <f t="shared" si="6"/>
        <v>1310</v>
      </c>
      <c r="C340">
        <v>0.91433500000000001</v>
      </c>
      <c r="D340">
        <f t="shared" si="7"/>
        <v>0.77718474999999998</v>
      </c>
    </row>
    <row r="341" spans="1:4" x14ac:dyDescent="0.35">
      <c r="A341">
        <v>1.3149999999999999</v>
      </c>
      <c r="B341">
        <f t="shared" si="6"/>
        <v>1315</v>
      </c>
      <c r="C341">
        <v>0.91329000000000005</v>
      </c>
      <c r="D341">
        <f t="shared" si="7"/>
        <v>0.77629650000000006</v>
      </c>
    </row>
    <row r="342" spans="1:4" x14ac:dyDescent="0.35">
      <c r="A342">
        <v>1.32</v>
      </c>
      <c r="B342">
        <f t="shared" si="6"/>
        <v>1320</v>
      </c>
      <c r="C342">
        <v>0.91054599999999997</v>
      </c>
      <c r="D342">
        <f t="shared" si="7"/>
        <v>0.77396409999999993</v>
      </c>
    </row>
    <row r="343" spans="1:4" x14ac:dyDescent="0.35">
      <c r="A343">
        <v>1.325</v>
      </c>
      <c r="B343">
        <f t="shared" si="6"/>
        <v>1325</v>
      </c>
      <c r="C343">
        <v>0.90764199999999995</v>
      </c>
      <c r="D343">
        <f t="shared" si="7"/>
        <v>0.7714956999999999</v>
      </c>
    </row>
    <row r="344" spans="1:4" x14ac:dyDescent="0.35">
      <c r="A344">
        <v>1.33</v>
      </c>
      <c r="B344">
        <f t="shared" si="6"/>
        <v>1330</v>
      </c>
      <c r="C344">
        <v>0.90670700000000004</v>
      </c>
      <c r="D344">
        <f t="shared" si="7"/>
        <v>0.77070095000000005</v>
      </c>
    </row>
    <row r="345" spans="1:4" x14ac:dyDescent="0.35">
      <c r="A345">
        <v>1.335</v>
      </c>
      <c r="B345">
        <f t="shared" si="6"/>
        <v>1335</v>
      </c>
      <c r="C345">
        <v>0.90624099999999996</v>
      </c>
      <c r="D345">
        <f t="shared" si="7"/>
        <v>0.77030484999999993</v>
      </c>
    </row>
    <row r="346" spans="1:4" x14ac:dyDescent="0.35">
      <c r="A346">
        <v>1.34</v>
      </c>
      <c r="B346">
        <f t="shared" si="6"/>
        <v>1340</v>
      </c>
      <c r="C346">
        <v>0.90410100000000004</v>
      </c>
      <c r="D346">
        <f t="shared" si="7"/>
        <v>0.76848585000000003</v>
      </c>
    </row>
    <row r="347" spans="1:4" x14ac:dyDescent="0.35">
      <c r="A347">
        <v>1.345</v>
      </c>
      <c r="B347">
        <f t="shared" si="6"/>
        <v>1345</v>
      </c>
      <c r="C347">
        <v>0.90178199999999997</v>
      </c>
      <c r="D347">
        <f t="shared" si="7"/>
        <v>0.76651469999999999</v>
      </c>
    </row>
    <row r="348" spans="1:4" x14ac:dyDescent="0.35">
      <c r="A348">
        <v>1.35</v>
      </c>
      <c r="B348">
        <f t="shared" si="6"/>
        <v>1350</v>
      </c>
      <c r="C348">
        <v>0.89498599999999995</v>
      </c>
      <c r="D348">
        <f t="shared" si="7"/>
        <v>0.76073809999999997</v>
      </c>
    </row>
    <row r="349" spans="1:4" x14ac:dyDescent="0.35">
      <c r="A349">
        <v>1.355</v>
      </c>
      <c r="B349">
        <f t="shared" si="6"/>
        <v>1355</v>
      </c>
      <c r="C349">
        <v>0.87729999999999997</v>
      </c>
      <c r="D349">
        <f t="shared" si="7"/>
        <v>0.74570499999999995</v>
      </c>
    </row>
    <row r="350" spans="1:4" x14ac:dyDescent="0.35">
      <c r="A350">
        <v>1.36</v>
      </c>
      <c r="B350">
        <f t="shared" si="6"/>
        <v>1360</v>
      </c>
      <c r="C350">
        <v>0.87138800000000005</v>
      </c>
      <c r="D350">
        <f t="shared" si="7"/>
        <v>0.7406798</v>
      </c>
    </row>
    <row r="351" spans="1:4" x14ac:dyDescent="0.35">
      <c r="A351">
        <v>1.365</v>
      </c>
      <c r="B351">
        <f t="shared" si="6"/>
        <v>1365</v>
      </c>
      <c r="C351">
        <v>0.873031</v>
      </c>
      <c r="D351">
        <f t="shared" si="7"/>
        <v>0.74207634999999994</v>
      </c>
    </row>
    <row r="352" spans="1:4" x14ac:dyDescent="0.35">
      <c r="A352">
        <v>1.37</v>
      </c>
      <c r="B352">
        <f t="shared" si="6"/>
        <v>1370</v>
      </c>
      <c r="C352">
        <v>0.86809000000000003</v>
      </c>
      <c r="D352">
        <f t="shared" si="7"/>
        <v>0.73787650000000005</v>
      </c>
    </row>
    <row r="353" spans="1:4" x14ac:dyDescent="0.35">
      <c r="A353">
        <v>1.375</v>
      </c>
      <c r="B353">
        <f t="shared" si="6"/>
        <v>1375</v>
      </c>
      <c r="C353">
        <v>0.85666600000000004</v>
      </c>
      <c r="D353">
        <f t="shared" si="7"/>
        <v>0.72816610000000004</v>
      </c>
    </row>
    <row r="354" spans="1:4" x14ac:dyDescent="0.35">
      <c r="A354">
        <v>1.38</v>
      </c>
      <c r="B354">
        <f t="shared" si="6"/>
        <v>1380</v>
      </c>
      <c r="C354">
        <v>0.83037099999999997</v>
      </c>
      <c r="D354">
        <f t="shared" si="7"/>
        <v>0.70581534999999995</v>
      </c>
    </row>
    <row r="355" spans="1:4" x14ac:dyDescent="0.35">
      <c r="A355">
        <v>1.385</v>
      </c>
      <c r="B355">
        <f t="shared" si="6"/>
        <v>1385</v>
      </c>
      <c r="C355">
        <v>0.80940900000000005</v>
      </c>
      <c r="D355">
        <f t="shared" si="7"/>
        <v>0.68799765000000002</v>
      </c>
    </row>
    <row r="356" spans="1:4" x14ac:dyDescent="0.35">
      <c r="A356">
        <v>1.39</v>
      </c>
      <c r="B356">
        <f t="shared" si="6"/>
        <v>1390</v>
      </c>
      <c r="C356">
        <v>0.78380899999999998</v>
      </c>
      <c r="D356">
        <f t="shared" si="7"/>
        <v>0.66623765000000001</v>
      </c>
    </row>
    <row r="357" spans="1:4" x14ac:dyDescent="0.35">
      <c r="A357">
        <v>1.395</v>
      </c>
      <c r="B357">
        <f t="shared" si="6"/>
        <v>1395</v>
      </c>
      <c r="C357">
        <v>0.75761699999999998</v>
      </c>
      <c r="D357">
        <f t="shared" si="7"/>
        <v>0.64397444999999998</v>
      </c>
    </row>
    <row r="358" spans="1:4" x14ac:dyDescent="0.35">
      <c r="A358">
        <v>1.4</v>
      </c>
      <c r="B358">
        <f t="shared" si="6"/>
        <v>1400</v>
      </c>
      <c r="C358">
        <v>0.76791399999999999</v>
      </c>
      <c r="D358">
        <f t="shared" si="7"/>
        <v>0.6527269</v>
      </c>
    </row>
    <row r="359" spans="1:4" x14ac:dyDescent="0.35">
      <c r="A359">
        <v>1.405</v>
      </c>
      <c r="B359">
        <f t="shared" si="6"/>
        <v>1405</v>
      </c>
      <c r="C359">
        <v>0.77619700000000003</v>
      </c>
      <c r="D359">
        <f t="shared" si="7"/>
        <v>0.65976745000000003</v>
      </c>
    </row>
    <row r="360" spans="1:4" x14ac:dyDescent="0.35">
      <c r="A360">
        <v>1.41</v>
      </c>
      <c r="B360">
        <f t="shared" si="6"/>
        <v>1410</v>
      </c>
      <c r="C360">
        <v>0.78539999999999999</v>
      </c>
      <c r="D360">
        <f t="shared" si="7"/>
        <v>0.66759000000000002</v>
      </c>
    </row>
    <row r="361" spans="1:4" x14ac:dyDescent="0.35">
      <c r="A361">
        <v>1.415</v>
      </c>
      <c r="B361">
        <f t="shared" si="6"/>
        <v>1415</v>
      </c>
      <c r="C361">
        <v>0.67779800000000001</v>
      </c>
      <c r="D361">
        <f t="shared" si="7"/>
        <v>0.57612830000000004</v>
      </c>
    </row>
    <row r="362" spans="1:4" x14ac:dyDescent="0.35">
      <c r="A362">
        <v>1.42</v>
      </c>
      <c r="B362">
        <f t="shared" si="6"/>
        <v>1420</v>
      </c>
      <c r="C362">
        <v>0.78519700000000003</v>
      </c>
      <c r="D362">
        <f t="shared" si="7"/>
        <v>0.66741744999999997</v>
      </c>
    </row>
    <row r="363" spans="1:4" x14ac:dyDescent="0.35">
      <c r="A363">
        <v>1.425</v>
      </c>
      <c r="B363">
        <f t="shared" si="6"/>
        <v>1425</v>
      </c>
      <c r="C363">
        <v>0.85426199999999997</v>
      </c>
      <c r="D363">
        <f t="shared" si="7"/>
        <v>0.7261226999999999</v>
      </c>
    </row>
    <row r="364" spans="1:4" x14ac:dyDescent="0.35">
      <c r="A364">
        <v>1.43</v>
      </c>
      <c r="B364">
        <f t="shared" si="6"/>
        <v>1430</v>
      </c>
      <c r="C364">
        <v>0.87911499999999998</v>
      </c>
      <c r="D364">
        <f t="shared" si="7"/>
        <v>0.74724774999999999</v>
      </c>
    </row>
    <row r="365" spans="1:4" x14ac:dyDescent="0.35">
      <c r="A365">
        <v>1.4350000000000001</v>
      </c>
      <c r="B365">
        <f t="shared" si="6"/>
        <v>1435</v>
      </c>
      <c r="C365">
        <v>0.89561000000000002</v>
      </c>
      <c r="D365">
        <f t="shared" si="7"/>
        <v>0.76126850000000001</v>
      </c>
    </row>
    <row r="366" spans="1:4" x14ac:dyDescent="0.35">
      <c r="A366">
        <v>1.44</v>
      </c>
      <c r="B366">
        <f t="shared" si="6"/>
        <v>1440</v>
      </c>
      <c r="C366">
        <v>0.90324800000000005</v>
      </c>
      <c r="D366">
        <f t="shared" si="7"/>
        <v>0.76776080000000002</v>
      </c>
    </row>
    <row r="367" spans="1:4" x14ac:dyDescent="0.35">
      <c r="A367">
        <v>1.4450000000000001</v>
      </c>
      <c r="B367">
        <f t="shared" si="6"/>
        <v>1445</v>
      </c>
      <c r="C367">
        <v>0.90743200000000002</v>
      </c>
      <c r="D367">
        <f t="shared" si="7"/>
        <v>0.77131720000000004</v>
      </c>
    </row>
    <row r="368" spans="1:4" x14ac:dyDescent="0.35">
      <c r="A368">
        <v>1.45</v>
      </c>
      <c r="B368">
        <f t="shared" si="6"/>
        <v>1450</v>
      </c>
      <c r="C368">
        <v>0.90583199999999997</v>
      </c>
      <c r="D368">
        <f t="shared" si="7"/>
        <v>0.76995720000000001</v>
      </c>
    </row>
    <row r="369" spans="1:4" x14ac:dyDescent="0.35">
      <c r="A369">
        <v>1.4550000000000001</v>
      </c>
      <c r="B369">
        <f t="shared" si="6"/>
        <v>1455</v>
      </c>
      <c r="C369">
        <v>0.91114600000000001</v>
      </c>
      <c r="D369">
        <f t="shared" si="7"/>
        <v>0.77447409999999994</v>
      </c>
    </row>
    <row r="370" spans="1:4" x14ac:dyDescent="0.35">
      <c r="A370">
        <v>1.46</v>
      </c>
      <c r="B370">
        <f t="shared" si="6"/>
        <v>1460</v>
      </c>
      <c r="C370">
        <v>0.91439499999999996</v>
      </c>
      <c r="D370">
        <f t="shared" si="7"/>
        <v>0.77723574999999989</v>
      </c>
    </row>
    <row r="371" spans="1:4" x14ac:dyDescent="0.35">
      <c r="A371">
        <v>1.4650000000000001</v>
      </c>
      <c r="B371">
        <f t="shared" si="6"/>
        <v>1465</v>
      </c>
      <c r="C371">
        <v>0.91487499999999999</v>
      </c>
      <c r="D371">
        <f t="shared" si="7"/>
        <v>0.77764374999999997</v>
      </c>
    </row>
    <row r="372" spans="1:4" x14ac:dyDescent="0.35">
      <c r="A372">
        <v>1.47</v>
      </c>
      <c r="B372">
        <f t="shared" si="6"/>
        <v>1470</v>
      </c>
      <c r="C372">
        <v>0.91597799999999996</v>
      </c>
      <c r="D372">
        <f t="shared" si="7"/>
        <v>0.77858129999999992</v>
      </c>
    </row>
    <row r="373" spans="1:4" x14ac:dyDescent="0.35">
      <c r="A373">
        <v>1.4750000000000001</v>
      </c>
      <c r="B373">
        <f t="shared" si="6"/>
        <v>1475</v>
      </c>
      <c r="C373">
        <v>0.91913800000000001</v>
      </c>
      <c r="D373">
        <f t="shared" si="7"/>
        <v>0.7812673</v>
      </c>
    </row>
    <row r="374" spans="1:4" x14ac:dyDescent="0.35">
      <c r="A374">
        <v>1.48</v>
      </c>
      <c r="B374">
        <f t="shared" si="6"/>
        <v>1480</v>
      </c>
      <c r="C374">
        <v>0.92208999999999997</v>
      </c>
      <c r="D374">
        <f t="shared" si="7"/>
        <v>0.78377649999999999</v>
      </c>
    </row>
    <row r="375" spans="1:4" x14ac:dyDescent="0.35">
      <c r="A375">
        <v>1.4850000000000001</v>
      </c>
      <c r="B375">
        <f t="shared" si="6"/>
        <v>1485</v>
      </c>
      <c r="C375">
        <v>0.92215100000000005</v>
      </c>
      <c r="D375">
        <f t="shared" si="7"/>
        <v>0.78382835000000006</v>
      </c>
    </row>
    <row r="376" spans="1:4" x14ac:dyDescent="0.35">
      <c r="A376">
        <v>1.49</v>
      </c>
      <c r="B376">
        <f t="shared" si="6"/>
        <v>1490</v>
      </c>
      <c r="C376">
        <v>0.92353200000000002</v>
      </c>
      <c r="D376">
        <f t="shared" si="7"/>
        <v>0.78500219999999998</v>
      </c>
    </row>
    <row r="377" spans="1:4" x14ac:dyDescent="0.35">
      <c r="A377">
        <v>1.4950000000000001</v>
      </c>
      <c r="B377">
        <f t="shared" si="6"/>
        <v>1495</v>
      </c>
      <c r="C377">
        <v>0.92444999999999999</v>
      </c>
      <c r="D377">
        <f t="shared" si="7"/>
        <v>0.78578249999999994</v>
      </c>
    </row>
    <row r="378" spans="1:4" x14ac:dyDescent="0.35">
      <c r="A378">
        <v>1.5</v>
      </c>
      <c r="B378">
        <f t="shared" si="6"/>
        <v>1500</v>
      </c>
      <c r="C378">
        <v>0.92065900000000001</v>
      </c>
      <c r="D378">
        <f t="shared" si="7"/>
        <v>0.78256015000000001</v>
      </c>
    </row>
    <row r="379" spans="1:4" x14ac:dyDescent="0.35">
      <c r="A379">
        <v>1.5049999999999999</v>
      </c>
      <c r="B379">
        <f t="shared" si="6"/>
        <v>1505</v>
      </c>
      <c r="C379">
        <v>0.92594699999999996</v>
      </c>
      <c r="D379">
        <f t="shared" si="7"/>
        <v>0.78705494999999992</v>
      </c>
    </row>
    <row r="380" spans="1:4" x14ac:dyDescent="0.35">
      <c r="A380">
        <v>1.51</v>
      </c>
      <c r="B380">
        <f t="shared" si="6"/>
        <v>1510</v>
      </c>
      <c r="C380">
        <v>0.92746099999999998</v>
      </c>
      <c r="D380">
        <f t="shared" si="7"/>
        <v>0.78834185000000001</v>
      </c>
    </row>
    <row r="381" spans="1:4" x14ac:dyDescent="0.35">
      <c r="A381">
        <v>1.5149999999999999</v>
      </c>
      <c r="B381">
        <f t="shared" si="6"/>
        <v>1515</v>
      </c>
      <c r="C381">
        <v>0.92899600000000004</v>
      </c>
      <c r="D381">
        <f t="shared" si="7"/>
        <v>0.78964659999999998</v>
      </c>
    </row>
    <row r="382" spans="1:4" x14ac:dyDescent="0.35">
      <c r="A382">
        <v>1.52</v>
      </c>
      <c r="B382">
        <f t="shared" si="6"/>
        <v>1520</v>
      </c>
      <c r="C382">
        <v>0.92905400000000005</v>
      </c>
      <c r="D382">
        <f t="shared" si="7"/>
        <v>0.78969590000000001</v>
      </c>
    </row>
    <row r="383" spans="1:4" x14ac:dyDescent="0.35">
      <c r="A383">
        <v>1.5249999999999999</v>
      </c>
      <c r="B383">
        <f t="shared" si="6"/>
        <v>1525</v>
      </c>
      <c r="C383">
        <v>0.92819600000000002</v>
      </c>
      <c r="D383">
        <f t="shared" si="7"/>
        <v>0.78896659999999996</v>
      </c>
    </row>
    <row r="384" spans="1:4" x14ac:dyDescent="0.35">
      <c r="A384">
        <v>1.53</v>
      </c>
      <c r="B384">
        <f t="shared" si="6"/>
        <v>1530</v>
      </c>
      <c r="C384">
        <v>0.93004699999999996</v>
      </c>
      <c r="D384">
        <f t="shared" si="7"/>
        <v>0.79053994999999999</v>
      </c>
    </row>
    <row r="385" spans="1:4" x14ac:dyDescent="0.35">
      <c r="A385">
        <v>1.5349999999999999</v>
      </c>
      <c r="B385">
        <f t="shared" si="6"/>
        <v>1535</v>
      </c>
      <c r="C385">
        <v>0.93116100000000002</v>
      </c>
      <c r="D385">
        <f t="shared" si="7"/>
        <v>0.79148684999999996</v>
      </c>
    </row>
    <row r="386" spans="1:4" x14ac:dyDescent="0.35">
      <c r="A386">
        <v>1.54</v>
      </c>
      <c r="B386">
        <f t="shared" si="6"/>
        <v>1540</v>
      </c>
      <c r="C386">
        <v>0.93062</v>
      </c>
      <c r="D386">
        <f t="shared" si="7"/>
        <v>0.79102700000000004</v>
      </c>
    </row>
    <row r="387" spans="1:4" x14ac:dyDescent="0.35">
      <c r="A387">
        <v>1.5449999999999999</v>
      </c>
      <c r="B387">
        <f t="shared" si="6"/>
        <v>1545</v>
      </c>
      <c r="C387">
        <v>0.93356300000000003</v>
      </c>
      <c r="D387">
        <f t="shared" si="7"/>
        <v>0.79352855</v>
      </c>
    </row>
    <row r="388" spans="1:4" x14ac:dyDescent="0.35">
      <c r="A388">
        <v>1.55</v>
      </c>
      <c r="B388">
        <f t="shared" si="6"/>
        <v>1550</v>
      </c>
      <c r="C388">
        <v>0.93475299999999995</v>
      </c>
      <c r="D388">
        <f t="shared" si="7"/>
        <v>0.79454004999999994</v>
      </c>
    </row>
    <row r="389" spans="1:4" x14ac:dyDescent="0.35">
      <c r="A389">
        <v>1.5549999999999999</v>
      </c>
      <c r="B389">
        <f t="shared" si="6"/>
        <v>1555</v>
      </c>
      <c r="C389">
        <v>0.932091</v>
      </c>
      <c r="D389">
        <f t="shared" si="7"/>
        <v>0.79227734999999999</v>
      </c>
    </row>
    <row r="390" spans="1:4" x14ac:dyDescent="0.35">
      <c r="A390">
        <v>1.56</v>
      </c>
      <c r="B390">
        <f t="shared" si="6"/>
        <v>1560</v>
      </c>
      <c r="C390">
        <v>0.93239799999999995</v>
      </c>
      <c r="D390">
        <f t="shared" si="7"/>
        <v>0.79253829999999992</v>
      </c>
    </row>
    <row r="391" spans="1:4" x14ac:dyDescent="0.35">
      <c r="A391">
        <v>1.5649999999999999</v>
      </c>
      <c r="B391">
        <f t="shared" si="6"/>
        <v>1565</v>
      </c>
      <c r="C391">
        <v>0.93377200000000005</v>
      </c>
      <c r="D391">
        <f t="shared" si="7"/>
        <v>0.79370620000000003</v>
      </c>
    </row>
    <row r="392" spans="1:4" x14ac:dyDescent="0.35">
      <c r="A392">
        <v>1.57</v>
      </c>
      <c r="B392">
        <f t="shared" si="6"/>
        <v>1570</v>
      </c>
      <c r="C392">
        <v>0.93506800000000001</v>
      </c>
      <c r="D392">
        <f t="shared" si="7"/>
        <v>0.79480779999999995</v>
      </c>
    </row>
    <row r="393" spans="1:4" x14ac:dyDescent="0.35">
      <c r="A393">
        <v>1.575</v>
      </c>
      <c r="B393">
        <f t="shared" si="6"/>
        <v>1575</v>
      </c>
      <c r="C393">
        <v>0.93309200000000003</v>
      </c>
      <c r="D393">
        <f t="shared" si="7"/>
        <v>0.79312820000000006</v>
      </c>
    </row>
    <row r="394" spans="1:4" x14ac:dyDescent="0.35">
      <c r="A394">
        <v>1.58</v>
      </c>
      <c r="B394">
        <f t="shared" si="6"/>
        <v>1580</v>
      </c>
      <c r="C394">
        <v>0.937249</v>
      </c>
      <c r="D394">
        <f t="shared" si="7"/>
        <v>0.79666165</v>
      </c>
    </row>
    <row r="395" spans="1:4" x14ac:dyDescent="0.35">
      <c r="A395">
        <v>1.585</v>
      </c>
      <c r="B395">
        <f t="shared" ref="B395:B458" si="8">A395*1000</f>
        <v>1585</v>
      </c>
      <c r="C395">
        <v>0.93383300000000002</v>
      </c>
      <c r="D395">
        <f t="shared" ref="D395:D458" si="9">C395*$D$137</f>
        <v>0.79375804999999999</v>
      </c>
    </row>
    <row r="396" spans="1:4" x14ac:dyDescent="0.35">
      <c r="A396">
        <v>1.59</v>
      </c>
      <c r="B396">
        <f t="shared" si="8"/>
        <v>1590</v>
      </c>
      <c r="C396">
        <v>0.93465699999999996</v>
      </c>
      <c r="D396">
        <f t="shared" si="9"/>
        <v>0.79445844999999993</v>
      </c>
    </row>
    <row r="397" spans="1:4" x14ac:dyDescent="0.35">
      <c r="A397">
        <v>1.595</v>
      </c>
      <c r="B397">
        <f t="shared" si="8"/>
        <v>1595</v>
      </c>
      <c r="C397">
        <v>0.93528999999999995</v>
      </c>
      <c r="D397">
        <f t="shared" si="9"/>
        <v>0.79499649999999999</v>
      </c>
    </row>
    <row r="398" spans="1:4" x14ac:dyDescent="0.35">
      <c r="A398">
        <v>1.6</v>
      </c>
      <c r="B398">
        <f t="shared" si="8"/>
        <v>1600</v>
      </c>
      <c r="C398">
        <v>0.93595600000000001</v>
      </c>
      <c r="D398">
        <f t="shared" si="9"/>
        <v>0.79556260000000001</v>
      </c>
    </row>
    <row r="399" spans="1:4" x14ac:dyDescent="0.35">
      <c r="A399">
        <v>1.605</v>
      </c>
      <c r="B399">
        <f t="shared" si="8"/>
        <v>1605</v>
      </c>
      <c r="C399">
        <v>0.93640500000000004</v>
      </c>
      <c r="D399">
        <f t="shared" si="9"/>
        <v>0.79594425000000002</v>
      </c>
    </row>
    <row r="400" spans="1:4" x14ac:dyDescent="0.35">
      <c r="A400">
        <v>1.61</v>
      </c>
      <c r="B400">
        <f t="shared" si="8"/>
        <v>1610</v>
      </c>
      <c r="C400">
        <v>0.93630000000000002</v>
      </c>
      <c r="D400">
        <f t="shared" si="9"/>
        <v>0.79585499999999998</v>
      </c>
    </row>
    <row r="401" spans="1:4" x14ac:dyDescent="0.35">
      <c r="A401">
        <v>1.615</v>
      </c>
      <c r="B401">
        <f t="shared" si="8"/>
        <v>1615</v>
      </c>
      <c r="C401">
        <v>0.93704600000000005</v>
      </c>
      <c r="D401">
        <f t="shared" si="9"/>
        <v>0.79648910000000006</v>
      </c>
    </row>
    <row r="402" spans="1:4" x14ac:dyDescent="0.35">
      <c r="A402">
        <v>1.62</v>
      </c>
      <c r="B402">
        <f t="shared" si="8"/>
        <v>1620</v>
      </c>
      <c r="C402">
        <v>0.934168</v>
      </c>
      <c r="D402">
        <f t="shared" si="9"/>
        <v>0.79404279999999994</v>
      </c>
    </row>
    <row r="403" spans="1:4" x14ac:dyDescent="0.35">
      <c r="A403">
        <v>1.625</v>
      </c>
      <c r="B403">
        <f t="shared" si="8"/>
        <v>1625</v>
      </c>
      <c r="C403">
        <v>0.93405199999999999</v>
      </c>
      <c r="D403">
        <f t="shared" si="9"/>
        <v>0.79394419999999999</v>
      </c>
    </row>
    <row r="404" spans="1:4" x14ac:dyDescent="0.35">
      <c r="A404">
        <v>1.63</v>
      </c>
      <c r="B404">
        <f t="shared" si="8"/>
        <v>1630</v>
      </c>
      <c r="C404">
        <v>0.93374000000000001</v>
      </c>
      <c r="D404">
        <f t="shared" si="9"/>
        <v>0.79367900000000002</v>
      </c>
    </row>
    <row r="405" spans="1:4" x14ac:dyDescent="0.35">
      <c r="A405">
        <v>1.635</v>
      </c>
      <c r="B405">
        <f t="shared" si="8"/>
        <v>1635</v>
      </c>
      <c r="C405">
        <v>0.93089599999999995</v>
      </c>
      <c r="D405">
        <f t="shared" si="9"/>
        <v>0.7912615999999999</v>
      </c>
    </row>
    <row r="406" spans="1:4" x14ac:dyDescent="0.35">
      <c r="A406">
        <v>1.64</v>
      </c>
      <c r="B406">
        <f t="shared" si="8"/>
        <v>1640</v>
      </c>
      <c r="C406">
        <v>0.93564000000000003</v>
      </c>
      <c r="D406">
        <f t="shared" si="9"/>
        <v>0.79529400000000006</v>
      </c>
    </row>
    <row r="407" spans="1:4" x14ac:dyDescent="0.35">
      <c r="A407">
        <v>1.645</v>
      </c>
      <c r="B407">
        <f t="shared" si="8"/>
        <v>1645</v>
      </c>
      <c r="C407">
        <v>0.932172</v>
      </c>
      <c r="D407">
        <f t="shared" si="9"/>
        <v>0.7923462</v>
      </c>
    </row>
    <row r="408" spans="1:4" x14ac:dyDescent="0.35">
      <c r="A408">
        <v>1.65</v>
      </c>
      <c r="B408">
        <f t="shared" si="8"/>
        <v>1650</v>
      </c>
      <c r="C408">
        <v>0.93271499999999996</v>
      </c>
      <c r="D408">
        <f t="shared" si="9"/>
        <v>0.79280774999999992</v>
      </c>
    </row>
    <row r="409" spans="1:4" x14ac:dyDescent="0.35">
      <c r="A409">
        <v>1.655</v>
      </c>
      <c r="B409">
        <f t="shared" si="8"/>
        <v>1655</v>
      </c>
      <c r="C409">
        <v>0.93310099999999996</v>
      </c>
      <c r="D409">
        <f t="shared" si="9"/>
        <v>0.79313584999999998</v>
      </c>
    </row>
    <row r="410" spans="1:4" x14ac:dyDescent="0.35">
      <c r="A410">
        <v>1.66</v>
      </c>
      <c r="B410">
        <f t="shared" si="8"/>
        <v>1660</v>
      </c>
      <c r="C410">
        <v>0.934755</v>
      </c>
      <c r="D410">
        <f t="shared" si="9"/>
        <v>0.79454174999999994</v>
      </c>
    </row>
    <row r="411" spans="1:4" x14ac:dyDescent="0.35">
      <c r="A411">
        <v>1.665</v>
      </c>
      <c r="B411">
        <f t="shared" si="8"/>
        <v>1665</v>
      </c>
      <c r="C411">
        <v>0.93300099999999997</v>
      </c>
      <c r="D411">
        <f t="shared" si="9"/>
        <v>0.79305084999999997</v>
      </c>
    </row>
    <row r="412" spans="1:4" x14ac:dyDescent="0.35">
      <c r="A412">
        <v>1.67</v>
      </c>
      <c r="B412">
        <f t="shared" si="8"/>
        <v>1670</v>
      </c>
      <c r="C412">
        <v>0.927871</v>
      </c>
      <c r="D412">
        <f t="shared" si="9"/>
        <v>0.78869034999999998</v>
      </c>
    </row>
    <row r="413" spans="1:4" x14ac:dyDescent="0.35">
      <c r="A413">
        <v>1.675</v>
      </c>
      <c r="B413">
        <f t="shared" si="8"/>
        <v>1675</v>
      </c>
      <c r="C413">
        <v>0.93073399999999995</v>
      </c>
      <c r="D413">
        <f t="shared" si="9"/>
        <v>0.79112389999999999</v>
      </c>
    </row>
    <row r="414" spans="1:4" x14ac:dyDescent="0.35">
      <c r="A414">
        <v>1.68</v>
      </c>
      <c r="B414">
        <f t="shared" si="8"/>
        <v>1680</v>
      </c>
      <c r="C414">
        <v>0.93188599999999999</v>
      </c>
      <c r="D414">
        <f t="shared" si="9"/>
        <v>0.79210309999999995</v>
      </c>
    </row>
    <row r="415" spans="1:4" x14ac:dyDescent="0.35">
      <c r="A415">
        <v>1.6850000000000001</v>
      </c>
      <c r="B415">
        <f t="shared" si="8"/>
        <v>1685</v>
      </c>
      <c r="C415">
        <v>0.93047000000000002</v>
      </c>
      <c r="D415">
        <f t="shared" si="9"/>
        <v>0.79089949999999998</v>
      </c>
    </row>
    <row r="416" spans="1:4" x14ac:dyDescent="0.35">
      <c r="A416">
        <v>1.69</v>
      </c>
      <c r="B416">
        <f t="shared" si="8"/>
        <v>1690</v>
      </c>
      <c r="C416">
        <v>0.92833100000000002</v>
      </c>
      <c r="D416">
        <f t="shared" si="9"/>
        <v>0.78908135000000001</v>
      </c>
    </row>
    <row r="417" spans="1:4" x14ac:dyDescent="0.35">
      <c r="A417">
        <v>1.6950000000000001</v>
      </c>
      <c r="B417">
        <f t="shared" si="8"/>
        <v>1695</v>
      </c>
      <c r="C417">
        <v>0.93040599999999996</v>
      </c>
      <c r="D417">
        <f t="shared" si="9"/>
        <v>0.79084509999999997</v>
      </c>
    </row>
    <row r="418" spans="1:4" x14ac:dyDescent="0.35">
      <c r="A418">
        <v>1.7</v>
      </c>
      <c r="B418">
        <f t="shared" si="8"/>
        <v>1700</v>
      </c>
      <c r="C418">
        <v>0.929863</v>
      </c>
      <c r="D418">
        <f t="shared" si="9"/>
        <v>0.79038354999999993</v>
      </c>
    </row>
    <row r="419" spans="1:4" x14ac:dyDescent="0.35">
      <c r="A419">
        <v>1.7050000000000001</v>
      </c>
      <c r="B419">
        <f t="shared" si="8"/>
        <v>1705</v>
      </c>
      <c r="C419">
        <v>0.92933699999999997</v>
      </c>
      <c r="D419">
        <f t="shared" si="9"/>
        <v>0.7899364499999999</v>
      </c>
    </row>
    <row r="420" spans="1:4" x14ac:dyDescent="0.35">
      <c r="A420">
        <v>1.71</v>
      </c>
      <c r="B420">
        <f t="shared" si="8"/>
        <v>1710</v>
      </c>
      <c r="C420">
        <v>0.92825400000000002</v>
      </c>
      <c r="D420">
        <f t="shared" si="9"/>
        <v>0.78901589999999999</v>
      </c>
    </row>
    <row r="421" spans="1:4" x14ac:dyDescent="0.35">
      <c r="A421">
        <v>1.7150000000000001</v>
      </c>
      <c r="B421">
        <f t="shared" si="8"/>
        <v>1715</v>
      </c>
      <c r="C421">
        <v>0.92897099999999999</v>
      </c>
      <c r="D421">
        <f t="shared" si="9"/>
        <v>0.78962535</v>
      </c>
    </row>
    <row r="422" spans="1:4" x14ac:dyDescent="0.35">
      <c r="A422">
        <v>1.72</v>
      </c>
      <c r="B422">
        <f t="shared" si="8"/>
        <v>1720</v>
      </c>
      <c r="C422">
        <v>0.925813</v>
      </c>
      <c r="D422">
        <f t="shared" si="9"/>
        <v>0.78694105000000003</v>
      </c>
    </row>
    <row r="423" spans="1:4" x14ac:dyDescent="0.35">
      <c r="A423">
        <v>1.7250000000000001</v>
      </c>
      <c r="B423">
        <f t="shared" si="8"/>
        <v>1725</v>
      </c>
      <c r="C423">
        <v>0.92806299999999997</v>
      </c>
      <c r="D423">
        <f t="shared" si="9"/>
        <v>0.7888535499999999</v>
      </c>
    </row>
    <row r="424" spans="1:4" x14ac:dyDescent="0.35">
      <c r="A424">
        <v>1.73</v>
      </c>
      <c r="B424">
        <f t="shared" si="8"/>
        <v>1730</v>
      </c>
      <c r="C424">
        <v>0.92537000000000003</v>
      </c>
      <c r="D424">
        <f t="shared" si="9"/>
        <v>0.7865645</v>
      </c>
    </row>
    <row r="425" spans="1:4" x14ac:dyDescent="0.35">
      <c r="A425">
        <v>1.7350000000000001</v>
      </c>
      <c r="B425">
        <f t="shared" si="8"/>
        <v>1735</v>
      </c>
      <c r="C425">
        <v>0.925265</v>
      </c>
      <c r="D425">
        <f t="shared" si="9"/>
        <v>0.78647524999999996</v>
      </c>
    </row>
    <row r="426" spans="1:4" x14ac:dyDescent="0.35">
      <c r="A426">
        <v>1.74</v>
      </c>
      <c r="B426">
        <f t="shared" si="8"/>
        <v>1740</v>
      </c>
      <c r="C426">
        <v>0.922898</v>
      </c>
      <c r="D426">
        <f t="shared" si="9"/>
        <v>0.78446329999999997</v>
      </c>
    </row>
    <row r="427" spans="1:4" x14ac:dyDescent="0.35">
      <c r="A427">
        <v>1.7450000000000001</v>
      </c>
      <c r="B427">
        <f t="shared" si="8"/>
        <v>1745</v>
      </c>
      <c r="C427">
        <v>0.92408999999999997</v>
      </c>
      <c r="D427">
        <f t="shared" si="9"/>
        <v>0.78547649999999991</v>
      </c>
    </row>
    <row r="428" spans="1:4" x14ac:dyDescent="0.35">
      <c r="A428">
        <v>1.75</v>
      </c>
      <c r="B428">
        <f t="shared" si="8"/>
        <v>1750</v>
      </c>
      <c r="C428">
        <v>0.92057999999999995</v>
      </c>
      <c r="D428">
        <f t="shared" si="9"/>
        <v>0.78249299999999999</v>
      </c>
    </row>
    <row r="429" spans="1:4" x14ac:dyDescent="0.35">
      <c r="A429">
        <v>1.7549999999999999</v>
      </c>
      <c r="B429">
        <f t="shared" si="8"/>
        <v>1755</v>
      </c>
      <c r="C429">
        <v>0.92044899999999996</v>
      </c>
      <c r="D429">
        <f t="shared" si="9"/>
        <v>0.78238164999999993</v>
      </c>
    </row>
    <row r="430" spans="1:4" x14ac:dyDescent="0.35">
      <c r="A430">
        <v>1.76</v>
      </c>
      <c r="B430">
        <f t="shared" si="8"/>
        <v>1760</v>
      </c>
      <c r="C430">
        <v>0.91902200000000001</v>
      </c>
      <c r="D430">
        <f t="shared" si="9"/>
        <v>0.78116869999999994</v>
      </c>
    </row>
    <row r="431" spans="1:4" x14ac:dyDescent="0.35">
      <c r="A431">
        <v>1.7649999999999999</v>
      </c>
      <c r="B431">
        <f t="shared" si="8"/>
        <v>1765</v>
      </c>
      <c r="C431">
        <v>0.91718200000000005</v>
      </c>
      <c r="D431">
        <f t="shared" si="9"/>
        <v>0.77960470000000004</v>
      </c>
    </row>
    <row r="432" spans="1:4" x14ac:dyDescent="0.35">
      <c r="A432">
        <v>1.77</v>
      </c>
      <c r="B432">
        <f t="shared" si="8"/>
        <v>1770</v>
      </c>
      <c r="C432">
        <v>0.91488700000000001</v>
      </c>
      <c r="D432">
        <f t="shared" si="9"/>
        <v>0.77765395000000004</v>
      </c>
    </row>
    <row r="433" spans="1:4" x14ac:dyDescent="0.35">
      <c r="A433">
        <v>1.7749999999999999</v>
      </c>
      <c r="B433">
        <f t="shared" si="8"/>
        <v>1775</v>
      </c>
      <c r="C433">
        <v>0.91320000000000001</v>
      </c>
      <c r="D433">
        <f t="shared" si="9"/>
        <v>0.77622000000000002</v>
      </c>
    </row>
    <row r="434" spans="1:4" x14ac:dyDescent="0.35">
      <c r="A434">
        <v>1.78</v>
      </c>
      <c r="B434">
        <f t="shared" si="8"/>
        <v>1780</v>
      </c>
      <c r="C434">
        <v>0.91114799999999996</v>
      </c>
      <c r="D434">
        <f t="shared" si="9"/>
        <v>0.77447579999999994</v>
      </c>
    </row>
    <row r="435" spans="1:4" x14ac:dyDescent="0.35">
      <c r="A435">
        <v>1.7849999999999999</v>
      </c>
      <c r="B435">
        <f t="shared" si="8"/>
        <v>1785</v>
      </c>
      <c r="C435">
        <v>0.90890099999999996</v>
      </c>
      <c r="D435">
        <f t="shared" si="9"/>
        <v>0.77256585</v>
      </c>
    </row>
    <row r="436" spans="1:4" x14ac:dyDescent="0.35">
      <c r="A436">
        <v>1.79</v>
      </c>
      <c r="B436">
        <f t="shared" si="8"/>
        <v>1790</v>
      </c>
      <c r="C436">
        <v>0.90565399999999996</v>
      </c>
      <c r="D436">
        <f t="shared" si="9"/>
        <v>0.76980589999999993</v>
      </c>
    </row>
    <row r="437" spans="1:4" x14ac:dyDescent="0.35">
      <c r="A437">
        <v>1.7949999999999999</v>
      </c>
      <c r="B437">
        <f t="shared" si="8"/>
        <v>1795</v>
      </c>
      <c r="C437">
        <v>0.902138</v>
      </c>
      <c r="D437">
        <f t="shared" si="9"/>
        <v>0.76681729999999992</v>
      </c>
    </row>
    <row r="438" spans="1:4" x14ac:dyDescent="0.35">
      <c r="A438">
        <v>1.8</v>
      </c>
      <c r="B438">
        <f t="shared" si="8"/>
        <v>1800</v>
      </c>
      <c r="C438">
        <v>0.90411399999999997</v>
      </c>
      <c r="D438">
        <f t="shared" si="9"/>
        <v>0.76849689999999993</v>
      </c>
    </row>
    <row r="439" spans="1:4" x14ac:dyDescent="0.35">
      <c r="A439">
        <v>1.8049999999999999</v>
      </c>
      <c r="B439">
        <f t="shared" si="8"/>
        <v>1805</v>
      </c>
      <c r="C439">
        <v>0.90010400000000002</v>
      </c>
      <c r="D439">
        <f t="shared" si="9"/>
        <v>0.7650884</v>
      </c>
    </row>
    <row r="440" spans="1:4" x14ac:dyDescent="0.35">
      <c r="A440">
        <v>1.81</v>
      </c>
      <c r="B440">
        <f t="shared" si="8"/>
        <v>1810</v>
      </c>
      <c r="C440">
        <v>0.90110599999999996</v>
      </c>
      <c r="D440">
        <f t="shared" si="9"/>
        <v>0.7659400999999999</v>
      </c>
    </row>
    <row r="441" spans="1:4" x14ac:dyDescent="0.35">
      <c r="A441">
        <v>1.8149999999999999</v>
      </c>
      <c r="B441">
        <f t="shared" si="8"/>
        <v>1815</v>
      </c>
      <c r="C441">
        <v>0.89860600000000002</v>
      </c>
      <c r="D441">
        <f t="shared" si="9"/>
        <v>0.76381509999999997</v>
      </c>
    </row>
    <row r="442" spans="1:4" x14ac:dyDescent="0.35">
      <c r="A442">
        <v>1.82</v>
      </c>
      <c r="B442">
        <f t="shared" si="8"/>
        <v>1820</v>
      </c>
      <c r="C442">
        <v>0.89915699999999998</v>
      </c>
      <c r="D442">
        <f t="shared" si="9"/>
        <v>0.76428344999999998</v>
      </c>
    </row>
    <row r="443" spans="1:4" x14ac:dyDescent="0.35">
      <c r="A443">
        <v>1.825</v>
      </c>
      <c r="B443">
        <f t="shared" si="8"/>
        <v>1825</v>
      </c>
      <c r="C443">
        <v>0.89999799999999996</v>
      </c>
      <c r="D443">
        <f t="shared" si="9"/>
        <v>0.76499829999999991</v>
      </c>
    </row>
    <row r="444" spans="1:4" x14ac:dyDescent="0.35">
      <c r="A444">
        <v>1.83</v>
      </c>
      <c r="B444">
        <f t="shared" si="8"/>
        <v>1830</v>
      </c>
      <c r="C444">
        <v>0.89981</v>
      </c>
      <c r="D444">
        <f t="shared" si="9"/>
        <v>0.76483849999999998</v>
      </c>
    </row>
    <row r="445" spans="1:4" x14ac:dyDescent="0.35">
      <c r="A445">
        <v>1.835</v>
      </c>
      <c r="B445">
        <f t="shared" si="8"/>
        <v>1835</v>
      </c>
      <c r="C445">
        <v>0.897092</v>
      </c>
      <c r="D445">
        <f t="shared" si="9"/>
        <v>0.76252819999999999</v>
      </c>
    </row>
    <row r="446" spans="1:4" x14ac:dyDescent="0.35">
      <c r="A446">
        <v>1.84</v>
      </c>
      <c r="B446">
        <f t="shared" si="8"/>
        <v>1840</v>
      </c>
      <c r="C446">
        <v>0.89763300000000001</v>
      </c>
      <c r="D446">
        <f t="shared" si="9"/>
        <v>0.76298805000000003</v>
      </c>
    </row>
    <row r="447" spans="1:4" x14ac:dyDescent="0.35">
      <c r="A447">
        <v>1.845</v>
      </c>
      <c r="B447">
        <f t="shared" si="8"/>
        <v>1845</v>
      </c>
      <c r="C447">
        <v>0.89675199999999999</v>
      </c>
      <c r="D447">
        <f t="shared" si="9"/>
        <v>0.76223920000000001</v>
      </c>
    </row>
    <row r="448" spans="1:4" x14ac:dyDescent="0.35">
      <c r="A448">
        <v>1.85</v>
      </c>
      <c r="B448">
        <f t="shared" si="8"/>
        <v>1850</v>
      </c>
      <c r="C448">
        <v>0.89557699999999996</v>
      </c>
      <c r="D448">
        <f t="shared" si="9"/>
        <v>0.76124044999999996</v>
      </c>
    </row>
    <row r="449" spans="1:4" x14ac:dyDescent="0.35">
      <c r="A449">
        <v>1.855</v>
      </c>
      <c r="B449">
        <f t="shared" si="8"/>
        <v>1855</v>
      </c>
      <c r="C449">
        <v>0.89544800000000002</v>
      </c>
      <c r="D449">
        <f t="shared" si="9"/>
        <v>0.7611308</v>
      </c>
    </row>
    <row r="450" spans="1:4" x14ac:dyDescent="0.35">
      <c r="A450">
        <v>1.86</v>
      </c>
      <c r="B450">
        <f t="shared" si="8"/>
        <v>1860</v>
      </c>
      <c r="C450">
        <v>0.90070099999999997</v>
      </c>
      <c r="D450">
        <f t="shared" si="9"/>
        <v>0.76559584999999997</v>
      </c>
    </row>
    <row r="451" spans="1:4" x14ac:dyDescent="0.35">
      <c r="A451">
        <v>1.865</v>
      </c>
      <c r="B451">
        <f t="shared" si="8"/>
        <v>1865</v>
      </c>
      <c r="C451">
        <v>0.89756100000000005</v>
      </c>
      <c r="D451">
        <f t="shared" si="9"/>
        <v>0.76292685000000005</v>
      </c>
    </row>
    <row r="452" spans="1:4" x14ac:dyDescent="0.35">
      <c r="A452">
        <v>1.87</v>
      </c>
      <c r="B452">
        <f t="shared" si="8"/>
        <v>1870</v>
      </c>
      <c r="C452">
        <v>0.89022599999999996</v>
      </c>
      <c r="D452">
        <f t="shared" si="9"/>
        <v>0.75669209999999998</v>
      </c>
    </row>
    <row r="453" spans="1:4" x14ac:dyDescent="0.35">
      <c r="A453">
        <v>1.875</v>
      </c>
      <c r="B453">
        <f t="shared" si="8"/>
        <v>1875</v>
      </c>
      <c r="C453">
        <v>0.88371900000000003</v>
      </c>
      <c r="D453">
        <f t="shared" si="9"/>
        <v>0.75116115000000006</v>
      </c>
    </row>
    <row r="454" spans="1:4" x14ac:dyDescent="0.35">
      <c r="A454">
        <v>1.88</v>
      </c>
      <c r="B454">
        <f t="shared" si="8"/>
        <v>1880</v>
      </c>
      <c r="C454">
        <v>0.87684399999999996</v>
      </c>
      <c r="D454">
        <f t="shared" si="9"/>
        <v>0.74531739999999991</v>
      </c>
    </row>
    <row r="455" spans="1:4" x14ac:dyDescent="0.35">
      <c r="A455">
        <v>1.885</v>
      </c>
      <c r="B455">
        <f t="shared" si="8"/>
        <v>1885</v>
      </c>
      <c r="C455">
        <v>0.86515900000000001</v>
      </c>
      <c r="D455">
        <f t="shared" si="9"/>
        <v>0.73538515000000004</v>
      </c>
    </row>
    <row r="456" spans="1:4" x14ac:dyDescent="0.35">
      <c r="A456">
        <v>1.89</v>
      </c>
      <c r="B456">
        <f t="shared" si="8"/>
        <v>1890</v>
      </c>
      <c r="C456">
        <v>0.86114400000000002</v>
      </c>
      <c r="D456">
        <f t="shared" si="9"/>
        <v>0.73197239999999997</v>
      </c>
    </row>
    <row r="457" spans="1:4" x14ac:dyDescent="0.35">
      <c r="A457">
        <v>1.895</v>
      </c>
      <c r="B457">
        <f t="shared" si="8"/>
        <v>1895</v>
      </c>
      <c r="C457">
        <v>0.85742200000000002</v>
      </c>
      <c r="D457">
        <f t="shared" si="9"/>
        <v>0.72880869999999998</v>
      </c>
    </row>
    <row r="458" spans="1:4" x14ac:dyDescent="0.35">
      <c r="A458">
        <v>1.9</v>
      </c>
      <c r="B458">
        <f t="shared" si="8"/>
        <v>1900</v>
      </c>
      <c r="C458">
        <v>0.84929100000000002</v>
      </c>
      <c r="D458">
        <f t="shared" si="9"/>
        <v>0.72189734999999999</v>
      </c>
    </row>
    <row r="459" spans="1:4" x14ac:dyDescent="0.35">
      <c r="A459">
        <v>1.905</v>
      </c>
      <c r="B459">
        <f t="shared" ref="B459:B522" si="10">A459*1000</f>
        <v>1905</v>
      </c>
      <c r="C459">
        <v>0.84276099999999998</v>
      </c>
      <c r="D459">
        <f t="shared" ref="D459:D522" si="11">C459*$D$137</f>
        <v>0.71634684999999998</v>
      </c>
    </row>
    <row r="460" spans="1:4" x14ac:dyDescent="0.35">
      <c r="A460">
        <v>1.91</v>
      </c>
      <c r="B460">
        <f t="shared" si="10"/>
        <v>1910</v>
      </c>
      <c r="C460">
        <v>0.82634799999999997</v>
      </c>
      <c r="D460">
        <f t="shared" si="11"/>
        <v>0.7023957999999999</v>
      </c>
    </row>
    <row r="461" spans="1:4" x14ac:dyDescent="0.35">
      <c r="A461">
        <v>1.915</v>
      </c>
      <c r="B461">
        <f t="shared" si="10"/>
        <v>1915</v>
      </c>
      <c r="C461">
        <v>0.82779199999999997</v>
      </c>
      <c r="D461">
        <f t="shared" si="11"/>
        <v>0.7036232</v>
      </c>
    </row>
    <row r="462" spans="1:4" x14ac:dyDescent="0.35">
      <c r="A462">
        <v>1.92</v>
      </c>
      <c r="B462">
        <f t="shared" si="10"/>
        <v>1920</v>
      </c>
      <c r="C462">
        <v>0.83018599999999998</v>
      </c>
      <c r="D462">
        <f t="shared" si="11"/>
        <v>0.70565809999999995</v>
      </c>
    </row>
    <row r="463" spans="1:4" x14ac:dyDescent="0.35">
      <c r="A463">
        <v>1.925</v>
      </c>
      <c r="B463">
        <f t="shared" si="10"/>
        <v>1925</v>
      </c>
      <c r="C463">
        <v>0.82377500000000003</v>
      </c>
      <c r="D463">
        <f t="shared" si="11"/>
        <v>0.70020875000000005</v>
      </c>
    </row>
    <row r="464" spans="1:4" x14ac:dyDescent="0.35">
      <c r="A464">
        <v>1.93</v>
      </c>
      <c r="B464">
        <f t="shared" si="10"/>
        <v>1930</v>
      </c>
      <c r="C464">
        <v>0.82793300000000003</v>
      </c>
      <c r="D464">
        <f t="shared" si="11"/>
        <v>0.70374305000000004</v>
      </c>
    </row>
    <row r="465" spans="1:4" x14ac:dyDescent="0.35">
      <c r="A465">
        <v>1.9350000000000001</v>
      </c>
      <c r="B465">
        <f t="shared" si="10"/>
        <v>1935</v>
      </c>
      <c r="C465">
        <v>0.83</v>
      </c>
      <c r="D465">
        <f t="shared" si="11"/>
        <v>0.7054999999999999</v>
      </c>
    </row>
    <row r="466" spans="1:4" x14ac:dyDescent="0.35">
      <c r="A466">
        <v>1.94</v>
      </c>
      <c r="B466">
        <f t="shared" si="10"/>
        <v>1940</v>
      </c>
      <c r="C466">
        <v>0.83059899999999998</v>
      </c>
      <c r="D466">
        <f t="shared" si="11"/>
        <v>0.70600914999999997</v>
      </c>
    </row>
    <row r="467" spans="1:4" x14ac:dyDescent="0.35">
      <c r="A467">
        <v>1.9450000000000001</v>
      </c>
      <c r="B467">
        <f t="shared" si="10"/>
        <v>1945</v>
      </c>
      <c r="C467">
        <v>0.83226699999999998</v>
      </c>
      <c r="D467">
        <f t="shared" si="11"/>
        <v>0.70742695</v>
      </c>
    </row>
    <row r="468" spans="1:4" x14ac:dyDescent="0.35">
      <c r="A468">
        <v>1.95</v>
      </c>
      <c r="B468">
        <f t="shared" si="10"/>
        <v>1950</v>
      </c>
      <c r="C468">
        <v>0.83230099999999996</v>
      </c>
      <c r="D468">
        <f t="shared" si="11"/>
        <v>0.70745585</v>
      </c>
    </row>
    <row r="469" spans="1:4" x14ac:dyDescent="0.35">
      <c r="A469">
        <v>1.9550000000000001</v>
      </c>
      <c r="B469">
        <f t="shared" si="10"/>
        <v>1955</v>
      </c>
      <c r="C469">
        <v>0.83519200000000005</v>
      </c>
      <c r="D469">
        <f t="shared" si="11"/>
        <v>0.70991320000000002</v>
      </c>
    </row>
    <row r="470" spans="1:4" x14ac:dyDescent="0.35">
      <c r="A470">
        <v>1.96</v>
      </c>
      <c r="B470">
        <f t="shared" si="10"/>
        <v>1960</v>
      </c>
      <c r="C470">
        <v>0.83812399999999998</v>
      </c>
      <c r="D470">
        <f t="shared" si="11"/>
        <v>0.71240539999999997</v>
      </c>
    </row>
    <row r="471" spans="1:4" x14ac:dyDescent="0.35">
      <c r="A471">
        <v>1.9650000000000001</v>
      </c>
      <c r="B471">
        <f t="shared" si="10"/>
        <v>1965</v>
      </c>
      <c r="C471">
        <v>0.83790399999999998</v>
      </c>
      <c r="D471">
        <f t="shared" si="11"/>
        <v>0.71221839999999992</v>
      </c>
    </row>
    <row r="472" spans="1:4" x14ac:dyDescent="0.35">
      <c r="A472">
        <v>1.97</v>
      </c>
      <c r="B472">
        <f t="shared" si="10"/>
        <v>1970</v>
      </c>
      <c r="C472">
        <v>0.84025899999999998</v>
      </c>
      <c r="D472">
        <f t="shared" si="11"/>
        <v>0.71422014999999994</v>
      </c>
    </row>
    <row r="473" spans="1:4" x14ac:dyDescent="0.35">
      <c r="A473">
        <v>1.9750000000000001</v>
      </c>
      <c r="B473">
        <f t="shared" si="10"/>
        <v>1975</v>
      </c>
      <c r="C473">
        <v>0.84224500000000002</v>
      </c>
      <c r="D473">
        <f t="shared" si="11"/>
        <v>0.71590825000000002</v>
      </c>
    </row>
    <row r="474" spans="1:4" x14ac:dyDescent="0.35">
      <c r="A474">
        <v>1.98</v>
      </c>
      <c r="B474">
        <f t="shared" si="10"/>
        <v>1980</v>
      </c>
      <c r="C474">
        <v>0.842777</v>
      </c>
      <c r="D474">
        <f t="shared" si="11"/>
        <v>0.71636044999999993</v>
      </c>
    </row>
    <row r="475" spans="1:4" x14ac:dyDescent="0.35">
      <c r="A475">
        <v>1.9850000000000001</v>
      </c>
      <c r="B475">
        <f t="shared" si="10"/>
        <v>1985</v>
      </c>
      <c r="C475">
        <v>0.84198600000000001</v>
      </c>
      <c r="D475">
        <f t="shared" si="11"/>
        <v>0.71568809999999994</v>
      </c>
    </row>
    <row r="476" spans="1:4" x14ac:dyDescent="0.35">
      <c r="A476">
        <v>1.99</v>
      </c>
      <c r="B476">
        <f t="shared" si="10"/>
        <v>1990</v>
      </c>
      <c r="C476">
        <v>0.84397299999999997</v>
      </c>
      <c r="D476">
        <f t="shared" si="11"/>
        <v>0.71737704999999996</v>
      </c>
    </row>
    <row r="477" spans="1:4" x14ac:dyDescent="0.35">
      <c r="A477">
        <v>1.9950000000000001</v>
      </c>
      <c r="B477">
        <f t="shared" si="10"/>
        <v>1995</v>
      </c>
      <c r="C477">
        <v>0.84601000000000004</v>
      </c>
      <c r="D477">
        <f t="shared" si="11"/>
        <v>0.71910850000000004</v>
      </c>
    </row>
    <row r="478" spans="1:4" x14ac:dyDescent="0.35">
      <c r="A478">
        <v>2</v>
      </c>
      <c r="B478">
        <f t="shared" si="10"/>
        <v>2000</v>
      </c>
      <c r="C478">
        <v>0.84529200000000004</v>
      </c>
      <c r="D478">
        <f t="shared" si="11"/>
        <v>0.71849819999999998</v>
      </c>
    </row>
    <row r="479" spans="1:4" x14ac:dyDescent="0.35">
      <c r="A479">
        <v>2.0049999999999999</v>
      </c>
      <c r="B479">
        <f t="shared" si="10"/>
        <v>2005</v>
      </c>
      <c r="C479">
        <v>0.84473200000000004</v>
      </c>
      <c r="D479">
        <f t="shared" si="11"/>
        <v>0.71802220000000005</v>
      </c>
    </row>
    <row r="480" spans="1:4" x14ac:dyDescent="0.35">
      <c r="A480">
        <v>2.0099999999999998</v>
      </c>
      <c r="B480">
        <f t="shared" si="10"/>
        <v>2009.9999999999998</v>
      </c>
      <c r="C480">
        <v>0.84468200000000004</v>
      </c>
      <c r="D480">
        <f t="shared" si="11"/>
        <v>0.7179797</v>
      </c>
    </row>
    <row r="481" spans="1:4" x14ac:dyDescent="0.35">
      <c r="A481">
        <v>2.0150000000000001</v>
      </c>
      <c r="B481">
        <f t="shared" si="10"/>
        <v>2015.0000000000002</v>
      </c>
      <c r="C481">
        <v>0.84503200000000001</v>
      </c>
      <c r="D481">
        <f t="shared" si="11"/>
        <v>0.71827719999999995</v>
      </c>
    </row>
    <row r="482" spans="1:4" x14ac:dyDescent="0.35">
      <c r="A482">
        <v>2.02</v>
      </c>
      <c r="B482">
        <f t="shared" si="10"/>
        <v>2020</v>
      </c>
      <c r="C482">
        <v>0.845441</v>
      </c>
      <c r="D482">
        <f t="shared" si="11"/>
        <v>0.71862484999999998</v>
      </c>
    </row>
    <row r="483" spans="1:4" x14ac:dyDescent="0.35">
      <c r="A483">
        <v>2.0249999999999999</v>
      </c>
      <c r="B483">
        <f t="shared" si="10"/>
        <v>2025</v>
      </c>
      <c r="C483">
        <v>0.84650000000000003</v>
      </c>
      <c r="D483">
        <f t="shared" si="11"/>
        <v>0.71952499999999997</v>
      </c>
    </row>
    <row r="484" spans="1:4" x14ac:dyDescent="0.35">
      <c r="A484">
        <v>2.0299999999999998</v>
      </c>
      <c r="B484">
        <f t="shared" si="10"/>
        <v>2029.9999999999998</v>
      </c>
      <c r="C484">
        <v>0.84436699999999998</v>
      </c>
      <c r="D484">
        <f t="shared" si="11"/>
        <v>0.71771194999999999</v>
      </c>
    </row>
    <row r="485" spans="1:4" x14ac:dyDescent="0.35">
      <c r="A485">
        <v>2.0350000000000001</v>
      </c>
      <c r="B485">
        <f t="shared" si="10"/>
        <v>2035.0000000000002</v>
      </c>
      <c r="C485">
        <v>0.84214199999999995</v>
      </c>
      <c r="D485">
        <f t="shared" si="11"/>
        <v>0.71582069999999998</v>
      </c>
    </row>
    <row r="486" spans="1:4" x14ac:dyDescent="0.35">
      <c r="A486">
        <v>2.04</v>
      </c>
      <c r="B486">
        <f t="shared" si="10"/>
        <v>2040</v>
      </c>
      <c r="C486">
        <v>0.841472</v>
      </c>
      <c r="D486">
        <f t="shared" si="11"/>
        <v>0.71525119999999998</v>
      </c>
    </row>
    <row r="487" spans="1:4" x14ac:dyDescent="0.35">
      <c r="A487">
        <v>2.0449999999999999</v>
      </c>
      <c r="B487">
        <f t="shared" si="10"/>
        <v>2045</v>
      </c>
      <c r="C487">
        <v>0.84048400000000001</v>
      </c>
      <c r="D487">
        <f t="shared" si="11"/>
        <v>0.71441140000000003</v>
      </c>
    </row>
    <row r="488" spans="1:4" x14ac:dyDescent="0.35">
      <c r="A488">
        <v>2.0499999999999998</v>
      </c>
      <c r="B488">
        <f t="shared" si="10"/>
        <v>2050</v>
      </c>
      <c r="C488">
        <v>0.83895799999999998</v>
      </c>
      <c r="D488">
        <f t="shared" si="11"/>
        <v>0.71311429999999998</v>
      </c>
    </row>
    <row r="489" spans="1:4" x14ac:dyDescent="0.35">
      <c r="A489">
        <v>2.0550000000000002</v>
      </c>
      <c r="B489">
        <f t="shared" si="10"/>
        <v>2055</v>
      </c>
      <c r="C489">
        <v>0.83732300000000004</v>
      </c>
      <c r="D489">
        <f t="shared" si="11"/>
        <v>0.71172455000000001</v>
      </c>
    </row>
    <row r="490" spans="1:4" x14ac:dyDescent="0.35">
      <c r="A490">
        <v>2.06</v>
      </c>
      <c r="B490">
        <f t="shared" si="10"/>
        <v>2060</v>
      </c>
      <c r="C490">
        <v>0.83296800000000004</v>
      </c>
      <c r="D490">
        <f t="shared" si="11"/>
        <v>0.70802280000000006</v>
      </c>
    </row>
    <row r="491" spans="1:4" x14ac:dyDescent="0.35">
      <c r="A491">
        <v>2.0649999999999999</v>
      </c>
      <c r="B491">
        <f t="shared" si="10"/>
        <v>2065</v>
      </c>
      <c r="C491">
        <v>0.83143599999999995</v>
      </c>
      <c r="D491">
        <f t="shared" si="11"/>
        <v>0.70672059999999992</v>
      </c>
    </row>
    <row r="492" spans="1:4" x14ac:dyDescent="0.35">
      <c r="A492">
        <v>2.0699999999999998</v>
      </c>
      <c r="B492">
        <f t="shared" si="10"/>
        <v>2070</v>
      </c>
      <c r="C492">
        <v>0.823847</v>
      </c>
      <c r="D492">
        <f t="shared" si="11"/>
        <v>0.70026995000000003</v>
      </c>
    </row>
    <row r="493" spans="1:4" x14ac:dyDescent="0.35">
      <c r="A493">
        <v>2.0750000000000002</v>
      </c>
      <c r="B493">
        <f t="shared" si="10"/>
        <v>2075</v>
      </c>
      <c r="C493">
        <v>0.81989299999999998</v>
      </c>
      <c r="D493">
        <f t="shared" si="11"/>
        <v>0.69690904999999992</v>
      </c>
    </row>
    <row r="494" spans="1:4" x14ac:dyDescent="0.35">
      <c r="A494">
        <v>2.08</v>
      </c>
      <c r="B494">
        <f t="shared" si="10"/>
        <v>2080</v>
      </c>
      <c r="C494">
        <v>0.81574899999999995</v>
      </c>
      <c r="D494">
        <f t="shared" si="11"/>
        <v>0.69338664999999988</v>
      </c>
    </row>
    <row r="495" spans="1:4" x14ac:dyDescent="0.35">
      <c r="A495">
        <v>2.085</v>
      </c>
      <c r="B495">
        <f t="shared" si="10"/>
        <v>2085</v>
      </c>
      <c r="C495">
        <v>0.81368700000000005</v>
      </c>
      <c r="D495">
        <f t="shared" si="11"/>
        <v>0.69163395000000005</v>
      </c>
    </row>
    <row r="496" spans="1:4" x14ac:dyDescent="0.35">
      <c r="A496">
        <v>2.09</v>
      </c>
      <c r="B496">
        <f t="shared" si="10"/>
        <v>2090</v>
      </c>
      <c r="C496">
        <v>0.80682900000000002</v>
      </c>
      <c r="D496">
        <f t="shared" si="11"/>
        <v>0.68580465000000002</v>
      </c>
    </row>
    <row r="497" spans="1:4" x14ac:dyDescent="0.35">
      <c r="A497">
        <v>2.0950000000000002</v>
      </c>
      <c r="B497">
        <f t="shared" si="10"/>
        <v>2095</v>
      </c>
      <c r="C497">
        <v>0.80248900000000001</v>
      </c>
      <c r="D497">
        <f t="shared" si="11"/>
        <v>0.68211564999999996</v>
      </c>
    </row>
    <row r="498" spans="1:4" x14ac:dyDescent="0.35">
      <c r="A498">
        <v>2.1</v>
      </c>
      <c r="B498">
        <f t="shared" si="10"/>
        <v>2100</v>
      </c>
      <c r="C498">
        <v>0.79986599999999997</v>
      </c>
      <c r="D498">
        <f t="shared" si="11"/>
        <v>0.67988609999999994</v>
      </c>
    </row>
    <row r="499" spans="1:4" x14ac:dyDescent="0.35">
      <c r="A499">
        <v>2.105</v>
      </c>
      <c r="B499">
        <f t="shared" si="10"/>
        <v>2105</v>
      </c>
      <c r="C499">
        <v>0.79577500000000001</v>
      </c>
      <c r="D499">
        <f t="shared" si="11"/>
        <v>0.67640875</v>
      </c>
    </row>
    <row r="500" spans="1:4" x14ac:dyDescent="0.35">
      <c r="A500">
        <v>2.11</v>
      </c>
      <c r="B500">
        <f t="shared" si="10"/>
        <v>2110</v>
      </c>
      <c r="C500">
        <v>0.78431499999999998</v>
      </c>
      <c r="D500">
        <f t="shared" si="11"/>
        <v>0.66666775</v>
      </c>
    </row>
    <row r="501" spans="1:4" x14ac:dyDescent="0.35">
      <c r="A501">
        <v>2.1150000000000002</v>
      </c>
      <c r="B501">
        <f t="shared" si="10"/>
        <v>2115</v>
      </c>
      <c r="C501">
        <v>0.77256800000000003</v>
      </c>
      <c r="D501">
        <f t="shared" si="11"/>
        <v>0.65668280000000001</v>
      </c>
    </row>
    <row r="502" spans="1:4" x14ac:dyDescent="0.35">
      <c r="A502">
        <v>2.12</v>
      </c>
      <c r="B502">
        <f t="shared" si="10"/>
        <v>2120</v>
      </c>
      <c r="C502">
        <v>0.770428</v>
      </c>
      <c r="D502">
        <f t="shared" si="11"/>
        <v>0.6548638</v>
      </c>
    </row>
    <row r="503" spans="1:4" x14ac:dyDescent="0.35">
      <c r="A503">
        <v>2.125</v>
      </c>
      <c r="B503">
        <f t="shared" si="10"/>
        <v>2125</v>
      </c>
      <c r="C503">
        <v>0.77007999999999999</v>
      </c>
      <c r="D503">
        <f t="shared" si="11"/>
        <v>0.65456799999999993</v>
      </c>
    </row>
    <row r="504" spans="1:4" x14ac:dyDescent="0.35">
      <c r="A504">
        <v>2.13</v>
      </c>
      <c r="B504">
        <f t="shared" si="10"/>
        <v>2130</v>
      </c>
      <c r="C504">
        <v>0.76302999999999999</v>
      </c>
      <c r="D504">
        <f t="shared" si="11"/>
        <v>0.64857549999999997</v>
      </c>
    </row>
    <row r="505" spans="1:4" x14ac:dyDescent="0.35">
      <c r="A505">
        <v>2.1349999999999998</v>
      </c>
      <c r="B505">
        <f t="shared" si="10"/>
        <v>2135</v>
      </c>
      <c r="C505">
        <v>0.75269699999999995</v>
      </c>
      <c r="D505">
        <f t="shared" si="11"/>
        <v>0.63979244999999996</v>
      </c>
    </row>
    <row r="506" spans="1:4" x14ac:dyDescent="0.35">
      <c r="A506">
        <v>2.14</v>
      </c>
      <c r="B506">
        <f t="shared" si="10"/>
        <v>2140</v>
      </c>
      <c r="C506">
        <v>0.73407999999999995</v>
      </c>
      <c r="D506">
        <f t="shared" si="11"/>
        <v>0.62396799999999997</v>
      </c>
    </row>
    <row r="507" spans="1:4" x14ac:dyDescent="0.35">
      <c r="A507">
        <v>2.145</v>
      </c>
      <c r="B507">
        <f t="shared" si="10"/>
        <v>2145</v>
      </c>
      <c r="C507">
        <v>0.70819600000000005</v>
      </c>
      <c r="D507">
        <f t="shared" si="11"/>
        <v>0.60196660000000002</v>
      </c>
    </row>
    <row r="508" spans="1:4" x14ac:dyDescent="0.35">
      <c r="A508">
        <v>2.15</v>
      </c>
      <c r="B508">
        <f t="shared" si="10"/>
        <v>2150</v>
      </c>
      <c r="C508">
        <v>0.67308900000000005</v>
      </c>
      <c r="D508">
        <f t="shared" si="11"/>
        <v>0.57212565000000004</v>
      </c>
    </row>
    <row r="509" spans="1:4" x14ac:dyDescent="0.35">
      <c r="A509">
        <v>2.1549999999999998</v>
      </c>
      <c r="B509">
        <f t="shared" si="10"/>
        <v>2155</v>
      </c>
      <c r="C509">
        <v>0.63361000000000001</v>
      </c>
      <c r="D509">
        <f t="shared" si="11"/>
        <v>0.53856850000000001</v>
      </c>
    </row>
    <row r="510" spans="1:4" x14ac:dyDescent="0.35">
      <c r="A510">
        <v>2.16</v>
      </c>
      <c r="B510">
        <f t="shared" si="10"/>
        <v>2160</v>
      </c>
      <c r="C510">
        <v>0.60844900000000002</v>
      </c>
      <c r="D510">
        <f t="shared" si="11"/>
        <v>0.51718165000000005</v>
      </c>
    </row>
    <row r="511" spans="1:4" x14ac:dyDescent="0.35">
      <c r="A511">
        <v>2.165</v>
      </c>
      <c r="B511">
        <f t="shared" si="10"/>
        <v>2165</v>
      </c>
      <c r="C511">
        <v>0.595105</v>
      </c>
      <c r="D511">
        <f t="shared" si="11"/>
        <v>0.50583924999999996</v>
      </c>
    </row>
    <row r="512" spans="1:4" x14ac:dyDescent="0.35">
      <c r="A512">
        <v>2.17</v>
      </c>
      <c r="B512">
        <f t="shared" si="10"/>
        <v>2170</v>
      </c>
      <c r="C512">
        <v>0.59396000000000004</v>
      </c>
      <c r="D512">
        <f t="shared" si="11"/>
        <v>0.50486600000000004</v>
      </c>
    </row>
    <row r="513" spans="1:4" x14ac:dyDescent="0.35">
      <c r="A513">
        <v>2.1749999999999998</v>
      </c>
      <c r="B513">
        <f t="shared" si="10"/>
        <v>2175</v>
      </c>
      <c r="C513">
        <v>0.592719</v>
      </c>
      <c r="D513">
        <f t="shared" si="11"/>
        <v>0.50381114999999999</v>
      </c>
    </row>
    <row r="514" spans="1:4" x14ac:dyDescent="0.35">
      <c r="A514">
        <v>2.1800000000000002</v>
      </c>
      <c r="B514">
        <f t="shared" si="10"/>
        <v>2180</v>
      </c>
      <c r="C514">
        <v>0.59267700000000001</v>
      </c>
      <c r="D514">
        <f t="shared" si="11"/>
        <v>0.50377545000000001</v>
      </c>
    </row>
    <row r="515" spans="1:4" x14ac:dyDescent="0.35">
      <c r="A515">
        <v>2.1850000000000001</v>
      </c>
      <c r="B515">
        <f t="shared" si="10"/>
        <v>2185</v>
      </c>
      <c r="C515">
        <v>0.59137399999999996</v>
      </c>
      <c r="D515">
        <f t="shared" si="11"/>
        <v>0.50266789999999995</v>
      </c>
    </row>
    <row r="516" spans="1:4" x14ac:dyDescent="0.35">
      <c r="A516">
        <v>2.19</v>
      </c>
      <c r="B516">
        <f t="shared" si="10"/>
        <v>2190</v>
      </c>
      <c r="C516">
        <v>0.58682400000000001</v>
      </c>
      <c r="D516">
        <f t="shared" si="11"/>
        <v>0.49880039999999998</v>
      </c>
    </row>
    <row r="517" spans="1:4" x14ac:dyDescent="0.35">
      <c r="A517">
        <v>2.1949999999999998</v>
      </c>
      <c r="B517">
        <f t="shared" si="10"/>
        <v>2195</v>
      </c>
      <c r="C517">
        <v>0.57672199999999996</v>
      </c>
      <c r="D517">
        <f t="shared" si="11"/>
        <v>0.49021369999999997</v>
      </c>
    </row>
    <row r="518" spans="1:4" x14ac:dyDescent="0.35">
      <c r="A518">
        <v>2.2000000000000002</v>
      </c>
      <c r="B518">
        <f t="shared" si="10"/>
        <v>2200</v>
      </c>
      <c r="C518">
        <v>0.56581599999999999</v>
      </c>
      <c r="D518">
        <f t="shared" si="11"/>
        <v>0.48094359999999997</v>
      </c>
    </row>
    <row r="519" spans="1:4" x14ac:dyDescent="0.35">
      <c r="A519">
        <v>2.2050000000000001</v>
      </c>
      <c r="B519">
        <f t="shared" si="10"/>
        <v>2205</v>
      </c>
      <c r="C519">
        <v>0.52974299999999996</v>
      </c>
      <c r="D519">
        <f t="shared" si="11"/>
        <v>0.45028154999999997</v>
      </c>
    </row>
    <row r="520" spans="1:4" x14ac:dyDescent="0.35">
      <c r="A520">
        <v>2.21</v>
      </c>
      <c r="B520">
        <f t="shared" si="10"/>
        <v>2210</v>
      </c>
      <c r="C520">
        <v>0.47013300000000002</v>
      </c>
      <c r="D520">
        <f t="shared" si="11"/>
        <v>0.39961305000000003</v>
      </c>
    </row>
    <row r="521" spans="1:4" x14ac:dyDescent="0.35">
      <c r="A521">
        <v>2.2149999999999999</v>
      </c>
      <c r="B521">
        <f t="shared" si="10"/>
        <v>2215</v>
      </c>
      <c r="C521">
        <v>0.51733700000000005</v>
      </c>
      <c r="D521">
        <f t="shared" si="11"/>
        <v>0.43973645</v>
      </c>
    </row>
    <row r="522" spans="1:4" x14ac:dyDescent="0.35">
      <c r="A522">
        <v>2.2200000000000002</v>
      </c>
      <c r="B522">
        <f t="shared" si="10"/>
        <v>2220</v>
      </c>
      <c r="C522">
        <v>0.61638599999999999</v>
      </c>
      <c r="D522">
        <f t="shared" si="11"/>
        <v>0.52392810000000001</v>
      </c>
    </row>
    <row r="523" spans="1:4" x14ac:dyDescent="0.35">
      <c r="A523">
        <v>2.2250000000000001</v>
      </c>
      <c r="B523">
        <f t="shared" ref="B523:B586" si="12">A523*1000</f>
        <v>2225</v>
      </c>
      <c r="C523">
        <v>0.66500999999999999</v>
      </c>
      <c r="D523">
        <f t="shared" ref="D523:D586" si="13">C523*$D$137</f>
        <v>0.5652585</v>
      </c>
    </row>
    <row r="524" spans="1:4" x14ac:dyDescent="0.35">
      <c r="A524">
        <v>2.23</v>
      </c>
      <c r="B524">
        <f t="shared" si="12"/>
        <v>2230</v>
      </c>
      <c r="C524">
        <v>0.68440199999999995</v>
      </c>
      <c r="D524">
        <f t="shared" si="13"/>
        <v>0.58174169999999992</v>
      </c>
    </row>
    <row r="525" spans="1:4" x14ac:dyDescent="0.35">
      <c r="A525">
        <v>2.2349999999999999</v>
      </c>
      <c r="B525">
        <f t="shared" si="12"/>
        <v>2235</v>
      </c>
      <c r="C525">
        <v>0.69170699999999996</v>
      </c>
      <c r="D525">
        <f t="shared" si="13"/>
        <v>0.58795094999999997</v>
      </c>
    </row>
    <row r="526" spans="1:4" x14ac:dyDescent="0.35">
      <c r="A526">
        <v>2.2400000000000002</v>
      </c>
      <c r="B526">
        <f t="shared" si="12"/>
        <v>2240</v>
      </c>
      <c r="C526">
        <v>0.68719799999999998</v>
      </c>
      <c r="D526">
        <f t="shared" si="13"/>
        <v>0.58411829999999998</v>
      </c>
    </row>
    <row r="527" spans="1:4" x14ac:dyDescent="0.35">
      <c r="A527">
        <v>2.2450000000000001</v>
      </c>
      <c r="B527">
        <f t="shared" si="12"/>
        <v>2245</v>
      </c>
      <c r="C527">
        <v>0.68840800000000002</v>
      </c>
      <c r="D527">
        <f t="shared" si="13"/>
        <v>0.58514679999999997</v>
      </c>
    </row>
    <row r="528" spans="1:4" x14ac:dyDescent="0.35">
      <c r="A528">
        <v>2.25</v>
      </c>
      <c r="B528">
        <f t="shared" si="12"/>
        <v>2250</v>
      </c>
      <c r="C528">
        <v>0.69228100000000004</v>
      </c>
      <c r="D528">
        <f t="shared" si="13"/>
        <v>0.58843885000000007</v>
      </c>
    </row>
    <row r="529" spans="1:4" x14ac:dyDescent="0.35">
      <c r="A529">
        <v>2.2549999999999999</v>
      </c>
      <c r="B529">
        <f t="shared" si="12"/>
        <v>2255</v>
      </c>
      <c r="C529">
        <v>0.69333299999999998</v>
      </c>
      <c r="D529">
        <f t="shared" si="13"/>
        <v>0.58933304999999991</v>
      </c>
    </row>
    <row r="530" spans="1:4" x14ac:dyDescent="0.35">
      <c r="A530">
        <v>2.2599999999999998</v>
      </c>
      <c r="B530">
        <f t="shared" si="12"/>
        <v>2260</v>
      </c>
      <c r="C530">
        <v>0.69110799999999994</v>
      </c>
      <c r="D530">
        <f t="shared" si="13"/>
        <v>0.5874417999999999</v>
      </c>
    </row>
    <row r="531" spans="1:4" x14ac:dyDescent="0.35">
      <c r="A531">
        <v>2.2650000000000001</v>
      </c>
      <c r="B531">
        <f t="shared" si="12"/>
        <v>2265</v>
      </c>
      <c r="C531">
        <v>0.68760100000000002</v>
      </c>
      <c r="D531">
        <f t="shared" si="13"/>
        <v>0.58446085000000003</v>
      </c>
    </row>
    <row r="532" spans="1:4" x14ac:dyDescent="0.35">
      <c r="A532">
        <v>2.27</v>
      </c>
      <c r="B532">
        <f t="shared" si="12"/>
        <v>2270</v>
      </c>
      <c r="C532">
        <v>0.68484900000000004</v>
      </c>
      <c r="D532">
        <f t="shared" si="13"/>
        <v>0.58212165000000005</v>
      </c>
    </row>
    <row r="533" spans="1:4" x14ac:dyDescent="0.35">
      <c r="A533">
        <v>2.2749999999999999</v>
      </c>
      <c r="B533">
        <f t="shared" si="12"/>
        <v>2275</v>
      </c>
      <c r="C533">
        <v>0.67732700000000001</v>
      </c>
      <c r="D533">
        <f t="shared" si="13"/>
        <v>0.57572794999999999</v>
      </c>
    </row>
    <row r="534" spans="1:4" x14ac:dyDescent="0.35">
      <c r="A534">
        <v>2.2799999999999998</v>
      </c>
      <c r="B534">
        <f t="shared" si="12"/>
        <v>2280</v>
      </c>
      <c r="C534">
        <v>0.66952599999999995</v>
      </c>
      <c r="D534">
        <f t="shared" si="13"/>
        <v>0.56909709999999991</v>
      </c>
    </row>
    <row r="535" spans="1:4" x14ac:dyDescent="0.35">
      <c r="A535">
        <v>2.2850000000000001</v>
      </c>
      <c r="B535">
        <f t="shared" si="12"/>
        <v>2285</v>
      </c>
      <c r="C535">
        <v>0.664767</v>
      </c>
      <c r="D535">
        <f t="shared" si="13"/>
        <v>0.56505194999999997</v>
      </c>
    </row>
    <row r="536" spans="1:4" x14ac:dyDescent="0.35">
      <c r="A536">
        <v>2.29</v>
      </c>
      <c r="B536">
        <f t="shared" si="12"/>
        <v>2290</v>
      </c>
      <c r="C536">
        <v>0.65736099999999997</v>
      </c>
      <c r="D536">
        <f t="shared" si="13"/>
        <v>0.55875684999999997</v>
      </c>
    </row>
    <row r="537" spans="1:4" x14ac:dyDescent="0.35">
      <c r="A537">
        <v>2.2949999999999999</v>
      </c>
      <c r="B537">
        <f t="shared" si="12"/>
        <v>2295</v>
      </c>
      <c r="C537">
        <v>0.65015800000000001</v>
      </c>
      <c r="D537">
        <f t="shared" si="13"/>
        <v>0.55263430000000002</v>
      </c>
    </row>
    <row r="538" spans="1:4" x14ac:dyDescent="0.35">
      <c r="A538">
        <v>2.2999999999999998</v>
      </c>
      <c r="B538">
        <f t="shared" si="12"/>
        <v>2300</v>
      </c>
      <c r="C538">
        <v>0.64388800000000002</v>
      </c>
      <c r="D538">
        <f t="shared" si="13"/>
        <v>0.54730480000000004</v>
      </c>
    </row>
    <row r="539" spans="1:4" x14ac:dyDescent="0.35">
      <c r="A539">
        <v>2.3050000000000002</v>
      </c>
      <c r="B539">
        <f t="shared" si="12"/>
        <v>2305</v>
      </c>
      <c r="C539">
        <v>0.63520200000000004</v>
      </c>
      <c r="D539">
        <f t="shared" si="13"/>
        <v>0.53992170000000006</v>
      </c>
    </row>
    <row r="540" spans="1:4" x14ac:dyDescent="0.35">
      <c r="A540">
        <v>2.31</v>
      </c>
      <c r="B540">
        <f t="shared" si="12"/>
        <v>2310</v>
      </c>
      <c r="C540">
        <v>0.624807</v>
      </c>
      <c r="D540">
        <f t="shared" si="13"/>
        <v>0.53108595000000003</v>
      </c>
    </row>
    <row r="541" spans="1:4" x14ac:dyDescent="0.35">
      <c r="A541">
        <v>2.3149999999999999</v>
      </c>
      <c r="B541">
        <f t="shared" si="12"/>
        <v>2315</v>
      </c>
      <c r="C541">
        <v>0.61412</v>
      </c>
      <c r="D541">
        <f t="shared" si="13"/>
        <v>0.52200199999999997</v>
      </c>
    </row>
    <row r="542" spans="1:4" x14ac:dyDescent="0.35">
      <c r="A542">
        <v>2.3199999999999998</v>
      </c>
      <c r="B542">
        <f t="shared" si="12"/>
        <v>2320</v>
      </c>
      <c r="C542">
        <v>0.60807900000000004</v>
      </c>
      <c r="D542">
        <f t="shared" si="13"/>
        <v>0.51686715000000005</v>
      </c>
    </row>
    <row r="543" spans="1:4" x14ac:dyDescent="0.35">
      <c r="A543">
        <v>2.3250000000000002</v>
      </c>
      <c r="B543">
        <f t="shared" si="12"/>
        <v>2325</v>
      </c>
      <c r="C543">
        <v>0.60583399999999998</v>
      </c>
      <c r="D543">
        <f t="shared" si="13"/>
        <v>0.5149589</v>
      </c>
    </row>
    <row r="544" spans="1:4" x14ac:dyDescent="0.35">
      <c r="A544">
        <v>2.33</v>
      </c>
      <c r="B544">
        <f t="shared" si="12"/>
        <v>2330</v>
      </c>
      <c r="C544">
        <v>0.60477300000000001</v>
      </c>
      <c r="D544">
        <f t="shared" si="13"/>
        <v>0.51405705000000002</v>
      </c>
    </row>
    <row r="545" spans="1:4" x14ac:dyDescent="0.35">
      <c r="A545">
        <v>2.335</v>
      </c>
      <c r="B545">
        <f t="shared" si="12"/>
        <v>2335</v>
      </c>
      <c r="C545">
        <v>0.60670100000000005</v>
      </c>
      <c r="D545">
        <f t="shared" si="13"/>
        <v>0.51569585000000007</v>
      </c>
    </row>
    <row r="546" spans="1:4" x14ac:dyDescent="0.35">
      <c r="A546">
        <v>2.34</v>
      </c>
      <c r="B546">
        <f t="shared" si="12"/>
        <v>2340</v>
      </c>
      <c r="C546">
        <v>0.60954900000000001</v>
      </c>
      <c r="D546">
        <f t="shared" si="13"/>
        <v>0.51811664999999996</v>
      </c>
    </row>
    <row r="547" spans="1:4" x14ac:dyDescent="0.35">
      <c r="A547">
        <v>2.3450000000000002</v>
      </c>
      <c r="B547">
        <f t="shared" si="12"/>
        <v>2345</v>
      </c>
      <c r="C547">
        <v>0.60269200000000001</v>
      </c>
      <c r="D547">
        <f t="shared" si="13"/>
        <v>0.51228819999999997</v>
      </c>
    </row>
    <row r="548" spans="1:4" x14ac:dyDescent="0.35">
      <c r="A548">
        <v>2.35</v>
      </c>
      <c r="B548">
        <f t="shared" si="12"/>
        <v>2350</v>
      </c>
      <c r="C548">
        <v>0.589777</v>
      </c>
      <c r="D548">
        <f t="shared" si="13"/>
        <v>0.50131044999999996</v>
      </c>
    </row>
    <row r="549" spans="1:4" x14ac:dyDescent="0.35">
      <c r="A549">
        <v>2.355</v>
      </c>
      <c r="B549">
        <f t="shared" si="12"/>
        <v>2355</v>
      </c>
      <c r="C549">
        <v>0.57762999999999998</v>
      </c>
      <c r="D549">
        <f t="shared" si="13"/>
        <v>0.49098549999999996</v>
      </c>
    </row>
    <row r="550" spans="1:4" x14ac:dyDescent="0.35">
      <c r="A550">
        <v>2.36</v>
      </c>
      <c r="B550">
        <f t="shared" si="12"/>
        <v>2360</v>
      </c>
      <c r="C550">
        <v>0.56894</v>
      </c>
      <c r="D550">
        <f t="shared" si="13"/>
        <v>0.483599</v>
      </c>
    </row>
    <row r="551" spans="1:4" x14ac:dyDescent="0.35">
      <c r="A551">
        <v>2.3650000000000002</v>
      </c>
      <c r="B551">
        <f t="shared" si="12"/>
        <v>2365</v>
      </c>
      <c r="C551">
        <v>0.57110899999999998</v>
      </c>
      <c r="D551">
        <f t="shared" si="13"/>
        <v>0.48544264999999998</v>
      </c>
    </row>
    <row r="552" spans="1:4" x14ac:dyDescent="0.35">
      <c r="A552">
        <v>2.37</v>
      </c>
      <c r="B552">
        <f t="shared" si="12"/>
        <v>2370</v>
      </c>
      <c r="C552">
        <v>0.57039200000000001</v>
      </c>
      <c r="D552">
        <f t="shared" si="13"/>
        <v>0.48483320000000002</v>
      </c>
    </row>
    <row r="553" spans="1:4" x14ac:dyDescent="0.35">
      <c r="A553">
        <v>2.375</v>
      </c>
      <c r="B553">
        <f t="shared" si="12"/>
        <v>2375</v>
      </c>
      <c r="C553">
        <v>0.56253299999999995</v>
      </c>
      <c r="D553">
        <f t="shared" si="13"/>
        <v>0.47815304999999997</v>
      </c>
    </row>
    <row r="554" spans="1:4" x14ac:dyDescent="0.35">
      <c r="A554">
        <v>2.38</v>
      </c>
      <c r="B554">
        <f t="shared" si="12"/>
        <v>2380</v>
      </c>
      <c r="C554">
        <v>0.54871999999999999</v>
      </c>
      <c r="D554">
        <f t="shared" si="13"/>
        <v>0.46641199999999999</v>
      </c>
    </row>
    <row r="555" spans="1:4" x14ac:dyDescent="0.35">
      <c r="A555">
        <v>2.3849999999999998</v>
      </c>
      <c r="B555">
        <f t="shared" si="12"/>
        <v>2385</v>
      </c>
      <c r="C555">
        <v>0.53852900000000004</v>
      </c>
      <c r="D555">
        <f t="shared" si="13"/>
        <v>0.45774965000000001</v>
      </c>
    </row>
    <row r="556" spans="1:4" x14ac:dyDescent="0.35">
      <c r="A556">
        <v>2.39</v>
      </c>
      <c r="B556">
        <f t="shared" si="12"/>
        <v>2390</v>
      </c>
      <c r="C556">
        <v>0.54103199999999996</v>
      </c>
      <c r="D556">
        <f t="shared" si="13"/>
        <v>0.45987719999999993</v>
      </c>
    </row>
    <row r="557" spans="1:4" x14ac:dyDescent="0.35">
      <c r="A557">
        <v>2.395</v>
      </c>
      <c r="B557">
        <f t="shared" si="12"/>
        <v>2395</v>
      </c>
      <c r="C557">
        <v>0.55016900000000002</v>
      </c>
      <c r="D557">
        <f t="shared" si="13"/>
        <v>0.46764365000000002</v>
      </c>
    </row>
    <row r="558" spans="1:4" x14ac:dyDescent="0.35">
      <c r="A558">
        <v>2.4</v>
      </c>
      <c r="B558">
        <f t="shared" si="12"/>
        <v>2400</v>
      </c>
      <c r="C558">
        <v>0.55887799999999999</v>
      </c>
      <c r="D558">
        <f t="shared" si="13"/>
        <v>0.47504629999999998</v>
      </c>
    </row>
    <row r="559" spans="1:4" x14ac:dyDescent="0.35">
      <c r="A559">
        <v>2.4049999999999998</v>
      </c>
      <c r="B559">
        <f t="shared" si="12"/>
        <v>2405</v>
      </c>
      <c r="C559">
        <v>0.56528800000000001</v>
      </c>
      <c r="D559">
        <f t="shared" si="13"/>
        <v>0.4804948</v>
      </c>
    </row>
    <row r="560" spans="1:4" x14ac:dyDescent="0.35">
      <c r="A560">
        <v>2.41</v>
      </c>
      <c r="B560">
        <f t="shared" si="12"/>
        <v>2410</v>
      </c>
      <c r="C560">
        <v>0.56666700000000003</v>
      </c>
      <c r="D560">
        <f t="shared" si="13"/>
        <v>0.48166695000000004</v>
      </c>
    </row>
    <row r="561" spans="1:4" x14ac:dyDescent="0.35">
      <c r="A561">
        <v>2.415</v>
      </c>
      <c r="B561">
        <f t="shared" si="12"/>
        <v>2415</v>
      </c>
      <c r="C561">
        <v>0.56548100000000001</v>
      </c>
      <c r="D561">
        <f t="shared" si="13"/>
        <v>0.48065884999999997</v>
      </c>
    </row>
    <row r="562" spans="1:4" x14ac:dyDescent="0.35">
      <c r="A562">
        <v>2.42</v>
      </c>
      <c r="B562">
        <f t="shared" si="12"/>
        <v>2420</v>
      </c>
      <c r="C562">
        <v>0.55988499999999997</v>
      </c>
      <c r="D562">
        <f t="shared" si="13"/>
        <v>0.47590224999999997</v>
      </c>
    </row>
    <row r="563" spans="1:4" x14ac:dyDescent="0.35">
      <c r="A563">
        <v>2.4249999999999998</v>
      </c>
      <c r="B563">
        <f t="shared" si="12"/>
        <v>2425</v>
      </c>
      <c r="C563">
        <v>0.55112799999999995</v>
      </c>
      <c r="D563">
        <f t="shared" si="13"/>
        <v>0.46845879999999995</v>
      </c>
    </row>
    <row r="564" spans="1:4" x14ac:dyDescent="0.35">
      <c r="A564">
        <v>2.4300000000000002</v>
      </c>
      <c r="B564">
        <f t="shared" si="12"/>
        <v>2430</v>
      </c>
      <c r="C564">
        <v>0.54372200000000004</v>
      </c>
      <c r="D564">
        <f t="shared" si="13"/>
        <v>0.46216370000000001</v>
      </c>
    </row>
    <row r="565" spans="1:4" x14ac:dyDescent="0.35">
      <c r="A565">
        <v>2.4350000000000001</v>
      </c>
      <c r="B565">
        <f t="shared" si="12"/>
        <v>2435</v>
      </c>
      <c r="C565">
        <v>0.53516600000000003</v>
      </c>
      <c r="D565">
        <f t="shared" si="13"/>
        <v>0.45489109999999999</v>
      </c>
    </row>
    <row r="566" spans="1:4" x14ac:dyDescent="0.35">
      <c r="A566">
        <v>2.44</v>
      </c>
      <c r="B566">
        <f t="shared" si="12"/>
        <v>2440</v>
      </c>
      <c r="C566">
        <v>0.51993</v>
      </c>
      <c r="D566">
        <f t="shared" si="13"/>
        <v>0.44194050000000001</v>
      </c>
    </row>
    <row r="567" spans="1:4" x14ac:dyDescent="0.35">
      <c r="A567">
        <v>2.4449999999999998</v>
      </c>
      <c r="B567">
        <f t="shared" si="12"/>
        <v>2445</v>
      </c>
      <c r="C567">
        <v>0.51103299999999996</v>
      </c>
      <c r="D567">
        <f t="shared" si="13"/>
        <v>0.43437804999999996</v>
      </c>
    </row>
    <row r="568" spans="1:4" x14ac:dyDescent="0.35">
      <c r="A568">
        <v>2.4500000000000002</v>
      </c>
      <c r="B568">
        <f t="shared" si="12"/>
        <v>2450</v>
      </c>
      <c r="C568">
        <v>0.50419599999999998</v>
      </c>
      <c r="D568">
        <f t="shared" si="13"/>
        <v>0.42856659999999996</v>
      </c>
    </row>
    <row r="569" spans="1:4" x14ac:dyDescent="0.35">
      <c r="A569">
        <v>2.4550000000000001</v>
      </c>
      <c r="B569">
        <f t="shared" si="12"/>
        <v>2455</v>
      </c>
      <c r="C569">
        <v>0.50109999999999999</v>
      </c>
      <c r="D569">
        <f t="shared" si="13"/>
        <v>0.42593499999999995</v>
      </c>
    </row>
    <row r="570" spans="1:4" x14ac:dyDescent="0.35">
      <c r="A570">
        <v>2.46</v>
      </c>
      <c r="B570">
        <f t="shared" si="12"/>
        <v>2460</v>
      </c>
      <c r="C570">
        <v>0.49787900000000002</v>
      </c>
      <c r="D570">
        <f t="shared" si="13"/>
        <v>0.42319715000000002</v>
      </c>
    </row>
    <row r="571" spans="1:4" x14ac:dyDescent="0.35">
      <c r="A571">
        <v>2.4649999999999999</v>
      </c>
      <c r="B571">
        <f t="shared" si="12"/>
        <v>2465</v>
      </c>
      <c r="C571">
        <v>0.49556600000000001</v>
      </c>
      <c r="D571">
        <f t="shared" si="13"/>
        <v>0.42123109999999997</v>
      </c>
    </row>
    <row r="572" spans="1:4" x14ac:dyDescent="0.35">
      <c r="A572">
        <v>2.4700000000000002</v>
      </c>
      <c r="B572">
        <f t="shared" si="12"/>
        <v>2470</v>
      </c>
      <c r="C572">
        <v>0.49169299999999999</v>
      </c>
      <c r="D572">
        <f t="shared" si="13"/>
        <v>0.41793904999999998</v>
      </c>
    </row>
    <row r="573" spans="1:4" x14ac:dyDescent="0.35">
      <c r="A573">
        <v>2.4750000000000001</v>
      </c>
      <c r="B573">
        <f t="shared" si="12"/>
        <v>2475</v>
      </c>
      <c r="C573">
        <v>0.48724000000000001</v>
      </c>
      <c r="D573">
        <f t="shared" si="13"/>
        <v>0.41415400000000002</v>
      </c>
    </row>
    <row r="574" spans="1:4" x14ac:dyDescent="0.35">
      <c r="A574">
        <v>2.48</v>
      </c>
      <c r="B574">
        <f t="shared" si="12"/>
        <v>2480</v>
      </c>
      <c r="C574">
        <v>0.47867500000000002</v>
      </c>
      <c r="D574">
        <f t="shared" si="13"/>
        <v>0.40687374999999998</v>
      </c>
    </row>
    <row r="575" spans="1:4" x14ac:dyDescent="0.35">
      <c r="A575">
        <v>2.4849999999999999</v>
      </c>
      <c r="B575">
        <f t="shared" si="12"/>
        <v>2485</v>
      </c>
      <c r="C575">
        <v>0.47045900000000002</v>
      </c>
      <c r="D575">
        <f t="shared" si="13"/>
        <v>0.39989015</v>
      </c>
    </row>
    <row r="576" spans="1:4" x14ac:dyDescent="0.35">
      <c r="A576">
        <v>2.4900000000000002</v>
      </c>
      <c r="B576">
        <f t="shared" si="12"/>
        <v>2490</v>
      </c>
      <c r="C576">
        <v>0.46113500000000002</v>
      </c>
      <c r="D576">
        <f t="shared" si="13"/>
        <v>0.39196475000000003</v>
      </c>
    </row>
    <row r="577" spans="1:4" x14ac:dyDescent="0.35">
      <c r="A577">
        <v>2.4950000000000001</v>
      </c>
      <c r="B577">
        <f t="shared" si="12"/>
        <v>2495</v>
      </c>
      <c r="C577">
        <v>0.46020899999999998</v>
      </c>
      <c r="D577">
        <f t="shared" si="13"/>
        <v>0.39117764999999999</v>
      </c>
    </row>
    <row r="578" spans="1:4" x14ac:dyDescent="0.35">
      <c r="A578">
        <v>2.5</v>
      </c>
      <c r="B578">
        <f t="shared" si="12"/>
        <v>2500</v>
      </c>
      <c r="C578">
        <v>0.45699099999999998</v>
      </c>
      <c r="D578">
        <f t="shared" si="13"/>
        <v>0.38844234999999999</v>
      </c>
    </row>
    <row r="579" spans="1:4" x14ac:dyDescent="0.35">
      <c r="A579">
        <v>2.5049999999999999</v>
      </c>
      <c r="B579">
        <f t="shared" si="12"/>
        <v>2505</v>
      </c>
      <c r="C579">
        <v>0.45766000000000001</v>
      </c>
      <c r="D579">
        <f t="shared" si="13"/>
        <v>0.389011</v>
      </c>
    </row>
    <row r="580" spans="1:4" x14ac:dyDescent="0.35">
      <c r="A580">
        <v>2.5099999999999998</v>
      </c>
      <c r="B580">
        <f t="shared" si="12"/>
        <v>2510</v>
      </c>
      <c r="C580">
        <v>0.45158799999999999</v>
      </c>
      <c r="D580">
        <f t="shared" si="13"/>
        <v>0.38384979999999996</v>
      </c>
    </row>
    <row r="581" spans="1:4" x14ac:dyDescent="0.35">
      <c r="A581">
        <v>2.5150000000000001</v>
      </c>
      <c r="B581">
        <f t="shared" si="12"/>
        <v>2515</v>
      </c>
      <c r="C581">
        <v>0.45030500000000001</v>
      </c>
      <c r="D581">
        <f t="shared" si="13"/>
        <v>0.38275925</v>
      </c>
    </row>
    <row r="582" spans="1:4" x14ac:dyDescent="0.35">
      <c r="A582">
        <v>2.52</v>
      </c>
      <c r="B582">
        <f t="shared" si="12"/>
        <v>2520</v>
      </c>
      <c r="C582">
        <v>0.44537399999999999</v>
      </c>
      <c r="D582">
        <f t="shared" si="13"/>
        <v>0.37856789999999996</v>
      </c>
    </row>
    <row r="583" spans="1:4" x14ac:dyDescent="0.35">
      <c r="A583">
        <v>2.5249999999999999</v>
      </c>
      <c r="B583">
        <f t="shared" si="12"/>
        <v>2525</v>
      </c>
      <c r="C583">
        <v>0.44234600000000002</v>
      </c>
      <c r="D583">
        <f t="shared" si="13"/>
        <v>0.3759941</v>
      </c>
    </row>
    <row r="584" spans="1:4" x14ac:dyDescent="0.35">
      <c r="A584">
        <v>2.5299999999999998</v>
      </c>
      <c r="B584">
        <f t="shared" si="12"/>
        <v>2530</v>
      </c>
      <c r="C584">
        <v>0.43770900000000001</v>
      </c>
      <c r="D584">
        <f t="shared" si="13"/>
        <v>0.37205264999999998</v>
      </c>
    </row>
    <row r="585" spans="1:4" x14ac:dyDescent="0.35">
      <c r="A585">
        <v>2.5350000000000001</v>
      </c>
      <c r="B585">
        <f t="shared" si="12"/>
        <v>2535</v>
      </c>
      <c r="C585">
        <v>0.43588300000000002</v>
      </c>
      <c r="D585">
        <f t="shared" si="13"/>
        <v>0.37050054999999998</v>
      </c>
    </row>
    <row r="586" spans="1:4" x14ac:dyDescent="0.35">
      <c r="A586">
        <v>2.54</v>
      </c>
      <c r="B586">
        <f t="shared" si="12"/>
        <v>2540</v>
      </c>
      <c r="C586">
        <v>0.43255900000000003</v>
      </c>
      <c r="D586">
        <f t="shared" si="13"/>
        <v>0.36767515000000001</v>
      </c>
    </row>
    <row r="587" spans="1:4" x14ac:dyDescent="0.35">
      <c r="A587">
        <v>2.5449999999999999</v>
      </c>
      <c r="B587">
        <f t="shared" ref="B587:B650" si="14">A587*1000</f>
        <v>2545</v>
      </c>
      <c r="C587">
        <v>0.42758000000000002</v>
      </c>
      <c r="D587">
        <f t="shared" ref="D587:D650" si="15">C587*$D$137</f>
        <v>0.36344300000000002</v>
      </c>
    </row>
    <row r="588" spans="1:4" x14ac:dyDescent="0.35">
      <c r="A588">
        <v>2.5499999999999998</v>
      </c>
      <c r="B588">
        <f t="shared" si="14"/>
        <v>2550</v>
      </c>
      <c r="C588">
        <v>0.426622</v>
      </c>
      <c r="D588">
        <f t="shared" si="15"/>
        <v>0.36262869999999997</v>
      </c>
    </row>
    <row r="589" spans="1:4" x14ac:dyDescent="0.35">
      <c r="A589">
        <v>2.5525000000000002</v>
      </c>
      <c r="B589">
        <f t="shared" si="14"/>
        <v>2552.5</v>
      </c>
      <c r="C589">
        <v>0.425869</v>
      </c>
      <c r="D589">
        <f t="shared" si="15"/>
        <v>0.36198864999999997</v>
      </c>
    </row>
    <row r="590" spans="1:4" x14ac:dyDescent="0.35">
      <c r="A590">
        <v>2.55376</v>
      </c>
      <c r="B590">
        <f t="shared" si="14"/>
        <v>2553.7600000000002</v>
      </c>
      <c r="C590">
        <v>0.42532999999999999</v>
      </c>
      <c r="D590">
        <f t="shared" si="15"/>
        <v>0.36153049999999998</v>
      </c>
    </row>
    <row r="591" spans="1:4" x14ac:dyDescent="0.35">
      <c r="A591">
        <v>2.5550199999999998</v>
      </c>
      <c r="B591">
        <f t="shared" si="14"/>
        <v>2555.02</v>
      </c>
      <c r="C591">
        <v>0.42492600000000003</v>
      </c>
      <c r="D591">
        <f t="shared" si="15"/>
        <v>0.36118710000000004</v>
      </c>
    </row>
    <row r="592" spans="1:4" x14ac:dyDescent="0.35">
      <c r="A592">
        <v>2.5562800000000001</v>
      </c>
      <c r="B592">
        <f t="shared" si="14"/>
        <v>2556.2800000000002</v>
      </c>
      <c r="C592">
        <v>0.42427500000000001</v>
      </c>
      <c r="D592">
        <f t="shared" si="15"/>
        <v>0.36063374999999998</v>
      </c>
    </row>
    <row r="593" spans="1:4" x14ac:dyDescent="0.35">
      <c r="A593">
        <v>2.5575399999999999</v>
      </c>
      <c r="B593">
        <f t="shared" si="14"/>
        <v>2557.54</v>
      </c>
      <c r="C593">
        <v>0.42375299999999999</v>
      </c>
      <c r="D593">
        <f t="shared" si="15"/>
        <v>0.36019004999999998</v>
      </c>
    </row>
    <row r="594" spans="1:4" x14ac:dyDescent="0.35">
      <c r="A594">
        <v>2.5588000000000002</v>
      </c>
      <c r="B594">
        <f t="shared" si="14"/>
        <v>2558.8000000000002</v>
      </c>
      <c r="C594">
        <v>0.423097</v>
      </c>
      <c r="D594">
        <f t="shared" si="15"/>
        <v>0.35963244999999999</v>
      </c>
    </row>
    <row r="595" spans="1:4" x14ac:dyDescent="0.35">
      <c r="A595">
        <v>2.5600700000000001</v>
      </c>
      <c r="B595">
        <f t="shared" si="14"/>
        <v>2560.0700000000002</v>
      </c>
      <c r="C595">
        <v>0.42172900000000002</v>
      </c>
      <c r="D595">
        <f t="shared" si="15"/>
        <v>0.35846965000000003</v>
      </c>
    </row>
    <row r="596" spans="1:4" x14ac:dyDescent="0.35">
      <c r="A596">
        <v>2.5613299999999999</v>
      </c>
      <c r="B596">
        <f t="shared" si="14"/>
        <v>2561.33</v>
      </c>
      <c r="C596">
        <v>0.41957299999999997</v>
      </c>
      <c r="D596">
        <f t="shared" si="15"/>
        <v>0.35663704999999996</v>
      </c>
    </row>
    <row r="597" spans="1:4" x14ac:dyDescent="0.35">
      <c r="A597">
        <v>2.5626000000000002</v>
      </c>
      <c r="B597">
        <f t="shared" si="14"/>
        <v>2562.6000000000004</v>
      </c>
      <c r="C597">
        <v>0.41786099999999998</v>
      </c>
      <c r="D597">
        <f t="shared" si="15"/>
        <v>0.35518184999999997</v>
      </c>
    </row>
    <row r="598" spans="1:4" x14ac:dyDescent="0.35">
      <c r="A598">
        <v>2.56386</v>
      </c>
      <c r="B598">
        <f t="shared" si="14"/>
        <v>2563.86</v>
      </c>
      <c r="C598">
        <v>0.41683599999999998</v>
      </c>
      <c r="D598">
        <f t="shared" si="15"/>
        <v>0.35431059999999998</v>
      </c>
    </row>
    <row r="599" spans="1:4" x14ac:dyDescent="0.35">
      <c r="A599">
        <v>2.5651299999999999</v>
      </c>
      <c r="B599">
        <f t="shared" si="14"/>
        <v>2565.13</v>
      </c>
      <c r="C599">
        <v>0.415738</v>
      </c>
      <c r="D599">
        <f t="shared" si="15"/>
        <v>0.35337730000000001</v>
      </c>
    </row>
    <row r="600" spans="1:4" x14ac:dyDescent="0.35">
      <c r="A600">
        <v>2.5663999999999998</v>
      </c>
      <c r="B600">
        <f t="shared" si="14"/>
        <v>2566.3999999999996</v>
      </c>
      <c r="C600">
        <v>0.41503000000000001</v>
      </c>
      <c r="D600">
        <f t="shared" si="15"/>
        <v>0.35277550000000002</v>
      </c>
    </row>
    <row r="601" spans="1:4" x14ac:dyDescent="0.35">
      <c r="A601">
        <v>2.5676700000000001</v>
      </c>
      <c r="B601">
        <f t="shared" si="14"/>
        <v>2567.67</v>
      </c>
      <c r="C601">
        <v>0.41343999999999997</v>
      </c>
      <c r="D601">
        <f t="shared" si="15"/>
        <v>0.35142399999999996</v>
      </c>
    </row>
    <row r="602" spans="1:4" x14ac:dyDescent="0.35">
      <c r="A602">
        <v>2.5689500000000001</v>
      </c>
      <c r="B602">
        <f t="shared" si="14"/>
        <v>2568.9500000000003</v>
      </c>
      <c r="C602">
        <v>0.41105399999999997</v>
      </c>
      <c r="D602">
        <f t="shared" si="15"/>
        <v>0.34939589999999998</v>
      </c>
    </row>
    <row r="603" spans="1:4" x14ac:dyDescent="0.35">
      <c r="A603">
        <v>2.5702199999999999</v>
      </c>
      <c r="B603">
        <f t="shared" si="14"/>
        <v>2570.2199999999998</v>
      </c>
      <c r="C603">
        <v>0.40922799999999998</v>
      </c>
      <c r="D603">
        <f t="shared" si="15"/>
        <v>0.34784379999999998</v>
      </c>
    </row>
    <row r="604" spans="1:4" x14ac:dyDescent="0.35">
      <c r="A604">
        <v>2.5714999999999999</v>
      </c>
      <c r="B604">
        <f t="shared" si="14"/>
        <v>2571.5</v>
      </c>
      <c r="C604">
        <v>0.40818599999999999</v>
      </c>
      <c r="D604">
        <f t="shared" si="15"/>
        <v>0.34695809999999999</v>
      </c>
    </row>
    <row r="605" spans="1:4" x14ac:dyDescent="0.35">
      <c r="A605">
        <v>2.5727699999999998</v>
      </c>
      <c r="B605">
        <f t="shared" si="14"/>
        <v>2572.77</v>
      </c>
      <c r="C605">
        <v>0.40704600000000002</v>
      </c>
      <c r="D605">
        <f t="shared" si="15"/>
        <v>0.34598909999999999</v>
      </c>
    </row>
    <row r="606" spans="1:4" x14ac:dyDescent="0.35">
      <c r="A606">
        <v>2.5740500000000002</v>
      </c>
      <c r="B606">
        <f t="shared" si="14"/>
        <v>2574.0500000000002</v>
      </c>
      <c r="C606">
        <v>0.40497300000000003</v>
      </c>
      <c r="D606">
        <f t="shared" si="15"/>
        <v>0.34422705000000003</v>
      </c>
    </row>
    <row r="607" spans="1:4" x14ac:dyDescent="0.35">
      <c r="A607">
        <v>2.5753300000000001</v>
      </c>
      <c r="B607">
        <f t="shared" si="14"/>
        <v>2575.33</v>
      </c>
      <c r="C607">
        <v>0.40451300000000001</v>
      </c>
      <c r="D607">
        <f t="shared" si="15"/>
        <v>0.34383605</v>
      </c>
    </row>
    <row r="608" spans="1:4" x14ac:dyDescent="0.35">
      <c r="A608">
        <v>2.5766100000000001</v>
      </c>
      <c r="B608">
        <f t="shared" si="14"/>
        <v>2576.61</v>
      </c>
      <c r="C608">
        <v>0.40409899999999999</v>
      </c>
      <c r="D608">
        <f t="shared" si="15"/>
        <v>0.34348414999999999</v>
      </c>
    </row>
    <row r="609" spans="1:4" x14ac:dyDescent="0.35">
      <c r="A609">
        <v>2.57789</v>
      </c>
      <c r="B609">
        <f t="shared" si="14"/>
        <v>2577.89</v>
      </c>
      <c r="C609">
        <v>0.40265000000000001</v>
      </c>
      <c r="D609">
        <f t="shared" si="15"/>
        <v>0.34225250000000002</v>
      </c>
    </row>
    <row r="610" spans="1:4" x14ac:dyDescent="0.35">
      <c r="A610">
        <v>2.57917</v>
      </c>
      <c r="B610">
        <f t="shared" si="14"/>
        <v>2579.17</v>
      </c>
      <c r="C610">
        <v>0.40207700000000002</v>
      </c>
      <c r="D610">
        <f t="shared" si="15"/>
        <v>0.34176545000000003</v>
      </c>
    </row>
    <row r="611" spans="1:4" x14ac:dyDescent="0.35">
      <c r="A611">
        <v>2.58046</v>
      </c>
      <c r="B611">
        <f t="shared" si="14"/>
        <v>2580.46</v>
      </c>
      <c r="C611">
        <v>0.40156999999999998</v>
      </c>
      <c r="D611">
        <f t="shared" si="15"/>
        <v>0.34133449999999999</v>
      </c>
    </row>
    <row r="612" spans="1:4" x14ac:dyDescent="0.35">
      <c r="A612">
        <v>2.5817399999999999</v>
      </c>
      <c r="B612">
        <f t="shared" si="14"/>
        <v>2581.7399999999998</v>
      </c>
      <c r="C612">
        <v>0.39999000000000001</v>
      </c>
      <c r="D612">
        <f t="shared" si="15"/>
        <v>0.3399915</v>
      </c>
    </row>
    <row r="613" spans="1:4" x14ac:dyDescent="0.35">
      <c r="A613">
        <v>2.5830299999999999</v>
      </c>
      <c r="B613">
        <f t="shared" si="14"/>
        <v>2583.0299999999997</v>
      </c>
      <c r="C613">
        <v>0.39899299999999999</v>
      </c>
      <c r="D613">
        <f t="shared" si="15"/>
        <v>0.33914404999999997</v>
      </c>
    </row>
    <row r="614" spans="1:4" x14ac:dyDescent="0.35">
      <c r="A614">
        <v>2.5843099999999999</v>
      </c>
      <c r="B614">
        <f t="shared" si="14"/>
        <v>2584.31</v>
      </c>
      <c r="C614">
        <v>0.39860499999999999</v>
      </c>
      <c r="D614">
        <f t="shared" si="15"/>
        <v>0.33881424999999998</v>
      </c>
    </row>
    <row r="615" spans="1:4" x14ac:dyDescent="0.35">
      <c r="A615">
        <v>2.5855999999999999</v>
      </c>
      <c r="B615">
        <f t="shared" si="14"/>
        <v>2585.6</v>
      </c>
      <c r="C615">
        <v>0.39886500000000003</v>
      </c>
      <c r="D615">
        <f t="shared" si="15"/>
        <v>0.33903525000000001</v>
      </c>
    </row>
    <row r="616" spans="1:4" x14ac:dyDescent="0.35">
      <c r="A616">
        <v>2.5868899999999999</v>
      </c>
      <c r="B616">
        <f t="shared" si="14"/>
        <v>2586.89</v>
      </c>
      <c r="C616">
        <v>0.398036</v>
      </c>
      <c r="D616">
        <f t="shared" si="15"/>
        <v>0.33833059999999998</v>
      </c>
    </row>
    <row r="617" spans="1:4" x14ac:dyDescent="0.35">
      <c r="A617">
        <v>2.58819</v>
      </c>
      <c r="B617">
        <f t="shared" si="14"/>
        <v>2588.19</v>
      </c>
      <c r="C617">
        <v>0.39645799999999998</v>
      </c>
      <c r="D617">
        <f t="shared" si="15"/>
        <v>0.33698929999999999</v>
      </c>
    </row>
    <row r="618" spans="1:4" x14ac:dyDescent="0.35">
      <c r="A618">
        <v>2.58948</v>
      </c>
      <c r="B618">
        <f t="shared" si="14"/>
        <v>2589.48</v>
      </c>
      <c r="C618">
        <v>0.395677</v>
      </c>
      <c r="D618">
        <f t="shared" si="15"/>
        <v>0.33632544999999997</v>
      </c>
    </row>
    <row r="619" spans="1:4" x14ac:dyDescent="0.35">
      <c r="A619">
        <v>2.59077</v>
      </c>
      <c r="B619">
        <f t="shared" si="14"/>
        <v>2590.77</v>
      </c>
      <c r="C619">
        <v>0.39515099999999997</v>
      </c>
      <c r="D619">
        <f t="shared" si="15"/>
        <v>0.33587834999999999</v>
      </c>
    </row>
    <row r="620" spans="1:4" x14ac:dyDescent="0.35">
      <c r="A620">
        <v>2.5920700000000001</v>
      </c>
      <c r="B620">
        <f t="shared" si="14"/>
        <v>2592.0700000000002</v>
      </c>
      <c r="C620">
        <v>0.393955</v>
      </c>
      <c r="D620">
        <f t="shared" si="15"/>
        <v>0.33486175000000001</v>
      </c>
    </row>
    <row r="621" spans="1:4" x14ac:dyDescent="0.35">
      <c r="A621">
        <v>2.5933600000000001</v>
      </c>
      <c r="B621">
        <f t="shared" si="14"/>
        <v>2593.36</v>
      </c>
      <c r="C621">
        <v>0.39241100000000001</v>
      </c>
      <c r="D621">
        <f t="shared" si="15"/>
        <v>0.33354935000000002</v>
      </c>
    </row>
    <row r="622" spans="1:4" x14ac:dyDescent="0.35">
      <c r="A622">
        <v>2.5946600000000002</v>
      </c>
      <c r="B622">
        <f t="shared" si="14"/>
        <v>2594.6600000000003</v>
      </c>
      <c r="C622">
        <v>0.39027499999999998</v>
      </c>
      <c r="D622">
        <f t="shared" si="15"/>
        <v>0.33173374999999999</v>
      </c>
    </row>
    <row r="623" spans="1:4" x14ac:dyDescent="0.35">
      <c r="A623">
        <v>2.5959599999999998</v>
      </c>
      <c r="B623">
        <f t="shared" si="14"/>
        <v>2595.96</v>
      </c>
      <c r="C623">
        <v>0.389378</v>
      </c>
      <c r="D623">
        <f t="shared" si="15"/>
        <v>0.33097129999999997</v>
      </c>
    </row>
    <row r="624" spans="1:4" x14ac:dyDescent="0.35">
      <c r="A624">
        <v>2.5972599999999999</v>
      </c>
      <c r="B624">
        <f t="shared" si="14"/>
        <v>2597.2599999999998</v>
      </c>
      <c r="C624">
        <v>0.390963</v>
      </c>
      <c r="D624">
        <f t="shared" si="15"/>
        <v>0.33231854999999999</v>
      </c>
    </row>
    <row r="625" spans="1:4" x14ac:dyDescent="0.35">
      <c r="A625">
        <v>2.59856</v>
      </c>
      <c r="B625">
        <f t="shared" si="14"/>
        <v>2598.56</v>
      </c>
      <c r="C625">
        <v>0.39110800000000001</v>
      </c>
      <c r="D625">
        <f t="shared" si="15"/>
        <v>0.33244180000000001</v>
      </c>
    </row>
    <row r="626" spans="1:4" x14ac:dyDescent="0.35">
      <c r="A626">
        <v>2.5998700000000001</v>
      </c>
      <c r="B626">
        <f t="shared" si="14"/>
        <v>2599.8700000000003</v>
      </c>
      <c r="C626">
        <v>0.38936199999999999</v>
      </c>
      <c r="D626">
        <f t="shared" si="15"/>
        <v>0.33095769999999997</v>
      </c>
    </row>
    <row r="627" spans="1:4" x14ac:dyDescent="0.35">
      <c r="A627">
        <v>2.6011700000000002</v>
      </c>
      <c r="B627">
        <f t="shared" si="14"/>
        <v>2601.17</v>
      </c>
      <c r="C627">
        <v>0.38787100000000002</v>
      </c>
      <c r="D627">
        <f t="shared" si="15"/>
        <v>0.32969035000000002</v>
      </c>
    </row>
    <row r="628" spans="1:4" x14ac:dyDescent="0.35">
      <c r="A628">
        <v>2.6024799999999999</v>
      </c>
      <c r="B628">
        <f t="shared" si="14"/>
        <v>2602.48</v>
      </c>
      <c r="C628">
        <v>0.38666299999999998</v>
      </c>
      <c r="D628">
        <f t="shared" si="15"/>
        <v>0.32866354999999997</v>
      </c>
    </row>
    <row r="629" spans="1:4" x14ac:dyDescent="0.35">
      <c r="A629">
        <v>2.60378</v>
      </c>
      <c r="B629">
        <f t="shared" si="14"/>
        <v>2603.7800000000002</v>
      </c>
      <c r="C629">
        <v>0.38566</v>
      </c>
      <c r="D629">
        <f t="shared" si="15"/>
        <v>0.32781100000000002</v>
      </c>
    </row>
    <row r="630" spans="1:4" x14ac:dyDescent="0.35">
      <c r="A630">
        <v>2.6050900000000001</v>
      </c>
      <c r="B630">
        <f t="shared" si="14"/>
        <v>2605.09</v>
      </c>
      <c r="C630">
        <v>0.38429000000000002</v>
      </c>
      <c r="D630">
        <f t="shared" si="15"/>
        <v>0.32664650000000001</v>
      </c>
    </row>
    <row r="631" spans="1:4" x14ac:dyDescent="0.35">
      <c r="A631">
        <v>2.6063999999999998</v>
      </c>
      <c r="B631">
        <f t="shared" si="14"/>
        <v>2606.3999999999996</v>
      </c>
      <c r="C631">
        <v>0.38309900000000002</v>
      </c>
      <c r="D631">
        <f t="shared" si="15"/>
        <v>0.32563415000000001</v>
      </c>
    </row>
    <row r="632" spans="1:4" x14ac:dyDescent="0.35">
      <c r="A632">
        <v>2.60771</v>
      </c>
      <c r="B632">
        <f t="shared" si="14"/>
        <v>2607.71</v>
      </c>
      <c r="C632">
        <v>0.38345400000000002</v>
      </c>
      <c r="D632">
        <f t="shared" si="15"/>
        <v>0.3259359</v>
      </c>
    </row>
    <row r="633" spans="1:4" x14ac:dyDescent="0.35">
      <c r="A633">
        <v>2.6090300000000002</v>
      </c>
      <c r="B633">
        <f t="shared" si="14"/>
        <v>2609.0300000000002</v>
      </c>
      <c r="C633">
        <v>0.38291999999999998</v>
      </c>
      <c r="D633">
        <f t="shared" si="15"/>
        <v>0.32548199999999999</v>
      </c>
    </row>
    <row r="634" spans="1:4" x14ac:dyDescent="0.35">
      <c r="A634">
        <v>2.6103399999999999</v>
      </c>
      <c r="B634">
        <f t="shared" si="14"/>
        <v>2610.3399999999997</v>
      </c>
      <c r="C634">
        <v>0.38105699999999998</v>
      </c>
      <c r="D634">
        <f t="shared" si="15"/>
        <v>0.32389844999999995</v>
      </c>
    </row>
    <row r="635" spans="1:4" x14ac:dyDescent="0.35">
      <c r="A635">
        <v>2.6116600000000001</v>
      </c>
      <c r="B635">
        <f t="shared" si="14"/>
        <v>2611.6600000000003</v>
      </c>
      <c r="C635">
        <v>0.38028000000000001</v>
      </c>
      <c r="D635">
        <f t="shared" si="15"/>
        <v>0.32323799999999997</v>
      </c>
    </row>
    <row r="636" spans="1:4" x14ac:dyDescent="0.35">
      <c r="A636">
        <v>2.6129699999999998</v>
      </c>
      <c r="B636">
        <f t="shared" si="14"/>
        <v>2612.9699999999998</v>
      </c>
      <c r="C636">
        <v>0.37952599999999997</v>
      </c>
      <c r="D636">
        <f t="shared" si="15"/>
        <v>0.32259709999999997</v>
      </c>
    </row>
    <row r="637" spans="1:4" x14ac:dyDescent="0.35">
      <c r="A637">
        <v>2.61429</v>
      </c>
      <c r="B637">
        <f t="shared" si="14"/>
        <v>2614.29</v>
      </c>
      <c r="C637">
        <v>0.37868600000000002</v>
      </c>
      <c r="D637">
        <f t="shared" si="15"/>
        <v>0.32188310000000003</v>
      </c>
    </row>
    <row r="638" spans="1:4" x14ac:dyDescent="0.35">
      <c r="A638">
        <v>2.6156100000000002</v>
      </c>
      <c r="B638">
        <f t="shared" si="14"/>
        <v>2615.61</v>
      </c>
      <c r="C638">
        <v>0.37746499999999999</v>
      </c>
      <c r="D638">
        <f t="shared" si="15"/>
        <v>0.32084524999999997</v>
      </c>
    </row>
    <row r="639" spans="1:4" x14ac:dyDescent="0.35">
      <c r="A639">
        <v>2.61693</v>
      </c>
      <c r="B639">
        <f t="shared" si="14"/>
        <v>2616.9299999999998</v>
      </c>
      <c r="C639">
        <v>0.37531500000000001</v>
      </c>
      <c r="D639">
        <f t="shared" si="15"/>
        <v>0.31901774999999999</v>
      </c>
    </row>
    <row r="640" spans="1:4" x14ac:dyDescent="0.35">
      <c r="A640">
        <v>2.6182500000000002</v>
      </c>
      <c r="B640">
        <f t="shared" si="14"/>
        <v>2618.25</v>
      </c>
      <c r="C640">
        <v>0.37392999999999998</v>
      </c>
      <c r="D640">
        <f t="shared" si="15"/>
        <v>0.31784049999999997</v>
      </c>
    </row>
    <row r="641" spans="1:4" x14ac:dyDescent="0.35">
      <c r="A641">
        <v>2.61957</v>
      </c>
      <c r="B641">
        <f t="shared" si="14"/>
        <v>2619.5700000000002</v>
      </c>
      <c r="C641">
        <v>0.37391600000000003</v>
      </c>
      <c r="D641">
        <f t="shared" si="15"/>
        <v>0.31782860000000002</v>
      </c>
    </row>
    <row r="642" spans="1:4" x14ac:dyDescent="0.35">
      <c r="A642">
        <v>2.6208999999999998</v>
      </c>
      <c r="B642">
        <f t="shared" si="14"/>
        <v>2620.8999999999996</v>
      </c>
      <c r="C642">
        <v>0.37219999999999998</v>
      </c>
      <c r="D642">
        <f t="shared" si="15"/>
        <v>0.31636999999999998</v>
      </c>
    </row>
    <row r="643" spans="1:4" x14ac:dyDescent="0.35">
      <c r="A643">
        <v>2.62222</v>
      </c>
      <c r="B643">
        <f t="shared" si="14"/>
        <v>2622.22</v>
      </c>
      <c r="C643">
        <v>0.37118600000000002</v>
      </c>
      <c r="D643">
        <f t="shared" si="15"/>
        <v>0.31550810000000001</v>
      </c>
    </row>
    <row r="644" spans="1:4" x14ac:dyDescent="0.35">
      <c r="A644">
        <v>2.6235499999999998</v>
      </c>
      <c r="B644">
        <f t="shared" si="14"/>
        <v>2623.5499999999997</v>
      </c>
      <c r="C644">
        <v>0.37087900000000001</v>
      </c>
      <c r="D644">
        <f t="shared" si="15"/>
        <v>0.31524715000000003</v>
      </c>
    </row>
    <row r="645" spans="1:4" x14ac:dyDescent="0.35">
      <c r="A645">
        <v>2.6248800000000001</v>
      </c>
      <c r="B645">
        <f t="shared" si="14"/>
        <v>2624.88</v>
      </c>
      <c r="C645">
        <v>0.36918099999999998</v>
      </c>
      <c r="D645">
        <f t="shared" si="15"/>
        <v>0.31380385</v>
      </c>
    </row>
    <row r="646" spans="1:4" x14ac:dyDescent="0.35">
      <c r="A646">
        <v>2.6262099999999999</v>
      </c>
      <c r="B646">
        <f t="shared" si="14"/>
        <v>2626.21</v>
      </c>
      <c r="C646">
        <v>0.366539</v>
      </c>
      <c r="D646">
        <f t="shared" si="15"/>
        <v>0.31155814999999998</v>
      </c>
    </row>
    <row r="647" spans="1:4" x14ac:dyDescent="0.35">
      <c r="A647">
        <v>2.6275400000000002</v>
      </c>
      <c r="B647">
        <f t="shared" si="14"/>
        <v>2627.5400000000004</v>
      </c>
      <c r="C647">
        <v>0.36407400000000001</v>
      </c>
      <c r="D647">
        <f t="shared" si="15"/>
        <v>0.30946289999999999</v>
      </c>
    </row>
    <row r="648" spans="1:4" x14ac:dyDescent="0.35">
      <c r="A648">
        <v>2.62887</v>
      </c>
      <c r="B648">
        <f t="shared" si="14"/>
        <v>2628.87</v>
      </c>
      <c r="C648">
        <v>0.36256100000000002</v>
      </c>
      <c r="D648">
        <f t="shared" si="15"/>
        <v>0.30817685</v>
      </c>
    </row>
    <row r="649" spans="1:4" x14ac:dyDescent="0.35">
      <c r="A649">
        <v>2.6302099999999999</v>
      </c>
      <c r="B649">
        <f t="shared" si="14"/>
        <v>2630.21</v>
      </c>
      <c r="C649">
        <v>0.360622</v>
      </c>
      <c r="D649">
        <f t="shared" si="15"/>
        <v>0.30652869999999999</v>
      </c>
    </row>
    <row r="650" spans="1:4" x14ac:dyDescent="0.35">
      <c r="A650">
        <v>2.6315400000000002</v>
      </c>
      <c r="B650">
        <f t="shared" si="14"/>
        <v>2631.5400000000004</v>
      </c>
      <c r="C650">
        <v>0.35836400000000002</v>
      </c>
      <c r="D650">
        <f t="shared" si="15"/>
        <v>0.30460940000000003</v>
      </c>
    </row>
    <row r="651" spans="1:4" x14ac:dyDescent="0.35">
      <c r="A651">
        <v>2.6328800000000001</v>
      </c>
      <c r="B651">
        <f t="shared" ref="B651:B714" si="16">A651*1000</f>
        <v>2632.88</v>
      </c>
      <c r="C651">
        <v>0.35694199999999998</v>
      </c>
      <c r="D651">
        <f t="shared" ref="D651:D714" si="17">C651*$D$137</f>
        <v>0.30340069999999997</v>
      </c>
    </row>
    <row r="652" spans="1:4" x14ac:dyDescent="0.35">
      <c r="A652">
        <v>2.6342099999999999</v>
      </c>
      <c r="B652">
        <f t="shared" si="16"/>
        <v>2634.21</v>
      </c>
      <c r="C652">
        <v>0.35430899999999999</v>
      </c>
      <c r="D652">
        <f t="shared" si="17"/>
        <v>0.30116264999999998</v>
      </c>
    </row>
    <row r="653" spans="1:4" x14ac:dyDescent="0.35">
      <c r="A653">
        <v>2.6355499999999998</v>
      </c>
      <c r="B653">
        <f t="shared" si="16"/>
        <v>2635.5499999999997</v>
      </c>
      <c r="C653">
        <v>0.351325</v>
      </c>
      <c r="D653">
        <f t="shared" si="17"/>
        <v>0.29862624999999998</v>
      </c>
    </row>
    <row r="654" spans="1:4" x14ac:dyDescent="0.35">
      <c r="A654">
        <v>2.6368900000000002</v>
      </c>
      <c r="B654">
        <f t="shared" si="16"/>
        <v>2636.8900000000003</v>
      </c>
      <c r="C654">
        <v>0.34898200000000001</v>
      </c>
      <c r="D654">
        <f t="shared" si="17"/>
        <v>0.29663470000000003</v>
      </c>
    </row>
    <row r="655" spans="1:4" x14ac:dyDescent="0.35">
      <c r="A655">
        <v>2.6382400000000001</v>
      </c>
      <c r="B655">
        <f t="shared" si="16"/>
        <v>2638.2400000000002</v>
      </c>
      <c r="C655">
        <v>0.34623900000000002</v>
      </c>
      <c r="D655">
        <f t="shared" si="17"/>
        <v>0.29430315000000001</v>
      </c>
    </row>
    <row r="656" spans="1:4" x14ac:dyDescent="0.35">
      <c r="A656">
        <v>2.63958</v>
      </c>
      <c r="B656">
        <f t="shared" si="16"/>
        <v>2639.58</v>
      </c>
      <c r="C656">
        <v>0.34236</v>
      </c>
      <c r="D656">
        <f t="shared" si="17"/>
        <v>0.29100599999999999</v>
      </c>
    </row>
    <row r="657" spans="1:4" x14ac:dyDescent="0.35">
      <c r="A657">
        <v>2.6409199999999999</v>
      </c>
      <c r="B657">
        <f t="shared" si="16"/>
        <v>2640.92</v>
      </c>
      <c r="C657">
        <v>0.33944000000000002</v>
      </c>
      <c r="D657">
        <f t="shared" si="17"/>
        <v>0.288524</v>
      </c>
    </row>
    <row r="658" spans="1:4" x14ac:dyDescent="0.35">
      <c r="A658">
        <v>2.6422699999999999</v>
      </c>
      <c r="B658">
        <f t="shared" si="16"/>
        <v>2642.27</v>
      </c>
      <c r="C658">
        <v>0.33708500000000002</v>
      </c>
      <c r="D658">
        <f t="shared" si="17"/>
        <v>0.28652225000000003</v>
      </c>
    </row>
    <row r="659" spans="1:4" x14ac:dyDescent="0.35">
      <c r="A659">
        <v>2.6436199999999999</v>
      </c>
      <c r="B659">
        <f t="shared" si="16"/>
        <v>2643.62</v>
      </c>
      <c r="C659">
        <v>0.33453899999999998</v>
      </c>
      <c r="D659">
        <f t="shared" si="17"/>
        <v>0.28435814999999998</v>
      </c>
    </row>
    <row r="660" spans="1:4" x14ac:dyDescent="0.35">
      <c r="A660">
        <v>2.6449699999999998</v>
      </c>
      <c r="B660">
        <f t="shared" si="16"/>
        <v>2644.97</v>
      </c>
      <c r="C660">
        <v>0.33149899999999999</v>
      </c>
      <c r="D660">
        <f t="shared" si="17"/>
        <v>0.28177415</v>
      </c>
    </row>
    <row r="661" spans="1:4" x14ac:dyDescent="0.35">
      <c r="A661">
        <v>2.6463199999999998</v>
      </c>
      <c r="B661">
        <f t="shared" si="16"/>
        <v>2646.3199999999997</v>
      </c>
      <c r="C661">
        <v>0.327681</v>
      </c>
      <c r="D661">
        <f t="shared" si="17"/>
        <v>0.27852884999999999</v>
      </c>
    </row>
    <row r="662" spans="1:4" x14ac:dyDescent="0.35">
      <c r="A662">
        <v>2.6476700000000002</v>
      </c>
      <c r="B662">
        <f t="shared" si="16"/>
        <v>2647.67</v>
      </c>
      <c r="C662">
        <v>0.32384099999999999</v>
      </c>
      <c r="D662">
        <f t="shared" si="17"/>
        <v>0.27526485000000001</v>
      </c>
    </row>
    <row r="663" spans="1:4" x14ac:dyDescent="0.35">
      <c r="A663">
        <v>2.6490200000000002</v>
      </c>
      <c r="B663">
        <f t="shared" si="16"/>
        <v>2649.02</v>
      </c>
      <c r="C663">
        <v>0.32087900000000003</v>
      </c>
      <c r="D663">
        <f t="shared" si="17"/>
        <v>0.27274714999999999</v>
      </c>
    </row>
    <row r="664" spans="1:4" x14ac:dyDescent="0.35">
      <c r="A664">
        <v>2.6503800000000002</v>
      </c>
      <c r="B664">
        <f t="shared" si="16"/>
        <v>2650.38</v>
      </c>
      <c r="C664">
        <v>0.31771899999999997</v>
      </c>
      <c r="D664">
        <f t="shared" si="17"/>
        <v>0.27006114999999997</v>
      </c>
    </row>
    <row r="665" spans="1:4" x14ac:dyDescent="0.35">
      <c r="A665">
        <v>2.6517300000000001</v>
      </c>
      <c r="B665">
        <f t="shared" si="16"/>
        <v>2651.73</v>
      </c>
      <c r="C665">
        <v>0.314305</v>
      </c>
      <c r="D665">
        <f t="shared" si="17"/>
        <v>0.26715925000000001</v>
      </c>
    </row>
    <row r="666" spans="1:4" x14ac:dyDescent="0.35">
      <c r="A666">
        <v>2.6530900000000002</v>
      </c>
      <c r="B666">
        <f t="shared" si="16"/>
        <v>2653.09</v>
      </c>
      <c r="C666">
        <v>0.31128099999999997</v>
      </c>
      <c r="D666">
        <f t="shared" si="17"/>
        <v>0.26458884999999999</v>
      </c>
    </row>
    <row r="667" spans="1:4" x14ac:dyDescent="0.35">
      <c r="A667">
        <v>2.6544500000000002</v>
      </c>
      <c r="B667">
        <f t="shared" si="16"/>
        <v>2654.4500000000003</v>
      </c>
      <c r="C667">
        <v>0.30765199999999998</v>
      </c>
      <c r="D667">
        <f t="shared" si="17"/>
        <v>0.26150419999999996</v>
      </c>
    </row>
    <row r="668" spans="1:4" x14ac:dyDescent="0.35">
      <c r="A668">
        <v>2.6558099999999998</v>
      </c>
      <c r="B668">
        <f t="shared" si="16"/>
        <v>2655.81</v>
      </c>
      <c r="C668">
        <v>0.30369000000000002</v>
      </c>
      <c r="D668">
        <f t="shared" si="17"/>
        <v>0.25813649999999999</v>
      </c>
    </row>
    <row r="669" spans="1:4" x14ac:dyDescent="0.35">
      <c r="A669">
        <v>2.6571699999999998</v>
      </c>
      <c r="B669">
        <f t="shared" si="16"/>
        <v>2657.1699999999996</v>
      </c>
      <c r="C669">
        <v>0.30016900000000002</v>
      </c>
      <c r="D669">
        <f t="shared" si="17"/>
        <v>0.25514365</v>
      </c>
    </row>
    <row r="670" spans="1:4" x14ac:dyDescent="0.35">
      <c r="A670">
        <v>2.6585299999999998</v>
      </c>
      <c r="B670">
        <f t="shared" si="16"/>
        <v>2658.5299999999997</v>
      </c>
      <c r="C670">
        <v>0.29604200000000003</v>
      </c>
      <c r="D670">
        <f t="shared" si="17"/>
        <v>0.25163570000000002</v>
      </c>
    </row>
    <row r="671" spans="1:4" x14ac:dyDescent="0.35">
      <c r="A671">
        <v>2.6598899999999999</v>
      </c>
      <c r="B671">
        <f t="shared" si="16"/>
        <v>2659.89</v>
      </c>
      <c r="C671">
        <v>0.29117799999999999</v>
      </c>
      <c r="D671">
        <f t="shared" si="17"/>
        <v>0.24750129999999998</v>
      </c>
    </row>
    <row r="672" spans="1:4" x14ac:dyDescent="0.35">
      <c r="A672">
        <v>2.66126</v>
      </c>
      <c r="B672">
        <f t="shared" si="16"/>
        <v>2661.2599999999998</v>
      </c>
      <c r="C672">
        <v>0.28620499999999999</v>
      </c>
      <c r="D672">
        <f t="shared" si="17"/>
        <v>0.24327424999999997</v>
      </c>
    </row>
    <row r="673" spans="1:4" x14ac:dyDescent="0.35">
      <c r="A673">
        <v>2.6626300000000001</v>
      </c>
      <c r="B673">
        <f t="shared" si="16"/>
        <v>2662.63</v>
      </c>
      <c r="C673">
        <v>0.28129599999999999</v>
      </c>
      <c r="D673">
        <f t="shared" si="17"/>
        <v>0.2391016</v>
      </c>
    </row>
    <row r="674" spans="1:4" x14ac:dyDescent="0.35">
      <c r="A674">
        <v>2.6640000000000001</v>
      </c>
      <c r="B674">
        <f t="shared" si="16"/>
        <v>2664</v>
      </c>
      <c r="C674">
        <v>0.276198</v>
      </c>
      <c r="D674">
        <f t="shared" si="17"/>
        <v>0.23476829999999999</v>
      </c>
    </row>
    <row r="675" spans="1:4" x14ac:dyDescent="0.35">
      <c r="A675">
        <v>2.6653600000000002</v>
      </c>
      <c r="B675">
        <f t="shared" si="16"/>
        <v>2665.36</v>
      </c>
      <c r="C675">
        <v>0.27032499999999998</v>
      </c>
      <c r="D675">
        <f t="shared" si="17"/>
        <v>0.22977624999999999</v>
      </c>
    </row>
    <row r="676" spans="1:4" x14ac:dyDescent="0.35">
      <c r="A676">
        <v>2.6667399999999999</v>
      </c>
      <c r="B676">
        <f t="shared" si="16"/>
        <v>2666.74</v>
      </c>
      <c r="C676">
        <v>0.26456800000000003</v>
      </c>
      <c r="D676">
        <f t="shared" si="17"/>
        <v>0.22488280000000002</v>
      </c>
    </row>
    <row r="677" spans="1:4" x14ac:dyDescent="0.35">
      <c r="A677">
        <v>2.66811</v>
      </c>
      <c r="B677">
        <f t="shared" si="16"/>
        <v>2668.11</v>
      </c>
      <c r="C677">
        <v>0.25890999999999997</v>
      </c>
      <c r="D677">
        <f t="shared" si="17"/>
        <v>0.22007349999999998</v>
      </c>
    </row>
    <row r="678" spans="1:4" x14ac:dyDescent="0.35">
      <c r="A678">
        <v>2.6694800000000001</v>
      </c>
      <c r="B678">
        <f t="shared" si="16"/>
        <v>2669.48</v>
      </c>
      <c r="C678">
        <v>0.25180599999999997</v>
      </c>
      <c r="D678">
        <f t="shared" si="17"/>
        <v>0.21403509999999998</v>
      </c>
    </row>
    <row r="679" spans="1:4" x14ac:dyDescent="0.35">
      <c r="A679">
        <v>2.6708599999999998</v>
      </c>
      <c r="B679">
        <f t="shared" si="16"/>
        <v>2670.8599999999997</v>
      </c>
      <c r="C679">
        <v>0.24432599999999999</v>
      </c>
      <c r="D679">
        <f t="shared" si="17"/>
        <v>0.20767709999999998</v>
      </c>
    </row>
    <row r="680" spans="1:4" x14ac:dyDescent="0.35">
      <c r="A680">
        <v>2.6722299999999999</v>
      </c>
      <c r="B680">
        <f t="shared" si="16"/>
        <v>2672.23</v>
      </c>
      <c r="C680">
        <v>0.23677599999999999</v>
      </c>
      <c r="D680">
        <f t="shared" si="17"/>
        <v>0.20125959999999998</v>
      </c>
    </row>
    <row r="681" spans="1:4" x14ac:dyDescent="0.35">
      <c r="A681">
        <v>2.67361</v>
      </c>
      <c r="B681">
        <f t="shared" si="16"/>
        <v>2673.61</v>
      </c>
      <c r="C681">
        <v>0.22959299999999999</v>
      </c>
      <c r="D681">
        <f t="shared" si="17"/>
        <v>0.19515405</v>
      </c>
    </row>
    <row r="682" spans="1:4" x14ac:dyDescent="0.35">
      <c r="A682">
        <v>2.6749900000000002</v>
      </c>
      <c r="B682">
        <f t="shared" si="16"/>
        <v>2674.9900000000002</v>
      </c>
      <c r="C682">
        <v>0.221303</v>
      </c>
      <c r="D682">
        <f t="shared" si="17"/>
        <v>0.18810754999999998</v>
      </c>
    </row>
    <row r="683" spans="1:4" x14ac:dyDescent="0.35">
      <c r="A683">
        <v>2.6763699999999999</v>
      </c>
      <c r="B683">
        <f t="shared" si="16"/>
        <v>2676.37</v>
      </c>
      <c r="C683">
        <v>0.21326800000000001</v>
      </c>
      <c r="D683">
        <f t="shared" si="17"/>
        <v>0.18127780000000002</v>
      </c>
    </row>
    <row r="684" spans="1:4" x14ac:dyDescent="0.35">
      <c r="A684">
        <v>2.6777600000000001</v>
      </c>
      <c r="B684">
        <f t="shared" si="16"/>
        <v>2677.76</v>
      </c>
      <c r="C684">
        <v>0.20513700000000001</v>
      </c>
      <c r="D684">
        <f t="shared" si="17"/>
        <v>0.17436645000000001</v>
      </c>
    </row>
    <row r="685" spans="1:4" x14ac:dyDescent="0.35">
      <c r="A685">
        <v>2.6791399999999999</v>
      </c>
      <c r="B685">
        <f t="shared" si="16"/>
        <v>2679.14</v>
      </c>
      <c r="C685">
        <v>0.19694600000000001</v>
      </c>
      <c r="D685">
        <f t="shared" si="17"/>
        <v>0.1674041</v>
      </c>
    </row>
    <row r="686" spans="1:4" x14ac:dyDescent="0.35">
      <c r="A686">
        <v>2.68052</v>
      </c>
      <c r="B686">
        <f t="shared" si="16"/>
        <v>2680.52</v>
      </c>
      <c r="C686">
        <v>0.188391</v>
      </c>
      <c r="D686">
        <f t="shared" si="17"/>
        <v>0.16013235000000001</v>
      </c>
    </row>
    <row r="687" spans="1:4" x14ac:dyDescent="0.35">
      <c r="A687">
        <v>2.6819099999999998</v>
      </c>
      <c r="B687">
        <f t="shared" si="16"/>
        <v>2681.91</v>
      </c>
      <c r="C687">
        <v>0.18063699999999999</v>
      </c>
      <c r="D687">
        <f t="shared" si="17"/>
        <v>0.15354145</v>
      </c>
    </row>
    <row r="688" spans="1:4" x14ac:dyDescent="0.35">
      <c r="A688">
        <v>2.6833</v>
      </c>
      <c r="B688">
        <f t="shared" si="16"/>
        <v>2683.3</v>
      </c>
      <c r="C688">
        <v>0.17256199999999999</v>
      </c>
      <c r="D688">
        <f t="shared" si="17"/>
        <v>0.14667769999999999</v>
      </c>
    </row>
    <row r="689" spans="1:4" x14ac:dyDescent="0.35">
      <c r="A689">
        <v>2.6846899999999998</v>
      </c>
      <c r="B689">
        <f t="shared" si="16"/>
        <v>2684.6899999999996</v>
      </c>
      <c r="C689">
        <v>0.16347400000000001</v>
      </c>
      <c r="D689">
        <f t="shared" si="17"/>
        <v>0.13895289999999999</v>
      </c>
    </row>
    <row r="690" spans="1:4" x14ac:dyDescent="0.35">
      <c r="A690">
        <v>2.68608</v>
      </c>
      <c r="B690">
        <f t="shared" si="16"/>
        <v>2686.08</v>
      </c>
      <c r="C690">
        <v>0.15364</v>
      </c>
      <c r="D690">
        <f t="shared" si="17"/>
        <v>0.13059399999999999</v>
      </c>
    </row>
    <row r="691" spans="1:4" x14ac:dyDescent="0.35">
      <c r="A691">
        <v>2.6874699999999998</v>
      </c>
      <c r="B691">
        <f t="shared" si="16"/>
        <v>2687.47</v>
      </c>
      <c r="C691">
        <v>0.143454</v>
      </c>
      <c r="D691">
        <f t="shared" si="17"/>
        <v>0.1219359</v>
      </c>
    </row>
    <row r="692" spans="1:4" x14ac:dyDescent="0.35">
      <c r="A692">
        <v>2.6888700000000001</v>
      </c>
      <c r="B692">
        <f t="shared" si="16"/>
        <v>2688.87</v>
      </c>
      <c r="C692">
        <v>0.13277700000000001</v>
      </c>
      <c r="D692">
        <f t="shared" si="17"/>
        <v>0.11286045</v>
      </c>
    </row>
    <row r="693" spans="1:4" x14ac:dyDescent="0.35">
      <c r="A693">
        <v>2.6902599999999999</v>
      </c>
      <c r="B693">
        <f t="shared" si="16"/>
        <v>2690.2599999999998</v>
      </c>
      <c r="C693">
        <v>0.121394</v>
      </c>
      <c r="D693">
        <f t="shared" si="17"/>
        <v>0.1031849</v>
      </c>
    </row>
    <row r="694" spans="1:4" x14ac:dyDescent="0.35">
      <c r="A694">
        <v>2.6916600000000002</v>
      </c>
      <c r="B694">
        <f t="shared" si="16"/>
        <v>2691.6600000000003</v>
      </c>
      <c r="C694">
        <v>0.10977099999999999</v>
      </c>
      <c r="D694">
        <f t="shared" si="17"/>
        <v>9.3305349999999995E-2</v>
      </c>
    </row>
    <row r="695" spans="1:4" x14ac:dyDescent="0.35">
      <c r="A695">
        <v>2.69306</v>
      </c>
      <c r="B695">
        <f t="shared" si="16"/>
        <v>2693.06</v>
      </c>
      <c r="C695">
        <v>9.8972000000000004E-2</v>
      </c>
      <c r="D695">
        <f t="shared" si="17"/>
        <v>8.4126199999999998E-2</v>
      </c>
    </row>
    <row r="696" spans="1:4" x14ac:dyDescent="0.35">
      <c r="A696">
        <v>2.6944599999999999</v>
      </c>
      <c r="B696">
        <f t="shared" si="16"/>
        <v>2694.46</v>
      </c>
      <c r="C696">
        <v>8.7915999999999994E-2</v>
      </c>
      <c r="D696">
        <f t="shared" si="17"/>
        <v>7.4728599999999992E-2</v>
      </c>
    </row>
    <row r="697" spans="1:4" x14ac:dyDescent="0.35">
      <c r="A697">
        <v>2.6958600000000001</v>
      </c>
      <c r="B697">
        <f t="shared" si="16"/>
        <v>2695.86</v>
      </c>
      <c r="C697">
        <v>7.6562000000000005E-2</v>
      </c>
      <c r="D697">
        <f t="shared" si="17"/>
        <v>6.5077700000000002E-2</v>
      </c>
    </row>
    <row r="698" spans="1:4" x14ac:dyDescent="0.35">
      <c r="A698">
        <v>2.69726</v>
      </c>
      <c r="B698">
        <f t="shared" si="16"/>
        <v>2697.26</v>
      </c>
      <c r="C698">
        <v>6.6195000000000004E-2</v>
      </c>
      <c r="D698">
        <f t="shared" si="17"/>
        <v>5.6265750000000003E-2</v>
      </c>
    </row>
    <row r="699" spans="1:4" x14ac:dyDescent="0.35">
      <c r="A699">
        <v>2.6986599999999998</v>
      </c>
      <c r="B699">
        <f t="shared" si="16"/>
        <v>2698.66</v>
      </c>
      <c r="C699">
        <v>5.7430000000000002E-2</v>
      </c>
      <c r="D699">
        <f t="shared" si="17"/>
        <v>4.8815499999999998E-2</v>
      </c>
    </row>
    <row r="700" spans="1:4" x14ac:dyDescent="0.35">
      <c r="A700">
        <v>2.7000700000000002</v>
      </c>
      <c r="B700">
        <f t="shared" si="16"/>
        <v>2700.07</v>
      </c>
      <c r="C700">
        <v>5.0082000000000002E-2</v>
      </c>
      <c r="D700">
        <f t="shared" si="17"/>
        <v>4.2569700000000002E-2</v>
      </c>
    </row>
    <row r="701" spans="1:4" x14ac:dyDescent="0.35">
      <c r="A701">
        <v>2.7014800000000001</v>
      </c>
      <c r="B701">
        <f t="shared" si="16"/>
        <v>2701.48</v>
      </c>
      <c r="C701">
        <v>4.3701999999999998E-2</v>
      </c>
      <c r="D701">
        <f t="shared" si="17"/>
        <v>3.7146699999999998E-2</v>
      </c>
    </row>
    <row r="702" spans="1:4" x14ac:dyDescent="0.35">
      <c r="A702">
        <v>2.70289</v>
      </c>
      <c r="B702">
        <f t="shared" si="16"/>
        <v>2702.89</v>
      </c>
      <c r="C702">
        <v>3.7671000000000003E-2</v>
      </c>
      <c r="D702">
        <f t="shared" si="17"/>
        <v>3.2020350000000003E-2</v>
      </c>
    </row>
    <row r="703" spans="1:4" x14ac:dyDescent="0.35">
      <c r="A703">
        <v>2.7042999999999999</v>
      </c>
      <c r="B703">
        <f t="shared" si="16"/>
        <v>2704.2999999999997</v>
      </c>
      <c r="C703">
        <v>3.243E-2</v>
      </c>
      <c r="D703">
        <f t="shared" si="17"/>
        <v>2.75655E-2</v>
      </c>
    </row>
    <row r="704" spans="1:4" x14ac:dyDescent="0.35">
      <c r="A704">
        <v>2.7057099999999998</v>
      </c>
      <c r="B704">
        <f t="shared" si="16"/>
        <v>2705.71</v>
      </c>
      <c r="C704">
        <v>2.8587000000000001E-2</v>
      </c>
      <c r="D704">
        <f t="shared" si="17"/>
        <v>2.429895E-2</v>
      </c>
    </row>
    <row r="705" spans="1:4" x14ac:dyDescent="0.35">
      <c r="A705">
        <v>2.7071200000000002</v>
      </c>
      <c r="B705">
        <f t="shared" si="16"/>
        <v>2707.1200000000003</v>
      </c>
      <c r="C705">
        <v>2.5600000000000001E-2</v>
      </c>
      <c r="D705">
        <f t="shared" si="17"/>
        <v>2.1760000000000002E-2</v>
      </c>
    </row>
    <row r="706" spans="1:4" x14ac:dyDescent="0.35">
      <c r="A706">
        <v>2.7085300000000001</v>
      </c>
      <c r="B706">
        <f t="shared" si="16"/>
        <v>2708.53</v>
      </c>
      <c r="C706">
        <v>2.3979E-2</v>
      </c>
      <c r="D706">
        <f t="shared" si="17"/>
        <v>2.0382149999999998E-2</v>
      </c>
    </row>
    <row r="707" spans="1:4" x14ac:dyDescent="0.35">
      <c r="A707">
        <v>2.7099500000000001</v>
      </c>
      <c r="B707">
        <f t="shared" si="16"/>
        <v>2709.9500000000003</v>
      </c>
      <c r="C707">
        <v>2.3753E-2</v>
      </c>
      <c r="D707">
        <f t="shared" si="17"/>
        <v>2.0190049999999998E-2</v>
      </c>
    </row>
    <row r="708" spans="1:4" x14ac:dyDescent="0.35">
      <c r="A708">
        <v>2.7113700000000001</v>
      </c>
      <c r="B708">
        <f t="shared" si="16"/>
        <v>2711.37</v>
      </c>
      <c r="C708">
        <v>2.4525999999999999E-2</v>
      </c>
      <c r="D708">
        <f t="shared" si="17"/>
        <v>2.08471E-2</v>
      </c>
    </row>
    <row r="709" spans="1:4" x14ac:dyDescent="0.35">
      <c r="A709">
        <v>2.71279</v>
      </c>
      <c r="B709">
        <f t="shared" si="16"/>
        <v>2712.79</v>
      </c>
      <c r="C709">
        <v>2.6238000000000001E-2</v>
      </c>
      <c r="D709">
        <f t="shared" si="17"/>
        <v>2.2302300000000001E-2</v>
      </c>
    </row>
    <row r="710" spans="1:4" x14ac:dyDescent="0.35">
      <c r="A710">
        <v>2.71421</v>
      </c>
      <c r="B710">
        <f t="shared" si="16"/>
        <v>2714.21</v>
      </c>
      <c r="C710">
        <v>2.845E-2</v>
      </c>
      <c r="D710">
        <f t="shared" si="17"/>
        <v>2.4182499999999999E-2</v>
      </c>
    </row>
    <row r="711" spans="1:4" x14ac:dyDescent="0.35">
      <c r="A711">
        <v>2.71563</v>
      </c>
      <c r="B711">
        <f t="shared" si="16"/>
        <v>2715.63</v>
      </c>
      <c r="C711">
        <v>3.1295000000000003E-2</v>
      </c>
      <c r="D711">
        <f t="shared" si="17"/>
        <v>2.6600750000000003E-2</v>
      </c>
    </row>
    <row r="712" spans="1:4" x14ac:dyDescent="0.35">
      <c r="A712">
        <v>2.71705</v>
      </c>
      <c r="B712">
        <f t="shared" si="16"/>
        <v>2717.05</v>
      </c>
      <c r="C712">
        <v>3.4754E-2</v>
      </c>
      <c r="D712">
        <f t="shared" si="17"/>
        <v>2.9540899999999998E-2</v>
      </c>
    </row>
    <row r="713" spans="1:4" x14ac:dyDescent="0.35">
      <c r="A713">
        <v>2.71848</v>
      </c>
      <c r="B713">
        <f t="shared" si="16"/>
        <v>2718.48</v>
      </c>
      <c r="C713">
        <v>3.7192000000000003E-2</v>
      </c>
      <c r="D713">
        <f t="shared" si="17"/>
        <v>3.1613200000000001E-2</v>
      </c>
    </row>
    <row r="714" spans="1:4" x14ac:dyDescent="0.35">
      <c r="A714">
        <v>2.7199</v>
      </c>
      <c r="B714">
        <f t="shared" si="16"/>
        <v>2719.9</v>
      </c>
      <c r="C714">
        <v>3.8497999999999998E-2</v>
      </c>
      <c r="D714">
        <f t="shared" si="17"/>
        <v>3.2723299999999997E-2</v>
      </c>
    </row>
    <row r="715" spans="1:4" x14ac:dyDescent="0.35">
      <c r="A715">
        <v>2.72133</v>
      </c>
      <c r="B715">
        <f t="shared" ref="B715:B778" si="18">A715*1000</f>
        <v>2721.33</v>
      </c>
      <c r="C715">
        <v>3.8559999999999997E-2</v>
      </c>
      <c r="D715">
        <f t="shared" ref="D715:D778" si="19">C715*$D$137</f>
        <v>3.2776E-2</v>
      </c>
    </row>
    <row r="716" spans="1:4" x14ac:dyDescent="0.35">
      <c r="A716">
        <v>2.7227600000000001</v>
      </c>
      <c r="B716">
        <f t="shared" si="18"/>
        <v>2722.76</v>
      </c>
      <c r="C716">
        <v>3.7608999999999997E-2</v>
      </c>
      <c r="D716">
        <f t="shared" si="19"/>
        <v>3.1967649999999993E-2</v>
      </c>
    </row>
    <row r="717" spans="1:4" x14ac:dyDescent="0.35">
      <c r="A717">
        <v>2.7241900000000001</v>
      </c>
      <c r="B717">
        <f t="shared" si="18"/>
        <v>2724.19</v>
      </c>
      <c r="C717">
        <v>3.5895999999999997E-2</v>
      </c>
      <c r="D717">
        <f t="shared" si="19"/>
        <v>3.0511599999999996E-2</v>
      </c>
    </row>
    <row r="718" spans="1:4" x14ac:dyDescent="0.35">
      <c r="A718">
        <v>2.7256200000000002</v>
      </c>
      <c r="B718">
        <f t="shared" si="18"/>
        <v>2725.6200000000003</v>
      </c>
      <c r="C718">
        <v>3.3808999999999999E-2</v>
      </c>
      <c r="D718">
        <f t="shared" si="19"/>
        <v>2.8737649999999997E-2</v>
      </c>
    </row>
    <row r="719" spans="1:4" x14ac:dyDescent="0.35">
      <c r="A719">
        <v>2.7270599999999998</v>
      </c>
      <c r="B719">
        <f t="shared" si="18"/>
        <v>2727.06</v>
      </c>
      <c r="C719">
        <v>3.2319000000000001E-2</v>
      </c>
      <c r="D719">
        <f t="shared" si="19"/>
        <v>2.747115E-2</v>
      </c>
    </row>
    <row r="720" spans="1:4" x14ac:dyDescent="0.35">
      <c r="A720">
        <v>2.7284899999999999</v>
      </c>
      <c r="B720">
        <f t="shared" si="18"/>
        <v>2728.49</v>
      </c>
      <c r="C720">
        <v>3.1454999999999997E-2</v>
      </c>
      <c r="D720">
        <f t="shared" si="19"/>
        <v>2.6736749999999997E-2</v>
      </c>
    </row>
    <row r="721" spans="1:4" x14ac:dyDescent="0.35">
      <c r="A721">
        <v>2.72993</v>
      </c>
      <c r="B721">
        <f t="shared" si="18"/>
        <v>2729.93</v>
      </c>
      <c r="C721">
        <v>3.1861E-2</v>
      </c>
      <c r="D721">
        <f t="shared" si="19"/>
        <v>2.7081850000000001E-2</v>
      </c>
    </row>
    <row r="722" spans="1:4" x14ac:dyDescent="0.35">
      <c r="A722">
        <v>2.7313700000000001</v>
      </c>
      <c r="B722">
        <f t="shared" si="18"/>
        <v>2731.37</v>
      </c>
      <c r="C722">
        <v>3.2669999999999998E-2</v>
      </c>
      <c r="D722">
        <f t="shared" si="19"/>
        <v>2.7769499999999996E-2</v>
      </c>
    </row>
    <row r="723" spans="1:4" x14ac:dyDescent="0.35">
      <c r="A723">
        <v>2.7328100000000002</v>
      </c>
      <c r="B723">
        <f t="shared" si="18"/>
        <v>2732.8100000000004</v>
      </c>
      <c r="C723">
        <v>3.2412999999999997E-2</v>
      </c>
      <c r="D723">
        <f t="shared" si="19"/>
        <v>2.7551049999999997E-2</v>
      </c>
    </row>
    <row r="724" spans="1:4" x14ac:dyDescent="0.35">
      <c r="A724">
        <v>2.7342499999999998</v>
      </c>
      <c r="B724">
        <f t="shared" si="18"/>
        <v>2734.25</v>
      </c>
      <c r="C724">
        <v>3.1956999999999999E-2</v>
      </c>
      <c r="D724">
        <f t="shared" si="19"/>
        <v>2.7163449999999999E-2</v>
      </c>
    </row>
    <row r="725" spans="1:4" x14ac:dyDescent="0.35">
      <c r="A725">
        <v>2.73569</v>
      </c>
      <c r="B725">
        <f t="shared" si="18"/>
        <v>2735.69</v>
      </c>
      <c r="C725">
        <v>3.1188E-2</v>
      </c>
      <c r="D725">
        <f t="shared" si="19"/>
        <v>2.65098E-2</v>
      </c>
    </row>
    <row r="726" spans="1:4" x14ac:dyDescent="0.35">
      <c r="A726">
        <v>2.7371400000000001</v>
      </c>
      <c r="B726">
        <f t="shared" si="18"/>
        <v>2737.1400000000003</v>
      </c>
      <c r="C726">
        <v>3.0942999999999998E-2</v>
      </c>
      <c r="D726">
        <f t="shared" si="19"/>
        <v>2.6301549999999996E-2</v>
      </c>
    </row>
    <row r="727" spans="1:4" x14ac:dyDescent="0.35">
      <c r="A727">
        <v>2.7385799999999998</v>
      </c>
      <c r="B727">
        <f t="shared" si="18"/>
        <v>2738.58</v>
      </c>
      <c r="C727">
        <v>3.1040999999999999E-2</v>
      </c>
      <c r="D727">
        <f t="shared" si="19"/>
        <v>2.6384849999999998E-2</v>
      </c>
    </row>
    <row r="728" spans="1:4" x14ac:dyDescent="0.35">
      <c r="A728">
        <v>2.74003</v>
      </c>
      <c r="B728">
        <f t="shared" si="18"/>
        <v>2740.0299999999997</v>
      </c>
      <c r="C728">
        <v>3.1942999999999999E-2</v>
      </c>
      <c r="D728">
        <f t="shared" si="19"/>
        <v>2.715155E-2</v>
      </c>
    </row>
    <row r="729" spans="1:4" x14ac:dyDescent="0.35">
      <c r="A729">
        <v>2.7414800000000001</v>
      </c>
      <c r="B729">
        <f t="shared" si="18"/>
        <v>2741.48</v>
      </c>
      <c r="C729">
        <v>3.3902000000000002E-2</v>
      </c>
      <c r="D729">
        <f t="shared" si="19"/>
        <v>2.8816700000000001E-2</v>
      </c>
    </row>
    <row r="730" spans="1:4" x14ac:dyDescent="0.35">
      <c r="A730">
        <v>2.7429299999999999</v>
      </c>
      <c r="B730">
        <f t="shared" si="18"/>
        <v>2742.93</v>
      </c>
      <c r="C730">
        <v>3.6215999999999998E-2</v>
      </c>
      <c r="D730">
        <f t="shared" si="19"/>
        <v>3.0783599999999998E-2</v>
      </c>
    </row>
    <row r="731" spans="1:4" x14ac:dyDescent="0.35">
      <c r="A731">
        <v>2.74438</v>
      </c>
      <c r="B731">
        <f t="shared" si="18"/>
        <v>2744.38</v>
      </c>
      <c r="C731">
        <v>3.8622999999999998E-2</v>
      </c>
      <c r="D731">
        <f t="shared" si="19"/>
        <v>3.2829549999999999E-2</v>
      </c>
    </row>
    <row r="732" spans="1:4" x14ac:dyDescent="0.35">
      <c r="A732">
        <v>2.7458300000000002</v>
      </c>
      <c r="B732">
        <f t="shared" si="18"/>
        <v>2745.8300000000004</v>
      </c>
      <c r="C732">
        <v>4.1718999999999999E-2</v>
      </c>
      <c r="D732">
        <f t="shared" si="19"/>
        <v>3.5461149999999997E-2</v>
      </c>
    </row>
    <row r="733" spans="1:4" x14ac:dyDescent="0.35">
      <c r="A733">
        <v>2.74729</v>
      </c>
      <c r="B733">
        <f t="shared" si="18"/>
        <v>2747.29</v>
      </c>
      <c r="C733">
        <v>4.5102000000000003E-2</v>
      </c>
      <c r="D733">
        <f t="shared" si="19"/>
        <v>3.8336700000000001E-2</v>
      </c>
    </row>
    <row r="734" spans="1:4" x14ac:dyDescent="0.35">
      <c r="A734">
        <v>2.7487499999999998</v>
      </c>
      <c r="B734">
        <f t="shared" si="18"/>
        <v>2748.75</v>
      </c>
      <c r="C734">
        <v>4.7253999999999997E-2</v>
      </c>
      <c r="D734">
        <f t="shared" si="19"/>
        <v>4.0165899999999997E-2</v>
      </c>
    </row>
    <row r="735" spans="1:4" x14ac:dyDescent="0.35">
      <c r="A735">
        <v>2.7502</v>
      </c>
      <c r="B735">
        <f t="shared" si="18"/>
        <v>2750.2</v>
      </c>
      <c r="C735">
        <v>4.7954999999999998E-2</v>
      </c>
      <c r="D735">
        <f t="shared" si="19"/>
        <v>4.0761749999999999E-2</v>
      </c>
    </row>
    <row r="736" spans="1:4" x14ac:dyDescent="0.35">
      <c r="A736">
        <v>2.7516600000000002</v>
      </c>
      <c r="B736">
        <f t="shared" si="18"/>
        <v>2751.6600000000003</v>
      </c>
      <c r="C736">
        <v>4.7370000000000002E-2</v>
      </c>
      <c r="D736">
        <f t="shared" si="19"/>
        <v>4.0264500000000002E-2</v>
      </c>
    </row>
    <row r="737" spans="1:4" x14ac:dyDescent="0.35">
      <c r="A737">
        <v>2.7531300000000001</v>
      </c>
      <c r="B737">
        <f t="shared" si="18"/>
        <v>2753.13</v>
      </c>
      <c r="C737">
        <v>4.5763999999999999E-2</v>
      </c>
      <c r="D737">
        <f t="shared" si="19"/>
        <v>3.8899400000000001E-2</v>
      </c>
    </row>
    <row r="738" spans="1:4" x14ac:dyDescent="0.35">
      <c r="A738">
        <v>2.7545899999999999</v>
      </c>
      <c r="B738">
        <f t="shared" si="18"/>
        <v>2754.5899999999997</v>
      </c>
      <c r="C738">
        <v>4.3208000000000003E-2</v>
      </c>
      <c r="D738">
        <f t="shared" si="19"/>
        <v>3.6726800000000004E-2</v>
      </c>
    </row>
    <row r="739" spans="1:4" x14ac:dyDescent="0.35">
      <c r="A739">
        <v>2.7560500000000001</v>
      </c>
      <c r="B739">
        <f t="shared" si="18"/>
        <v>2756.05</v>
      </c>
      <c r="C739">
        <v>3.8618E-2</v>
      </c>
      <c r="D739">
        <f t="shared" si="19"/>
        <v>3.2825300000000002E-2</v>
      </c>
    </row>
    <row r="740" spans="1:4" x14ac:dyDescent="0.35">
      <c r="A740">
        <v>2.75752</v>
      </c>
      <c r="B740">
        <f t="shared" si="18"/>
        <v>2757.52</v>
      </c>
      <c r="C740">
        <v>3.2045999999999998E-2</v>
      </c>
      <c r="D740">
        <f t="shared" si="19"/>
        <v>2.7239099999999999E-2</v>
      </c>
    </row>
    <row r="741" spans="1:4" x14ac:dyDescent="0.35">
      <c r="A741">
        <v>2.7589899999999998</v>
      </c>
      <c r="B741">
        <f t="shared" si="18"/>
        <v>2758.99</v>
      </c>
      <c r="C741">
        <v>2.5579000000000001E-2</v>
      </c>
      <c r="D741">
        <f t="shared" si="19"/>
        <v>2.1742150000000002E-2</v>
      </c>
    </row>
    <row r="742" spans="1:4" x14ac:dyDescent="0.35">
      <c r="A742">
        <v>2.7604600000000001</v>
      </c>
      <c r="B742">
        <f t="shared" si="18"/>
        <v>2760.46</v>
      </c>
      <c r="C742">
        <v>2.1632999999999999E-2</v>
      </c>
      <c r="D742">
        <f t="shared" si="19"/>
        <v>1.838805E-2</v>
      </c>
    </row>
    <row r="743" spans="1:4" x14ac:dyDescent="0.35">
      <c r="A743">
        <v>2.76193</v>
      </c>
      <c r="B743">
        <f t="shared" si="18"/>
        <v>2761.93</v>
      </c>
      <c r="C743">
        <v>2.1618999999999999E-2</v>
      </c>
      <c r="D743">
        <f t="shared" si="19"/>
        <v>1.8376149999999997E-2</v>
      </c>
    </row>
    <row r="744" spans="1:4" x14ac:dyDescent="0.35">
      <c r="A744">
        <v>2.7633999999999999</v>
      </c>
      <c r="B744">
        <f t="shared" si="18"/>
        <v>2763.3999999999996</v>
      </c>
      <c r="C744">
        <v>2.6093999999999999E-2</v>
      </c>
      <c r="D744">
        <f t="shared" si="19"/>
        <v>2.2179899999999999E-2</v>
      </c>
    </row>
    <row r="745" spans="1:4" x14ac:dyDescent="0.35">
      <c r="A745">
        <v>2.7648700000000002</v>
      </c>
      <c r="B745">
        <f t="shared" si="18"/>
        <v>2764.8700000000003</v>
      </c>
      <c r="C745">
        <v>3.5375999999999998E-2</v>
      </c>
      <c r="D745">
        <f t="shared" si="19"/>
        <v>3.0069599999999998E-2</v>
      </c>
    </row>
    <row r="746" spans="1:4" x14ac:dyDescent="0.35">
      <c r="A746">
        <v>2.7663500000000001</v>
      </c>
      <c r="B746">
        <f t="shared" si="18"/>
        <v>2766.35</v>
      </c>
      <c r="C746">
        <v>4.7412000000000003E-2</v>
      </c>
      <c r="D746">
        <f t="shared" si="19"/>
        <v>4.0300200000000001E-2</v>
      </c>
    </row>
    <row r="747" spans="1:4" x14ac:dyDescent="0.35">
      <c r="A747">
        <v>2.7678199999999999</v>
      </c>
      <c r="B747">
        <f t="shared" si="18"/>
        <v>2767.82</v>
      </c>
      <c r="C747">
        <v>5.9144000000000002E-2</v>
      </c>
      <c r="D747">
        <f t="shared" si="19"/>
        <v>5.0272400000000002E-2</v>
      </c>
    </row>
    <row r="748" spans="1:4" x14ac:dyDescent="0.35">
      <c r="A748">
        <v>2.7692999999999999</v>
      </c>
      <c r="B748">
        <f t="shared" si="18"/>
        <v>2769.2999999999997</v>
      </c>
      <c r="C748">
        <v>7.0327000000000001E-2</v>
      </c>
      <c r="D748">
        <f t="shared" si="19"/>
        <v>5.9777949999999996E-2</v>
      </c>
    </row>
    <row r="749" spans="1:4" x14ac:dyDescent="0.35">
      <c r="A749">
        <v>2.7707799999999998</v>
      </c>
      <c r="B749">
        <f t="shared" si="18"/>
        <v>2770.7799999999997</v>
      </c>
      <c r="C749">
        <v>8.0020999999999995E-2</v>
      </c>
      <c r="D749">
        <f t="shared" si="19"/>
        <v>6.8017849999999991E-2</v>
      </c>
    </row>
    <row r="750" spans="1:4" x14ac:dyDescent="0.35">
      <c r="A750">
        <v>2.7722600000000002</v>
      </c>
      <c r="B750">
        <f t="shared" si="18"/>
        <v>2772.26</v>
      </c>
      <c r="C750">
        <v>8.8691999999999993E-2</v>
      </c>
      <c r="D750">
        <f t="shared" si="19"/>
        <v>7.5388199999999989E-2</v>
      </c>
    </row>
    <row r="751" spans="1:4" x14ac:dyDescent="0.35">
      <c r="A751">
        <v>2.7737500000000002</v>
      </c>
      <c r="B751">
        <f t="shared" si="18"/>
        <v>2773.75</v>
      </c>
      <c r="C751">
        <v>9.5910999999999996E-2</v>
      </c>
      <c r="D751">
        <f t="shared" si="19"/>
        <v>8.1524349999999995E-2</v>
      </c>
    </row>
    <row r="752" spans="1:4" x14ac:dyDescent="0.35">
      <c r="A752">
        <v>2.7752300000000001</v>
      </c>
      <c r="B752">
        <f t="shared" si="18"/>
        <v>2775.23</v>
      </c>
      <c r="C752">
        <v>0.100582</v>
      </c>
      <c r="D752">
        <f t="shared" si="19"/>
        <v>8.5494700000000007E-2</v>
      </c>
    </row>
    <row r="753" spans="1:4" x14ac:dyDescent="0.35">
      <c r="A753">
        <v>2.7767200000000001</v>
      </c>
      <c r="B753">
        <f t="shared" si="18"/>
        <v>2776.7200000000003</v>
      </c>
      <c r="C753">
        <v>0.10316400000000001</v>
      </c>
      <c r="D753">
        <f t="shared" si="19"/>
        <v>8.7689400000000001E-2</v>
      </c>
    </row>
    <row r="754" spans="1:4" x14ac:dyDescent="0.35">
      <c r="A754">
        <v>2.7782100000000001</v>
      </c>
      <c r="B754">
        <f t="shared" si="18"/>
        <v>2778.21</v>
      </c>
      <c r="C754">
        <v>0.103978</v>
      </c>
      <c r="D754">
        <f t="shared" si="19"/>
        <v>8.8381299999999996E-2</v>
      </c>
    </row>
    <row r="755" spans="1:4" x14ac:dyDescent="0.35">
      <c r="A755">
        <v>2.7797000000000001</v>
      </c>
      <c r="B755">
        <f t="shared" si="18"/>
        <v>2779.7000000000003</v>
      </c>
      <c r="C755">
        <v>0.105018</v>
      </c>
      <c r="D755">
        <f t="shared" si="19"/>
        <v>8.9265299999999992E-2</v>
      </c>
    </row>
    <row r="756" spans="1:4" x14ac:dyDescent="0.35">
      <c r="A756">
        <v>2.7811900000000001</v>
      </c>
      <c r="B756">
        <f t="shared" si="18"/>
        <v>2781.19</v>
      </c>
      <c r="C756">
        <v>0.108763</v>
      </c>
      <c r="D756">
        <f t="shared" si="19"/>
        <v>9.244854999999999E-2</v>
      </c>
    </row>
    <row r="757" spans="1:4" x14ac:dyDescent="0.35">
      <c r="A757">
        <v>2.78268</v>
      </c>
      <c r="B757">
        <f t="shared" si="18"/>
        <v>2782.68</v>
      </c>
      <c r="C757">
        <v>0.114342</v>
      </c>
      <c r="D757">
        <f t="shared" si="19"/>
        <v>9.7190699999999991E-2</v>
      </c>
    </row>
    <row r="758" spans="1:4" x14ac:dyDescent="0.35">
      <c r="A758">
        <v>2.7841800000000001</v>
      </c>
      <c r="B758">
        <f t="shared" si="18"/>
        <v>2784.1800000000003</v>
      </c>
      <c r="C758">
        <v>0.120337</v>
      </c>
      <c r="D758">
        <f t="shared" si="19"/>
        <v>0.10228645</v>
      </c>
    </row>
    <row r="759" spans="1:4" x14ac:dyDescent="0.35">
      <c r="A759">
        <v>2.7856700000000001</v>
      </c>
      <c r="B759">
        <f t="shared" si="18"/>
        <v>2785.67</v>
      </c>
      <c r="C759">
        <v>0.12574399999999999</v>
      </c>
      <c r="D759">
        <f t="shared" si="19"/>
        <v>0.10688239999999999</v>
      </c>
    </row>
    <row r="760" spans="1:4" x14ac:dyDescent="0.35">
      <c r="A760">
        <v>2.7871700000000001</v>
      </c>
      <c r="B760">
        <f t="shared" si="18"/>
        <v>2787.17</v>
      </c>
      <c r="C760">
        <v>0.130302</v>
      </c>
      <c r="D760">
        <f t="shared" si="19"/>
        <v>0.1107567</v>
      </c>
    </row>
    <row r="761" spans="1:4" x14ac:dyDescent="0.35">
      <c r="A761">
        <v>2.7886700000000002</v>
      </c>
      <c r="B761">
        <f t="shared" si="18"/>
        <v>2788.67</v>
      </c>
      <c r="C761">
        <v>0.13466900000000001</v>
      </c>
      <c r="D761">
        <f t="shared" si="19"/>
        <v>0.11446865000000001</v>
      </c>
    </row>
    <row r="762" spans="1:4" x14ac:dyDescent="0.35">
      <c r="A762">
        <v>2.7901699999999998</v>
      </c>
      <c r="B762">
        <f t="shared" si="18"/>
        <v>2790.1699999999996</v>
      </c>
      <c r="C762">
        <v>0.138576</v>
      </c>
      <c r="D762">
        <f t="shared" si="19"/>
        <v>0.11778959999999999</v>
      </c>
    </row>
    <row r="763" spans="1:4" x14ac:dyDescent="0.35">
      <c r="A763">
        <v>2.7916699999999999</v>
      </c>
      <c r="B763">
        <f t="shared" si="18"/>
        <v>2791.67</v>
      </c>
      <c r="C763">
        <v>0.14146800000000001</v>
      </c>
      <c r="D763">
        <f t="shared" si="19"/>
        <v>0.1202478</v>
      </c>
    </row>
    <row r="764" spans="1:4" x14ac:dyDescent="0.35">
      <c r="A764">
        <v>2.79318</v>
      </c>
      <c r="B764">
        <f t="shared" si="18"/>
        <v>2793.18</v>
      </c>
      <c r="C764">
        <v>0.14438799999999999</v>
      </c>
      <c r="D764">
        <f t="shared" si="19"/>
        <v>0.12272979999999999</v>
      </c>
    </row>
    <row r="765" spans="1:4" x14ac:dyDescent="0.35">
      <c r="A765">
        <v>2.7946800000000001</v>
      </c>
      <c r="B765">
        <f t="shared" si="18"/>
        <v>2794.68</v>
      </c>
      <c r="C765">
        <v>0.147729</v>
      </c>
      <c r="D765">
        <f t="shared" si="19"/>
        <v>0.12556965</v>
      </c>
    </row>
    <row r="766" spans="1:4" x14ac:dyDescent="0.35">
      <c r="A766">
        <v>2.7961900000000002</v>
      </c>
      <c r="B766">
        <f t="shared" si="18"/>
        <v>2796.19</v>
      </c>
      <c r="C766">
        <v>0.15099299999999999</v>
      </c>
      <c r="D766">
        <f t="shared" si="19"/>
        <v>0.12834404999999999</v>
      </c>
    </row>
    <row r="767" spans="1:4" x14ac:dyDescent="0.35">
      <c r="A767">
        <v>2.7976999999999999</v>
      </c>
      <c r="B767">
        <f t="shared" si="18"/>
        <v>2797.7</v>
      </c>
      <c r="C767">
        <v>0.154081</v>
      </c>
      <c r="D767">
        <f t="shared" si="19"/>
        <v>0.13096885</v>
      </c>
    </row>
    <row r="768" spans="1:4" x14ac:dyDescent="0.35">
      <c r="A768">
        <v>2.79921</v>
      </c>
      <c r="B768">
        <f t="shared" si="18"/>
        <v>2799.21</v>
      </c>
      <c r="C768">
        <v>0.156947</v>
      </c>
      <c r="D768">
        <f t="shared" si="19"/>
        <v>0.13340494999999999</v>
      </c>
    </row>
    <row r="769" spans="1:4" x14ac:dyDescent="0.35">
      <c r="A769">
        <v>2.8007200000000001</v>
      </c>
      <c r="B769">
        <f t="shared" si="18"/>
        <v>2800.7200000000003</v>
      </c>
      <c r="C769">
        <v>0.159195</v>
      </c>
      <c r="D769">
        <f t="shared" si="19"/>
        <v>0.13531575000000001</v>
      </c>
    </row>
    <row r="770" spans="1:4" x14ac:dyDescent="0.35">
      <c r="A770">
        <v>2.8022399999999998</v>
      </c>
      <c r="B770">
        <f t="shared" si="18"/>
        <v>2802.24</v>
      </c>
      <c r="C770">
        <v>0.16167500000000001</v>
      </c>
      <c r="D770">
        <f t="shared" si="19"/>
        <v>0.13742375000000001</v>
      </c>
    </row>
    <row r="771" spans="1:4" x14ac:dyDescent="0.35">
      <c r="A771">
        <v>2.80375</v>
      </c>
      <c r="B771">
        <f t="shared" si="18"/>
        <v>2803.75</v>
      </c>
      <c r="C771">
        <v>0.16429299999999999</v>
      </c>
      <c r="D771">
        <f t="shared" si="19"/>
        <v>0.13964905</v>
      </c>
    </row>
    <row r="772" spans="1:4" x14ac:dyDescent="0.35">
      <c r="A772">
        <v>2.8052700000000002</v>
      </c>
      <c r="B772">
        <f t="shared" si="18"/>
        <v>2805.27</v>
      </c>
      <c r="C772">
        <v>0.16687299999999999</v>
      </c>
      <c r="D772">
        <f t="shared" si="19"/>
        <v>0.14184205</v>
      </c>
    </row>
    <row r="773" spans="1:4" x14ac:dyDescent="0.35">
      <c r="A773">
        <v>2.8067899999999999</v>
      </c>
      <c r="B773">
        <f t="shared" si="18"/>
        <v>2806.79</v>
      </c>
      <c r="C773">
        <v>0.16886799999999999</v>
      </c>
      <c r="D773">
        <f t="shared" si="19"/>
        <v>0.14353779999999999</v>
      </c>
    </row>
    <row r="774" spans="1:4" x14ac:dyDescent="0.35">
      <c r="A774">
        <v>2.8083100000000001</v>
      </c>
      <c r="B774">
        <f t="shared" si="18"/>
        <v>2808.31</v>
      </c>
      <c r="C774">
        <v>0.17078699999999999</v>
      </c>
      <c r="D774">
        <f t="shared" si="19"/>
        <v>0.14516894999999999</v>
      </c>
    </row>
    <row r="775" spans="1:4" x14ac:dyDescent="0.35">
      <c r="A775">
        <v>2.8098299999999998</v>
      </c>
      <c r="B775">
        <f t="shared" si="18"/>
        <v>2809.83</v>
      </c>
      <c r="C775">
        <v>0.17285300000000001</v>
      </c>
      <c r="D775">
        <f t="shared" si="19"/>
        <v>0.14692505</v>
      </c>
    </row>
    <row r="776" spans="1:4" x14ac:dyDescent="0.35">
      <c r="A776">
        <v>2.81135</v>
      </c>
      <c r="B776">
        <f t="shared" si="18"/>
        <v>2811.35</v>
      </c>
      <c r="C776">
        <v>0.174707</v>
      </c>
      <c r="D776">
        <f t="shared" si="19"/>
        <v>0.14850094999999999</v>
      </c>
    </row>
    <row r="777" spans="1:4" x14ac:dyDescent="0.35">
      <c r="A777">
        <v>2.8128799999999998</v>
      </c>
      <c r="B777">
        <f t="shared" si="18"/>
        <v>2812.8799999999997</v>
      </c>
      <c r="C777">
        <v>0.176121</v>
      </c>
      <c r="D777">
        <f t="shared" si="19"/>
        <v>0.14970285</v>
      </c>
    </row>
    <row r="778" spans="1:4" x14ac:dyDescent="0.35">
      <c r="A778">
        <v>2.8144100000000001</v>
      </c>
      <c r="B778">
        <f t="shared" si="18"/>
        <v>2814.41</v>
      </c>
      <c r="C778">
        <v>0.17749999999999999</v>
      </c>
      <c r="D778">
        <f t="shared" si="19"/>
        <v>0.15087499999999998</v>
      </c>
    </row>
    <row r="779" spans="1:4" x14ac:dyDescent="0.35">
      <c r="A779">
        <v>2.8159299999999998</v>
      </c>
      <c r="B779">
        <f t="shared" ref="B779:B842" si="20">A779*1000</f>
        <v>2815.93</v>
      </c>
      <c r="C779">
        <v>0.179004</v>
      </c>
      <c r="D779">
        <f t="shared" ref="D779:D842" si="21">C779*$D$137</f>
        <v>0.15215339999999999</v>
      </c>
    </row>
    <row r="780" spans="1:4" x14ac:dyDescent="0.35">
      <c r="A780">
        <v>2.8174600000000001</v>
      </c>
      <c r="B780">
        <f t="shared" si="20"/>
        <v>2817.46</v>
      </c>
      <c r="C780">
        <v>0.18058099999999999</v>
      </c>
      <c r="D780">
        <f t="shared" si="21"/>
        <v>0.15349384999999999</v>
      </c>
    </row>
    <row r="781" spans="1:4" x14ac:dyDescent="0.35">
      <c r="A781">
        <v>2.819</v>
      </c>
      <c r="B781">
        <f t="shared" si="20"/>
        <v>2819</v>
      </c>
      <c r="C781">
        <v>0.18190899999999999</v>
      </c>
      <c r="D781">
        <f t="shared" si="21"/>
        <v>0.15462264999999997</v>
      </c>
    </row>
    <row r="782" spans="1:4" x14ac:dyDescent="0.35">
      <c r="A782">
        <v>2.8205300000000002</v>
      </c>
      <c r="B782">
        <f t="shared" si="20"/>
        <v>2820.53</v>
      </c>
      <c r="C782">
        <v>0.18326000000000001</v>
      </c>
      <c r="D782">
        <f t="shared" si="21"/>
        <v>0.15577099999999999</v>
      </c>
    </row>
    <row r="783" spans="1:4" x14ac:dyDescent="0.35">
      <c r="A783">
        <v>2.8220700000000001</v>
      </c>
      <c r="B783">
        <f t="shared" si="20"/>
        <v>2822.07</v>
      </c>
      <c r="C783">
        <v>0.18451400000000001</v>
      </c>
      <c r="D783">
        <f t="shared" si="21"/>
        <v>0.1568369</v>
      </c>
    </row>
    <row r="784" spans="1:4" x14ac:dyDescent="0.35">
      <c r="A784">
        <v>2.8235999999999999</v>
      </c>
      <c r="B784">
        <f t="shared" si="20"/>
        <v>2823.6</v>
      </c>
      <c r="C784">
        <v>0.18588299999999999</v>
      </c>
      <c r="D784">
        <f t="shared" si="21"/>
        <v>0.15800054999999999</v>
      </c>
    </row>
    <row r="785" spans="1:4" x14ac:dyDescent="0.35">
      <c r="A785">
        <v>2.8251400000000002</v>
      </c>
      <c r="B785">
        <f t="shared" si="20"/>
        <v>2825.1400000000003</v>
      </c>
      <c r="C785">
        <v>0.18720500000000001</v>
      </c>
      <c r="D785">
        <f t="shared" si="21"/>
        <v>0.15912424999999999</v>
      </c>
    </row>
    <row r="786" spans="1:4" x14ac:dyDescent="0.35">
      <c r="A786">
        <v>2.8266800000000001</v>
      </c>
      <c r="B786">
        <f t="shared" si="20"/>
        <v>2826.6800000000003</v>
      </c>
      <c r="C786">
        <v>0.18848699999999999</v>
      </c>
      <c r="D786">
        <f t="shared" si="21"/>
        <v>0.16021394999999999</v>
      </c>
    </row>
    <row r="787" spans="1:4" x14ac:dyDescent="0.35">
      <c r="A787">
        <v>2.82822</v>
      </c>
      <c r="B787">
        <f t="shared" si="20"/>
        <v>2828.22</v>
      </c>
      <c r="C787">
        <v>0.18970999999999999</v>
      </c>
      <c r="D787">
        <f t="shared" si="21"/>
        <v>0.16125349999999999</v>
      </c>
    </row>
    <row r="788" spans="1:4" x14ac:dyDescent="0.35">
      <c r="A788">
        <v>2.8297699999999999</v>
      </c>
      <c r="B788">
        <f t="shared" si="20"/>
        <v>2829.77</v>
      </c>
      <c r="C788">
        <v>0.19098799999999999</v>
      </c>
      <c r="D788">
        <f t="shared" si="21"/>
        <v>0.16233979999999998</v>
      </c>
    </row>
    <row r="789" spans="1:4" x14ac:dyDescent="0.35">
      <c r="A789">
        <v>2.8313100000000002</v>
      </c>
      <c r="B789">
        <f t="shared" si="20"/>
        <v>2831.3100000000004</v>
      </c>
      <c r="C789">
        <v>0.192304</v>
      </c>
      <c r="D789">
        <f t="shared" si="21"/>
        <v>0.1634584</v>
      </c>
    </row>
    <row r="790" spans="1:4" x14ac:dyDescent="0.35">
      <c r="A790">
        <v>2.8328600000000002</v>
      </c>
      <c r="B790">
        <f t="shared" si="20"/>
        <v>2832.86</v>
      </c>
      <c r="C790">
        <v>0.193575</v>
      </c>
      <c r="D790">
        <f t="shared" si="21"/>
        <v>0.16453874999999998</v>
      </c>
    </row>
    <row r="791" spans="1:4" x14ac:dyDescent="0.35">
      <c r="A791">
        <v>2.8344100000000001</v>
      </c>
      <c r="B791">
        <f t="shared" si="20"/>
        <v>2834.4100000000003</v>
      </c>
      <c r="C791">
        <v>0.19486400000000001</v>
      </c>
      <c r="D791">
        <f t="shared" si="21"/>
        <v>0.16563440000000001</v>
      </c>
    </row>
    <row r="792" spans="1:4" x14ac:dyDescent="0.35">
      <c r="A792">
        <v>2.83596</v>
      </c>
      <c r="B792">
        <f t="shared" si="20"/>
        <v>2835.96</v>
      </c>
      <c r="C792">
        <v>0.19603699999999999</v>
      </c>
      <c r="D792">
        <f t="shared" si="21"/>
        <v>0.16663144999999999</v>
      </c>
    </row>
    <row r="793" spans="1:4" x14ac:dyDescent="0.35">
      <c r="A793">
        <v>2.83751</v>
      </c>
      <c r="B793">
        <f t="shared" si="20"/>
        <v>2837.5099999999998</v>
      </c>
      <c r="C793">
        <v>0.197023</v>
      </c>
      <c r="D793">
        <f t="shared" si="21"/>
        <v>0.16746954999999999</v>
      </c>
    </row>
    <row r="794" spans="1:4" x14ac:dyDescent="0.35">
      <c r="A794">
        <v>2.83907</v>
      </c>
      <c r="B794">
        <f t="shared" si="20"/>
        <v>2839.07</v>
      </c>
      <c r="C794">
        <v>0.19833300000000001</v>
      </c>
      <c r="D794">
        <f t="shared" si="21"/>
        <v>0.16858305000000001</v>
      </c>
    </row>
    <row r="795" spans="1:4" x14ac:dyDescent="0.35">
      <c r="A795">
        <v>2.8406199999999999</v>
      </c>
      <c r="B795">
        <f t="shared" si="20"/>
        <v>2840.62</v>
      </c>
      <c r="C795">
        <v>0.19944200000000001</v>
      </c>
      <c r="D795">
        <f t="shared" si="21"/>
        <v>0.1695257</v>
      </c>
    </row>
    <row r="796" spans="1:4" x14ac:dyDescent="0.35">
      <c r="A796">
        <v>2.8421799999999999</v>
      </c>
      <c r="B796">
        <f t="shared" si="20"/>
        <v>2842.18</v>
      </c>
      <c r="C796">
        <v>0.20044699999999999</v>
      </c>
      <c r="D796">
        <f t="shared" si="21"/>
        <v>0.17037994999999997</v>
      </c>
    </row>
    <row r="797" spans="1:4" x14ac:dyDescent="0.35">
      <c r="A797">
        <v>2.8437399999999999</v>
      </c>
      <c r="B797">
        <f t="shared" si="20"/>
        <v>2843.74</v>
      </c>
      <c r="C797">
        <v>0.20167499999999999</v>
      </c>
      <c r="D797">
        <f t="shared" si="21"/>
        <v>0.17142374999999999</v>
      </c>
    </row>
    <row r="798" spans="1:4" x14ac:dyDescent="0.35">
      <c r="A798">
        <v>2.8452999999999999</v>
      </c>
      <c r="B798">
        <f t="shared" si="20"/>
        <v>2845.2999999999997</v>
      </c>
      <c r="C798">
        <v>0.20270099999999999</v>
      </c>
      <c r="D798">
        <f t="shared" si="21"/>
        <v>0.17229585</v>
      </c>
    </row>
    <row r="799" spans="1:4" x14ac:dyDescent="0.35">
      <c r="A799">
        <v>2.8468599999999999</v>
      </c>
      <c r="B799">
        <f t="shared" si="20"/>
        <v>2846.86</v>
      </c>
      <c r="C799">
        <v>0.20356399999999999</v>
      </c>
      <c r="D799">
        <f t="shared" si="21"/>
        <v>0.1730294</v>
      </c>
    </row>
    <row r="800" spans="1:4" x14ac:dyDescent="0.35">
      <c r="A800">
        <v>2.84843</v>
      </c>
      <c r="B800">
        <f t="shared" si="20"/>
        <v>2848.43</v>
      </c>
      <c r="C800">
        <v>0.20452100000000001</v>
      </c>
      <c r="D800">
        <f t="shared" si="21"/>
        <v>0.17384284999999999</v>
      </c>
    </row>
    <row r="801" spans="1:4" x14ac:dyDescent="0.35">
      <c r="A801">
        <v>2.84999</v>
      </c>
      <c r="B801">
        <f t="shared" si="20"/>
        <v>2849.9900000000002</v>
      </c>
      <c r="C801">
        <v>0.20525199999999999</v>
      </c>
      <c r="D801">
        <f t="shared" si="21"/>
        <v>0.17446419999999999</v>
      </c>
    </row>
    <row r="802" spans="1:4" x14ac:dyDescent="0.35">
      <c r="A802">
        <v>2.8515600000000001</v>
      </c>
      <c r="B802">
        <f t="shared" si="20"/>
        <v>2851.56</v>
      </c>
      <c r="C802">
        <v>0.206179</v>
      </c>
      <c r="D802">
        <f t="shared" si="21"/>
        <v>0.17525215</v>
      </c>
    </row>
    <row r="803" spans="1:4" x14ac:dyDescent="0.35">
      <c r="A803">
        <v>2.8531300000000002</v>
      </c>
      <c r="B803">
        <f t="shared" si="20"/>
        <v>2853.13</v>
      </c>
      <c r="C803">
        <v>0.20721899999999999</v>
      </c>
      <c r="D803">
        <f t="shared" si="21"/>
        <v>0.17613614999999999</v>
      </c>
    </row>
    <row r="804" spans="1:4" x14ac:dyDescent="0.35">
      <c r="A804">
        <v>2.8546999999999998</v>
      </c>
      <c r="B804">
        <f t="shared" si="20"/>
        <v>2854.7</v>
      </c>
      <c r="C804">
        <v>0.20847299999999999</v>
      </c>
      <c r="D804">
        <f t="shared" si="21"/>
        <v>0.17720205</v>
      </c>
    </row>
    <row r="805" spans="1:4" x14ac:dyDescent="0.35">
      <c r="A805">
        <v>2.8562699999999999</v>
      </c>
      <c r="B805">
        <f t="shared" si="20"/>
        <v>2856.27</v>
      </c>
      <c r="C805">
        <v>0.20950299999999999</v>
      </c>
      <c r="D805">
        <f t="shared" si="21"/>
        <v>0.17807755</v>
      </c>
    </row>
    <row r="806" spans="1:4" x14ac:dyDescent="0.35">
      <c r="A806">
        <v>2.85785</v>
      </c>
      <c r="B806">
        <f t="shared" si="20"/>
        <v>2857.85</v>
      </c>
      <c r="C806">
        <v>0.210618</v>
      </c>
      <c r="D806">
        <f t="shared" si="21"/>
        <v>0.1790253</v>
      </c>
    </row>
    <row r="807" spans="1:4" x14ac:dyDescent="0.35">
      <c r="A807">
        <v>2.8594200000000001</v>
      </c>
      <c r="B807">
        <f t="shared" si="20"/>
        <v>2859.42</v>
      </c>
      <c r="C807">
        <v>0.21185100000000001</v>
      </c>
      <c r="D807">
        <f t="shared" si="21"/>
        <v>0.18007334999999999</v>
      </c>
    </row>
    <row r="808" spans="1:4" x14ac:dyDescent="0.35">
      <c r="A808">
        <v>2.8610000000000002</v>
      </c>
      <c r="B808">
        <f t="shared" si="20"/>
        <v>2861</v>
      </c>
      <c r="C808">
        <v>0.21307000000000001</v>
      </c>
      <c r="D808">
        <f t="shared" si="21"/>
        <v>0.18110950000000001</v>
      </c>
    </row>
    <row r="809" spans="1:4" x14ac:dyDescent="0.35">
      <c r="A809">
        <v>2.8625799999999999</v>
      </c>
      <c r="B809">
        <f t="shared" si="20"/>
        <v>2862.58</v>
      </c>
      <c r="C809">
        <v>0.21409800000000001</v>
      </c>
      <c r="D809">
        <f t="shared" si="21"/>
        <v>0.18198330000000001</v>
      </c>
    </row>
    <row r="810" spans="1:4" x14ac:dyDescent="0.35">
      <c r="A810">
        <v>2.86416</v>
      </c>
      <c r="B810">
        <f t="shared" si="20"/>
        <v>2864.16</v>
      </c>
      <c r="C810">
        <v>0.21509700000000001</v>
      </c>
      <c r="D810">
        <f t="shared" si="21"/>
        <v>0.18283245000000001</v>
      </c>
    </row>
    <row r="811" spans="1:4" x14ac:dyDescent="0.35">
      <c r="A811">
        <v>2.8657499999999998</v>
      </c>
      <c r="B811">
        <f t="shared" si="20"/>
        <v>2865.75</v>
      </c>
      <c r="C811">
        <v>0.21592500000000001</v>
      </c>
      <c r="D811">
        <f t="shared" si="21"/>
        <v>0.18353625000000001</v>
      </c>
    </row>
    <row r="812" spans="1:4" x14ac:dyDescent="0.35">
      <c r="A812">
        <v>2.8673299999999999</v>
      </c>
      <c r="B812">
        <f t="shared" si="20"/>
        <v>2867.33</v>
      </c>
      <c r="C812">
        <v>0.21712200000000001</v>
      </c>
      <c r="D812">
        <f t="shared" si="21"/>
        <v>0.18455370000000001</v>
      </c>
    </row>
    <row r="813" spans="1:4" x14ac:dyDescent="0.35">
      <c r="A813">
        <v>2.8689200000000001</v>
      </c>
      <c r="B813">
        <f t="shared" si="20"/>
        <v>2868.92</v>
      </c>
      <c r="C813">
        <v>0.218421</v>
      </c>
      <c r="D813">
        <f t="shared" si="21"/>
        <v>0.18565784999999999</v>
      </c>
    </row>
    <row r="814" spans="1:4" x14ac:dyDescent="0.35">
      <c r="A814">
        <v>2.8705099999999999</v>
      </c>
      <c r="B814">
        <f t="shared" si="20"/>
        <v>2870.5099999999998</v>
      </c>
      <c r="C814">
        <v>0.21956999999999999</v>
      </c>
      <c r="D814">
        <f t="shared" si="21"/>
        <v>0.18663449999999998</v>
      </c>
    </row>
    <row r="815" spans="1:4" x14ac:dyDescent="0.35">
      <c r="A815">
        <v>2.8721000000000001</v>
      </c>
      <c r="B815">
        <f t="shared" si="20"/>
        <v>2872.1</v>
      </c>
      <c r="C815">
        <v>0.22073000000000001</v>
      </c>
      <c r="D815">
        <f t="shared" si="21"/>
        <v>0.1876205</v>
      </c>
    </row>
    <row r="816" spans="1:4" x14ac:dyDescent="0.35">
      <c r="A816">
        <v>2.8736899999999999</v>
      </c>
      <c r="B816">
        <f t="shared" si="20"/>
        <v>2873.69</v>
      </c>
      <c r="C816">
        <v>0.22203800000000001</v>
      </c>
      <c r="D816">
        <f t="shared" si="21"/>
        <v>0.18873230000000002</v>
      </c>
    </row>
    <row r="817" spans="1:4" x14ac:dyDescent="0.35">
      <c r="A817">
        <v>2.8752800000000001</v>
      </c>
      <c r="B817">
        <f t="shared" si="20"/>
        <v>2875.28</v>
      </c>
      <c r="C817">
        <v>0.22270999999999999</v>
      </c>
      <c r="D817">
        <f t="shared" si="21"/>
        <v>0.18930349999999999</v>
      </c>
    </row>
    <row r="818" spans="1:4" x14ac:dyDescent="0.35">
      <c r="A818">
        <v>2.8768799999999999</v>
      </c>
      <c r="B818">
        <f t="shared" si="20"/>
        <v>2876.88</v>
      </c>
      <c r="C818">
        <v>0.223664</v>
      </c>
      <c r="D818">
        <f t="shared" si="21"/>
        <v>0.19011439999999999</v>
      </c>
    </row>
    <row r="819" spans="1:4" x14ac:dyDescent="0.35">
      <c r="A819">
        <v>2.8784800000000001</v>
      </c>
      <c r="B819">
        <f t="shared" si="20"/>
        <v>2878.48</v>
      </c>
      <c r="C819">
        <v>0.224518</v>
      </c>
      <c r="D819">
        <f t="shared" si="21"/>
        <v>0.19084029999999999</v>
      </c>
    </row>
    <row r="820" spans="1:4" x14ac:dyDescent="0.35">
      <c r="A820">
        <v>2.8800699999999999</v>
      </c>
      <c r="B820">
        <f t="shared" si="20"/>
        <v>2880.0699999999997</v>
      </c>
      <c r="C820">
        <v>0.22515399999999999</v>
      </c>
      <c r="D820">
        <f t="shared" si="21"/>
        <v>0.19138089999999999</v>
      </c>
    </row>
    <row r="821" spans="1:4" x14ac:dyDescent="0.35">
      <c r="A821">
        <v>2.8816799999999998</v>
      </c>
      <c r="B821">
        <f t="shared" si="20"/>
        <v>2881.68</v>
      </c>
      <c r="C821">
        <v>0.225827</v>
      </c>
      <c r="D821">
        <f t="shared" si="21"/>
        <v>0.19195294999999998</v>
      </c>
    </row>
    <row r="822" spans="1:4" x14ac:dyDescent="0.35">
      <c r="A822">
        <v>2.8832800000000001</v>
      </c>
      <c r="B822">
        <f t="shared" si="20"/>
        <v>2883.28</v>
      </c>
      <c r="C822">
        <v>0.22670199999999999</v>
      </c>
      <c r="D822">
        <f t="shared" si="21"/>
        <v>0.19269669999999997</v>
      </c>
    </row>
    <row r="823" spans="1:4" x14ac:dyDescent="0.35">
      <c r="A823">
        <v>2.8848799999999999</v>
      </c>
      <c r="B823">
        <f t="shared" si="20"/>
        <v>2884.88</v>
      </c>
      <c r="C823">
        <v>0.22752700000000001</v>
      </c>
      <c r="D823">
        <f t="shared" si="21"/>
        <v>0.19339795000000001</v>
      </c>
    </row>
    <row r="824" spans="1:4" x14ac:dyDescent="0.35">
      <c r="A824">
        <v>2.8864899999999998</v>
      </c>
      <c r="B824">
        <f t="shared" si="20"/>
        <v>2886.49</v>
      </c>
      <c r="C824">
        <v>0.228377</v>
      </c>
      <c r="D824">
        <f t="shared" si="21"/>
        <v>0.19412045</v>
      </c>
    </row>
    <row r="825" spans="1:4" x14ac:dyDescent="0.35">
      <c r="A825">
        <v>2.8881000000000001</v>
      </c>
      <c r="B825">
        <f t="shared" si="20"/>
        <v>2888.1</v>
      </c>
      <c r="C825">
        <v>0.228909</v>
      </c>
      <c r="D825">
        <f t="shared" si="21"/>
        <v>0.19457264999999999</v>
      </c>
    </row>
    <row r="826" spans="1:4" x14ac:dyDescent="0.35">
      <c r="A826">
        <v>2.88971</v>
      </c>
      <c r="B826">
        <f t="shared" si="20"/>
        <v>2889.71</v>
      </c>
      <c r="C826">
        <v>0.229688</v>
      </c>
      <c r="D826">
        <f t="shared" si="21"/>
        <v>0.19523479999999999</v>
      </c>
    </row>
    <row r="827" spans="1:4" x14ac:dyDescent="0.35">
      <c r="A827">
        <v>2.8913199999999999</v>
      </c>
      <c r="B827">
        <f t="shared" si="20"/>
        <v>2891.3199999999997</v>
      </c>
      <c r="C827">
        <v>0.230213</v>
      </c>
      <c r="D827">
        <f t="shared" si="21"/>
        <v>0.19568105</v>
      </c>
    </row>
    <row r="828" spans="1:4" x14ac:dyDescent="0.35">
      <c r="A828">
        <v>2.8929299999999998</v>
      </c>
      <c r="B828">
        <f t="shared" si="20"/>
        <v>2892.93</v>
      </c>
      <c r="C828">
        <v>0.23089100000000001</v>
      </c>
      <c r="D828">
        <f t="shared" si="21"/>
        <v>0.19625735</v>
      </c>
    </row>
    <row r="829" spans="1:4" x14ac:dyDescent="0.35">
      <c r="A829">
        <v>2.8945500000000002</v>
      </c>
      <c r="B829">
        <f t="shared" si="20"/>
        <v>2894.55</v>
      </c>
      <c r="C829">
        <v>0.231679</v>
      </c>
      <c r="D829">
        <f t="shared" si="21"/>
        <v>0.19692715</v>
      </c>
    </row>
    <row r="830" spans="1:4" x14ac:dyDescent="0.35">
      <c r="A830">
        <v>2.8961600000000001</v>
      </c>
      <c r="B830">
        <f t="shared" si="20"/>
        <v>2896.16</v>
      </c>
      <c r="C830">
        <v>0.23247799999999999</v>
      </c>
      <c r="D830">
        <f t="shared" si="21"/>
        <v>0.19760629999999998</v>
      </c>
    </row>
    <row r="831" spans="1:4" x14ac:dyDescent="0.35">
      <c r="A831">
        <v>2.89778</v>
      </c>
      <c r="B831">
        <f t="shared" si="20"/>
        <v>2897.78</v>
      </c>
      <c r="C831">
        <v>0.23308899999999999</v>
      </c>
      <c r="D831">
        <f t="shared" si="21"/>
        <v>0.19812564999999999</v>
      </c>
    </row>
    <row r="832" spans="1:4" x14ac:dyDescent="0.35">
      <c r="A832">
        <v>2.8994</v>
      </c>
      <c r="B832">
        <f t="shared" si="20"/>
        <v>2899.4</v>
      </c>
      <c r="C832">
        <v>0.23355000000000001</v>
      </c>
      <c r="D832">
        <f t="shared" si="21"/>
        <v>0.19851750000000001</v>
      </c>
    </row>
    <row r="833" spans="1:4" x14ac:dyDescent="0.35">
      <c r="A833">
        <v>2.90103</v>
      </c>
      <c r="B833">
        <f t="shared" si="20"/>
        <v>2901.03</v>
      </c>
      <c r="C833">
        <v>0.23357800000000001</v>
      </c>
      <c r="D833">
        <f t="shared" si="21"/>
        <v>0.1985413</v>
      </c>
    </row>
    <row r="834" spans="1:4" x14ac:dyDescent="0.35">
      <c r="A834">
        <v>2.90265</v>
      </c>
      <c r="B834">
        <f t="shared" si="20"/>
        <v>2902.65</v>
      </c>
      <c r="C834">
        <v>0.23294599999999999</v>
      </c>
      <c r="D834">
        <f t="shared" si="21"/>
        <v>0.19800409999999999</v>
      </c>
    </row>
    <row r="835" spans="1:4" x14ac:dyDescent="0.35">
      <c r="A835">
        <v>2.90428</v>
      </c>
      <c r="B835">
        <f t="shared" si="20"/>
        <v>2904.2799999999997</v>
      </c>
      <c r="C835">
        <v>0.23195399999999999</v>
      </c>
      <c r="D835">
        <f t="shared" si="21"/>
        <v>0.1971609</v>
      </c>
    </row>
    <row r="836" spans="1:4" x14ac:dyDescent="0.35">
      <c r="A836">
        <v>2.90591</v>
      </c>
      <c r="B836">
        <f t="shared" si="20"/>
        <v>2905.91</v>
      </c>
      <c r="C836">
        <v>0.23022999999999999</v>
      </c>
      <c r="D836">
        <f t="shared" si="21"/>
        <v>0.19569549999999999</v>
      </c>
    </row>
    <row r="837" spans="1:4" x14ac:dyDescent="0.35">
      <c r="A837">
        <v>2.90754</v>
      </c>
      <c r="B837">
        <f t="shared" si="20"/>
        <v>2907.54</v>
      </c>
      <c r="C837">
        <v>0.22742599999999999</v>
      </c>
      <c r="D837">
        <f t="shared" si="21"/>
        <v>0.19331209999999999</v>
      </c>
    </row>
    <row r="838" spans="1:4" x14ac:dyDescent="0.35">
      <c r="A838">
        <v>2.90917</v>
      </c>
      <c r="B838">
        <f t="shared" si="20"/>
        <v>2909.17</v>
      </c>
      <c r="C838">
        <v>0.22369600000000001</v>
      </c>
      <c r="D838">
        <f t="shared" si="21"/>
        <v>0.19014159999999999</v>
      </c>
    </row>
    <row r="839" spans="1:4" x14ac:dyDescent="0.35">
      <c r="A839">
        <v>2.9108000000000001</v>
      </c>
      <c r="B839">
        <f t="shared" si="20"/>
        <v>2910.8</v>
      </c>
      <c r="C839">
        <v>0.21998300000000001</v>
      </c>
      <c r="D839">
        <f t="shared" si="21"/>
        <v>0.18698555</v>
      </c>
    </row>
    <row r="840" spans="1:4" x14ac:dyDescent="0.35">
      <c r="A840">
        <v>2.9124400000000001</v>
      </c>
      <c r="B840">
        <f t="shared" si="20"/>
        <v>2912.44</v>
      </c>
      <c r="C840">
        <v>0.217642</v>
      </c>
      <c r="D840">
        <f t="shared" si="21"/>
        <v>0.18499569999999999</v>
      </c>
    </row>
    <row r="841" spans="1:4" x14ac:dyDescent="0.35">
      <c r="A841">
        <v>2.9140700000000002</v>
      </c>
      <c r="B841">
        <f t="shared" si="20"/>
        <v>2914.07</v>
      </c>
      <c r="C841">
        <v>0.21695900000000001</v>
      </c>
      <c r="D841">
        <f t="shared" si="21"/>
        <v>0.18441515</v>
      </c>
    </row>
    <row r="842" spans="1:4" x14ac:dyDescent="0.35">
      <c r="A842">
        <v>2.9157099999999998</v>
      </c>
      <c r="B842">
        <f t="shared" si="20"/>
        <v>2915.7099999999996</v>
      </c>
      <c r="C842">
        <v>0.21829899999999999</v>
      </c>
      <c r="D842">
        <f t="shared" si="21"/>
        <v>0.18555415</v>
      </c>
    </row>
    <row r="843" spans="1:4" x14ac:dyDescent="0.35">
      <c r="A843">
        <v>2.9173499999999999</v>
      </c>
      <c r="B843">
        <f t="shared" ref="B843:B906" si="22">A843*1000</f>
        <v>2917.35</v>
      </c>
      <c r="C843">
        <v>0.222108</v>
      </c>
      <c r="D843">
        <f t="shared" ref="D843:D906" si="23">C843*$D$137</f>
        <v>0.18879179999999998</v>
      </c>
    </row>
    <row r="844" spans="1:4" x14ac:dyDescent="0.35">
      <c r="A844">
        <v>2.91899</v>
      </c>
      <c r="B844">
        <f t="shared" si="22"/>
        <v>2918.99</v>
      </c>
      <c r="C844">
        <v>0.22774800000000001</v>
      </c>
      <c r="D844">
        <f t="shared" si="23"/>
        <v>0.1935858</v>
      </c>
    </row>
    <row r="845" spans="1:4" x14ac:dyDescent="0.35">
      <c r="A845">
        <v>2.9206400000000001</v>
      </c>
      <c r="B845">
        <f t="shared" si="22"/>
        <v>2920.6400000000003</v>
      </c>
      <c r="C845">
        <v>0.23377000000000001</v>
      </c>
      <c r="D845">
        <f t="shared" si="23"/>
        <v>0.19870450000000001</v>
      </c>
    </row>
    <row r="846" spans="1:4" x14ac:dyDescent="0.35">
      <c r="A846">
        <v>2.9222899999999998</v>
      </c>
      <c r="B846">
        <f t="shared" si="22"/>
        <v>2922.29</v>
      </c>
      <c r="C846">
        <v>0.23921799999999999</v>
      </c>
      <c r="D846">
        <f t="shared" si="23"/>
        <v>0.2033353</v>
      </c>
    </row>
    <row r="847" spans="1:4" x14ac:dyDescent="0.35">
      <c r="A847">
        <v>2.9239299999999999</v>
      </c>
      <c r="B847">
        <f t="shared" si="22"/>
        <v>2923.93</v>
      </c>
      <c r="C847">
        <v>0.24440500000000001</v>
      </c>
      <c r="D847">
        <f t="shared" si="23"/>
        <v>0.20774424999999999</v>
      </c>
    </row>
    <row r="848" spans="1:4" x14ac:dyDescent="0.35">
      <c r="A848">
        <v>2.9255800000000001</v>
      </c>
      <c r="B848">
        <f t="shared" si="22"/>
        <v>2925.58</v>
      </c>
      <c r="C848">
        <v>0.24915999999999999</v>
      </c>
      <c r="D848">
        <f t="shared" si="23"/>
        <v>0.211786</v>
      </c>
    </row>
    <row r="849" spans="1:4" x14ac:dyDescent="0.35">
      <c r="A849">
        <v>2.9272399999999998</v>
      </c>
      <c r="B849">
        <f t="shared" si="22"/>
        <v>2927.24</v>
      </c>
      <c r="C849">
        <v>0.25308399999999998</v>
      </c>
      <c r="D849">
        <f t="shared" si="23"/>
        <v>0.21512139999999996</v>
      </c>
    </row>
    <row r="850" spans="1:4" x14ac:dyDescent="0.35">
      <c r="A850">
        <v>2.92889</v>
      </c>
      <c r="B850">
        <f t="shared" si="22"/>
        <v>2928.89</v>
      </c>
      <c r="C850">
        <v>0.256299</v>
      </c>
      <c r="D850">
        <f t="shared" si="23"/>
        <v>0.21785415</v>
      </c>
    </row>
    <row r="851" spans="1:4" x14ac:dyDescent="0.35">
      <c r="A851">
        <v>2.9305500000000002</v>
      </c>
      <c r="B851">
        <f t="shared" si="22"/>
        <v>2930.55</v>
      </c>
      <c r="C851">
        <v>0.25880599999999998</v>
      </c>
      <c r="D851">
        <f t="shared" si="23"/>
        <v>0.21998509999999999</v>
      </c>
    </row>
    <row r="852" spans="1:4" x14ac:dyDescent="0.35">
      <c r="A852">
        <v>2.9321999999999999</v>
      </c>
      <c r="B852">
        <f t="shared" si="22"/>
        <v>2932.2</v>
      </c>
      <c r="C852">
        <v>0.261266</v>
      </c>
      <c r="D852">
        <f t="shared" si="23"/>
        <v>0.2220761</v>
      </c>
    </row>
    <row r="853" spans="1:4" x14ac:dyDescent="0.35">
      <c r="A853">
        <v>2.9338600000000001</v>
      </c>
      <c r="B853">
        <f t="shared" si="22"/>
        <v>2933.86</v>
      </c>
      <c r="C853">
        <v>0.26385599999999998</v>
      </c>
      <c r="D853">
        <f t="shared" si="23"/>
        <v>0.22427759999999997</v>
      </c>
    </row>
    <row r="854" spans="1:4" x14ac:dyDescent="0.35">
      <c r="A854">
        <v>2.9355199999999999</v>
      </c>
      <c r="B854">
        <f t="shared" si="22"/>
        <v>2935.52</v>
      </c>
      <c r="C854">
        <v>0.265959</v>
      </c>
      <c r="D854">
        <f t="shared" si="23"/>
        <v>0.22606514999999999</v>
      </c>
    </row>
    <row r="855" spans="1:4" x14ac:dyDescent="0.35">
      <c r="A855">
        <v>2.9371900000000002</v>
      </c>
      <c r="B855">
        <f t="shared" si="22"/>
        <v>2937.19</v>
      </c>
      <c r="C855">
        <v>0.26773200000000003</v>
      </c>
      <c r="D855">
        <f t="shared" si="23"/>
        <v>0.2275722</v>
      </c>
    </row>
    <row r="856" spans="1:4" x14ac:dyDescent="0.35">
      <c r="A856">
        <v>2.93885</v>
      </c>
      <c r="B856">
        <f t="shared" si="22"/>
        <v>2938.85</v>
      </c>
      <c r="C856">
        <v>0.26910899999999999</v>
      </c>
      <c r="D856">
        <f t="shared" si="23"/>
        <v>0.22874264999999999</v>
      </c>
    </row>
    <row r="857" spans="1:4" x14ac:dyDescent="0.35">
      <c r="A857">
        <v>2.9405199999999998</v>
      </c>
      <c r="B857">
        <f t="shared" si="22"/>
        <v>2940.52</v>
      </c>
      <c r="C857">
        <v>0.27091599999999999</v>
      </c>
      <c r="D857">
        <f t="shared" si="23"/>
        <v>0.23027859999999997</v>
      </c>
    </row>
    <row r="858" spans="1:4" x14ac:dyDescent="0.35">
      <c r="A858">
        <v>2.9421900000000001</v>
      </c>
      <c r="B858">
        <f t="shared" si="22"/>
        <v>2942.19</v>
      </c>
      <c r="C858">
        <v>0.27264500000000003</v>
      </c>
      <c r="D858">
        <f t="shared" si="23"/>
        <v>0.23174825000000002</v>
      </c>
    </row>
    <row r="859" spans="1:4" x14ac:dyDescent="0.35">
      <c r="A859">
        <v>2.9438599999999999</v>
      </c>
      <c r="B859">
        <f t="shared" si="22"/>
        <v>2943.86</v>
      </c>
      <c r="C859">
        <v>0.27389599999999997</v>
      </c>
      <c r="D859">
        <f t="shared" si="23"/>
        <v>0.23281159999999998</v>
      </c>
    </row>
    <row r="860" spans="1:4" x14ac:dyDescent="0.35">
      <c r="A860">
        <v>2.9455300000000002</v>
      </c>
      <c r="B860">
        <f t="shared" si="22"/>
        <v>2945.53</v>
      </c>
      <c r="C860">
        <v>0.27482299999999998</v>
      </c>
      <c r="D860">
        <f t="shared" si="23"/>
        <v>0.23359954999999999</v>
      </c>
    </row>
    <row r="861" spans="1:4" x14ac:dyDescent="0.35">
      <c r="A861">
        <v>2.9472100000000001</v>
      </c>
      <c r="B861">
        <f t="shared" si="22"/>
        <v>2947.21</v>
      </c>
      <c r="C861">
        <v>0.27595700000000001</v>
      </c>
      <c r="D861">
        <f t="shared" si="23"/>
        <v>0.23456345000000001</v>
      </c>
    </row>
    <row r="862" spans="1:4" x14ac:dyDescent="0.35">
      <c r="A862">
        <v>2.9488799999999999</v>
      </c>
      <c r="B862">
        <f t="shared" si="22"/>
        <v>2948.88</v>
      </c>
      <c r="C862">
        <v>0.27732899999999999</v>
      </c>
      <c r="D862">
        <f t="shared" si="23"/>
        <v>0.23572964999999999</v>
      </c>
    </row>
    <row r="863" spans="1:4" x14ac:dyDescent="0.35">
      <c r="A863">
        <v>2.9505599999999998</v>
      </c>
      <c r="B863">
        <f t="shared" si="22"/>
        <v>2950.56</v>
      </c>
      <c r="C863">
        <v>0.27828799999999998</v>
      </c>
      <c r="D863">
        <f t="shared" si="23"/>
        <v>0.23654479999999997</v>
      </c>
    </row>
    <row r="864" spans="1:4" x14ac:dyDescent="0.35">
      <c r="A864">
        <v>2.9522400000000002</v>
      </c>
      <c r="B864">
        <f t="shared" si="22"/>
        <v>2952.2400000000002</v>
      </c>
      <c r="C864">
        <v>0.279586</v>
      </c>
      <c r="D864">
        <f t="shared" si="23"/>
        <v>0.2376481</v>
      </c>
    </row>
    <row r="865" spans="1:4" x14ac:dyDescent="0.35">
      <c r="A865">
        <v>2.9539200000000001</v>
      </c>
      <c r="B865">
        <f t="shared" si="22"/>
        <v>2953.92</v>
      </c>
      <c r="C865">
        <v>0.280945</v>
      </c>
      <c r="D865">
        <f t="shared" si="23"/>
        <v>0.23880324999999999</v>
      </c>
    </row>
    <row r="866" spans="1:4" x14ac:dyDescent="0.35">
      <c r="A866">
        <v>2.9556100000000001</v>
      </c>
      <c r="B866">
        <f t="shared" si="22"/>
        <v>2955.61</v>
      </c>
      <c r="C866">
        <v>0.28190900000000002</v>
      </c>
      <c r="D866">
        <f t="shared" si="23"/>
        <v>0.23962265000000002</v>
      </c>
    </row>
    <row r="867" spans="1:4" x14ac:dyDescent="0.35">
      <c r="A867">
        <v>2.95729</v>
      </c>
      <c r="B867">
        <f t="shared" si="22"/>
        <v>2957.29</v>
      </c>
      <c r="C867">
        <v>0.28297899999999998</v>
      </c>
      <c r="D867">
        <f t="shared" si="23"/>
        <v>0.24053214999999997</v>
      </c>
    </row>
    <row r="868" spans="1:4" x14ac:dyDescent="0.35">
      <c r="A868">
        <v>2.9589799999999999</v>
      </c>
      <c r="B868">
        <f t="shared" si="22"/>
        <v>2958.98</v>
      </c>
      <c r="C868">
        <v>0.28421600000000002</v>
      </c>
      <c r="D868">
        <f t="shared" si="23"/>
        <v>0.24158360000000001</v>
      </c>
    </row>
    <row r="869" spans="1:4" x14ac:dyDescent="0.35">
      <c r="A869">
        <v>2.9606699999999999</v>
      </c>
      <c r="B869">
        <f t="shared" si="22"/>
        <v>2960.67</v>
      </c>
      <c r="C869">
        <v>0.28504600000000002</v>
      </c>
      <c r="D869">
        <f t="shared" si="23"/>
        <v>0.24228910000000001</v>
      </c>
    </row>
    <row r="870" spans="1:4" x14ac:dyDescent="0.35">
      <c r="A870">
        <v>2.9623599999999999</v>
      </c>
      <c r="B870">
        <f t="shared" si="22"/>
        <v>2962.3599999999997</v>
      </c>
      <c r="C870">
        <v>0.285881</v>
      </c>
      <c r="D870">
        <f t="shared" si="23"/>
        <v>0.24299884999999999</v>
      </c>
    </row>
    <row r="871" spans="1:4" x14ac:dyDescent="0.35">
      <c r="A871">
        <v>2.9640599999999999</v>
      </c>
      <c r="B871">
        <f t="shared" si="22"/>
        <v>2964.06</v>
      </c>
      <c r="C871">
        <v>0.28689999999999999</v>
      </c>
      <c r="D871">
        <f t="shared" si="23"/>
        <v>0.24386499999999997</v>
      </c>
    </row>
    <row r="872" spans="1:4" x14ac:dyDescent="0.35">
      <c r="A872">
        <v>2.9657499999999999</v>
      </c>
      <c r="B872">
        <f t="shared" si="22"/>
        <v>2965.75</v>
      </c>
      <c r="C872">
        <v>0.287939</v>
      </c>
      <c r="D872">
        <f t="shared" si="23"/>
        <v>0.24474815</v>
      </c>
    </row>
    <row r="873" spans="1:4" x14ac:dyDescent="0.35">
      <c r="A873">
        <v>2.9674499999999999</v>
      </c>
      <c r="B873">
        <f t="shared" si="22"/>
        <v>2967.45</v>
      </c>
      <c r="C873">
        <v>0.288823</v>
      </c>
      <c r="D873">
        <f t="shared" si="23"/>
        <v>0.24549954999999998</v>
      </c>
    </row>
    <row r="874" spans="1:4" x14ac:dyDescent="0.35">
      <c r="A874">
        <v>2.96915</v>
      </c>
      <c r="B874">
        <f t="shared" si="22"/>
        <v>2969.15</v>
      </c>
      <c r="C874">
        <v>0.28950999999999999</v>
      </c>
      <c r="D874">
        <f t="shared" si="23"/>
        <v>0.24608349999999998</v>
      </c>
    </row>
    <row r="875" spans="1:4" x14ac:dyDescent="0.35">
      <c r="A875">
        <v>2.97085</v>
      </c>
      <c r="B875">
        <f t="shared" si="22"/>
        <v>2970.85</v>
      </c>
      <c r="C875">
        <v>0.29015400000000002</v>
      </c>
      <c r="D875">
        <f t="shared" si="23"/>
        <v>0.24663090000000001</v>
      </c>
    </row>
    <row r="876" spans="1:4" x14ac:dyDescent="0.35">
      <c r="A876">
        <v>2.97255</v>
      </c>
      <c r="B876">
        <f t="shared" si="22"/>
        <v>2972.55</v>
      </c>
      <c r="C876">
        <v>0.29100399999999998</v>
      </c>
      <c r="D876">
        <f t="shared" si="23"/>
        <v>0.24735339999999997</v>
      </c>
    </row>
    <row r="877" spans="1:4" x14ac:dyDescent="0.35">
      <c r="A877">
        <v>2.9742600000000001</v>
      </c>
      <c r="B877">
        <f t="shared" si="22"/>
        <v>2974.26</v>
      </c>
      <c r="C877">
        <v>0.29220000000000002</v>
      </c>
      <c r="D877">
        <f t="shared" si="23"/>
        <v>0.24837000000000001</v>
      </c>
    </row>
    <row r="878" spans="1:4" x14ac:dyDescent="0.35">
      <c r="A878">
        <v>2.9759699999999998</v>
      </c>
      <c r="B878">
        <f t="shared" si="22"/>
        <v>2975.97</v>
      </c>
      <c r="C878">
        <v>0.29323700000000003</v>
      </c>
      <c r="D878">
        <f t="shared" si="23"/>
        <v>0.24925145000000001</v>
      </c>
    </row>
    <row r="879" spans="1:4" x14ac:dyDescent="0.35">
      <c r="A879">
        <v>2.9776799999999999</v>
      </c>
      <c r="B879">
        <f t="shared" si="22"/>
        <v>2977.68</v>
      </c>
      <c r="C879">
        <v>0.29382799999999998</v>
      </c>
      <c r="D879">
        <f t="shared" si="23"/>
        <v>0.24975379999999997</v>
      </c>
    </row>
    <row r="880" spans="1:4" x14ac:dyDescent="0.35">
      <c r="A880">
        <v>2.97939</v>
      </c>
      <c r="B880">
        <f t="shared" si="22"/>
        <v>2979.39</v>
      </c>
      <c r="C880">
        <v>0.29459600000000002</v>
      </c>
      <c r="D880">
        <f t="shared" si="23"/>
        <v>0.25040660000000003</v>
      </c>
    </row>
    <row r="881" spans="1:4" x14ac:dyDescent="0.35">
      <c r="A881">
        <v>2.9811000000000001</v>
      </c>
      <c r="B881">
        <f t="shared" si="22"/>
        <v>2981.1</v>
      </c>
      <c r="C881">
        <v>0.295491</v>
      </c>
      <c r="D881">
        <f t="shared" si="23"/>
        <v>0.25116735000000001</v>
      </c>
    </row>
    <row r="882" spans="1:4" x14ac:dyDescent="0.35">
      <c r="A882">
        <v>2.9828199999999998</v>
      </c>
      <c r="B882">
        <f t="shared" si="22"/>
        <v>2982.8199999999997</v>
      </c>
      <c r="C882">
        <v>0.29617500000000002</v>
      </c>
      <c r="D882">
        <f t="shared" si="23"/>
        <v>0.25174875000000002</v>
      </c>
    </row>
    <row r="883" spans="1:4" x14ac:dyDescent="0.35">
      <c r="A883">
        <v>2.9845299999999999</v>
      </c>
      <c r="B883">
        <f t="shared" si="22"/>
        <v>2984.5299999999997</v>
      </c>
      <c r="C883">
        <v>0.29708499999999999</v>
      </c>
      <c r="D883">
        <f t="shared" si="23"/>
        <v>0.25252225</v>
      </c>
    </row>
    <row r="884" spans="1:4" x14ac:dyDescent="0.35">
      <c r="A884">
        <v>2.9862500000000001</v>
      </c>
      <c r="B884">
        <f t="shared" si="22"/>
        <v>2986.25</v>
      </c>
      <c r="C884">
        <v>0.29799399999999998</v>
      </c>
      <c r="D884">
        <f t="shared" si="23"/>
        <v>0.25329489999999999</v>
      </c>
    </row>
    <row r="885" spans="1:4" x14ac:dyDescent="0.35">
      <c r="A885">
        <v>2.9879699999999998</v>
      </c>
      <c r="B885">
        <f t="shared" si="22"/>
        <v>2987.97</v>
      </c>
      <c r="C885">
        <v>0.29904199999999997</v>
      </c>
      <c r="D885">
        <f t="shared" si="23"/>
        <v>0.25418569999999996</v>
      </c>
    </row>
    <row r="886" spans="1:4" x14ac:dyDescent="0.35">
      <c r="A886">
        <v>2.9897</v>
      </c>
      <c r="B886">
        <f t="shared" si="22"/>
        <v>2989.7</v>
      </c>
      <c r="C886">
        <v>0.30031099999999999</v>
      </c>
      <c r="D886">
        <f t="shared" si="23"/>
        <v>0.25526434999999997</v>
      </c>
    </row>
    <row r="887" spans="1:4" x14ac:dyDescent="0.35">
      <c r="A887">
        <v>2.9914200000000002</v>
      </c>
      <c r="B887">
        <f t="shared" si="22"/>
        <v>2991.42</v>
      </c>
      <c r="C887">
        <v>0.301533</v>
      </c>
      <c r="D887">
        <f t="shared" si="23"/>
        <v>0.25630304999999998</v>
      </c>
    </row>
    <row r="888" spans="1:4" x14ac:dyDescent="0.35">
      <c r="A888">
        <v>2.99315</v>
      </c>
      <c r="B888">
        <f t="shared" si="22"/>
        <v>2993.15</v>
      </c>
      <c r="C888">
        <v>0.30276199999999998</v>
      </c>
      <c r="D888">
        <f t="shared" si="23"/>
        <v>0.25734769999999996</v>
      </c>
    </row>
    <row r="889" spans="1:4" x14ac:dyDescent="0.35">
      <c r="A889">
        <v>2.9948800000000002</v>
      </c>
      <c r="B889">
        <f t="shared" si="22"/>
        <v>2994.88</v>
      </c>
      <c r="C889">
        <v>0.30385400000000001</v>
      </c>
      <c r="D889">
        <f t="shared" si="23"/>
        <v>0.2582759</v>
      </c>
    </row>
    <row r="890" spans="1:4" x14ac:dyDescent="0.35">
      <c r="A890">
        <v>2.99661</v>
      </c>
      <c r="B890">
        <f t="shared" si="22"/>
        <v>2996.61</v>
      </c>
      <c r="C890">
        <v>0.304892</v>
      </c>
      <c r="D890">
        <f t="shared" si="23"/>
        <v>0.25915820000000001</v>
      </c>
    </row>
    <row r="891" spans="1:4" x14ac:dyDescent="0.35">
      <c r="A891">
        <v>2.9983399999999998</v>
      </c>
      <c r="B891">
        <f t="shared" si="22"/>
        <v>2998.3399999999997</v>
      </c>
      <c r="C891">
        <v>0.30620000000000003</v>
      </c>
      <c r="D891">
        <f t="shared" si="23"/>
        <v>0.26027</v>
      </c>
    </row>
    <row r="892" spans="1:4" x14ac:dyDescent="0.35">
      <c r="A892">
        <v>3.0000800000000001</v>
      </c>
      <c r="B892">
        <f t="shared" si="22"/>
        <v>3000.08</v>
      </c>
      <c r="C892">
        <v>0.307558</v>
      </c>
      <c r="D892">
        <f t="shared" si="23"/>
        <v>0.2614243</v>
      </c>
    </row>
    <row r="893" spans="1:4" x14ac:dyDescent="0.35">
      <c r="A893">
        <v>3.0018199999999999</v>
      </c>
      <c r="B893">
        <f t="shared" si="22"/>
        <v>3001.8199999999997</v>
      </c>
      <c r="C893">
        <v>0.308618</v>
      </c>
      <c r="D893">
        <f t="shared" si="23"/>
        <v>0.26232529999999998</v>
      </c>
    </row>
    <row r="894" spans="1:4" x14ac:dyDescent="0.35">
      <c r="A894">
        <v>3.0035500000000002</v>
      </c>
      <c r="B894">
        <f t="shared" si="22"/>
        <v>3003.55</v>
      </c>
      <c r="C894">
        <v>0.31000499999999998</v>
      </c>
      <c r="D894">
        <f t="shared" si="23"/>
        <v>0.26350425</v>
      </c>
    </row>
    <row r="895" spans="1:4" x14ac:dyDescent="0.35">
      <c r="A895">
        <v>3.0053000000000001</v>
      </c>
      <c r="B895">
        <f t="shared" si="22"/>
        <v>3005.3</v>
      </c>
      <c r="C895">
        <v>0.31134699999999998</v>
      </c>
      <c r="D895">
        <f t="shared" si="23"/>
        <v>0.26464494999999999</v>
      </c>
    </row>
    <row r="896" spans="1:4" x14ac:dyDescent="0.35">
      <c r="A896">
        <v>3.0070399999999999</v>
      </c>
      <c r="B896">
        <f t="shared" si="22"/>
        <v>3007.04</v>
      </c>
      <c r="C896">
        <v>0.31258399999999997</v>
      </c>
      <c r="D896">
        <f t="shared" si="23"/>
        <v>0.26569639999999994</v>
      </c>
    </row>
    <row r="897" spans="1:4" x14ac:dyDescent="0.35">
      <c r="A897">
        <v>3.0087799999999998</v>
      </c>
      <c r="B897">
        <f t="shared" si="22"/>
        <v>3008.7799999999997</v>
      </c>
      <c r="C897">
        <v>0.313363</v>
      </c>
      <c r="D897">
        <f t="shared" si="23"/>
        <v>0.26635854999999997</v>
      </c>
    </row>
    <row r="898" spans="1:4" x14ac:dyDescent="0.35">
      <c r="A898">
        <v>3.0105300000000002</v>
      </c>
      <c r="B898">
        <f t="shared" si="22"/>
        <v>3010.53</v>
      </c>
      <c r="C898">
        <v>0.31438199999999999</v>
      </c>
      <c r="D898">
        <f t="shared" si="23"/>
        <v>0.26722469999999998</v>
      </c>
    </row>
    <row r="899" spans="1:4" x14ac:dyDescent="0.35">
      <c r="A899">
        <v>3.0122800000000001</v>
      </c>
      <c r="B899">
        <f t="shared" si="22"/>
        <v>3012.28</v>
      </c>
      <c r="C899">
        <v>0.31545699999999999</v>
      </c>
      <c r="D899">
        <f t="shared" si="23"/>
        <v>0.26813844999999997</v>
      </c>
    </row>
    <row r="900" spans="1:4" x14ac:dyDescent="0.35">
      <c r="A900">
        <v>3.01403</v>
      </c>
      <c r="B900">
        <f t="shared" si="22"/>
        <v>3014.03</v>
      </c>
      <c r="C900">
        <v>0.31645800000000002</v>
      </c>
      <c r="D900">
        <f t="shared" si="23"/>
        <v>0.26898929999999999</v>
      </c>
    </row>
    <row r="901" spans="1:4" x14ac:dyDescent="0.35">
      <c r="A901">
        <v>3.01579</v>
      </c>
      <c r="B901">
        <f t="shared" si="22"/>
        <v>3015.79</v>
      </c>
      <c r="C901">
        <v>0.31728899999999999</v>
      </c>
      <c r="D901">
        <f t="shared" si="23"/>
        <v>0.26969565000000001</v>
      </c>
    </row>
    <row r="902" spans="1:4" x14ac:dyDescent="0.35">
      <c r="A902">
        <v>3.0175399999999999</v>
      </c>
      <c r="B902">
        <f t="shared" si="22"/>
        <v>3017.54</v>
      </c>
      <c r="C902">
        <v>0.31823899999999999</v>
      </c>
      <c r="D902">
        <f t="shared" si="23"/>
        <v>0.27050314999999997</v>
      </c>
    </row>
    <row r="903" spans="1:4" x14ac:dyDescent="0.35">
      <c r="A903">
        <v>3.0192999999999999</v>
      </c>
      <c r="B903">
        <f t="shared" si="22"/>
        <v>3019.2999999999997</v>
      </c>
      <c r="C903">
        <v>0.31937500000000002</v>
      </c>
      <c r="D903">
        <f t="shared" si="23"/>
        <v>0.27146875000000004</v>
      </c>
    </row>
    <row r="904" spans="1:4" x14ac:dyDescent="0.35">
      <c r="A904">
        <v>3.0210599999999999</v>
      </c>
      <c r="B904">
        <f t="shared" si="22"/>
        <v>3021.06</v>
      </c>
      <c r="C904">
        <v>0.32043300000000002</v>
      </c>
      <c r="D904">
        <f t="shared" si="23"/>
        <v>0.27236805000000003</v>
      </c>
    </row>
    <row r="905" spans="1:4" x14ac:dyDescent="0.35">
      <c r="A905">
        <v>3.0228199999999998</v>
      </c>
      <c r="B905">
        <f t="shared" si="22"/>
        <v>3022.8199999999997</v>
      </c>
      <c r="C905">
        <v>0.32126300000000002</v>
      </c>
      <c r="D905">
        <f t="shared" si="23"/>
        <v>0.27307355</v>
      </c>
    </row>
    <row r="906" spans="1:4" x14ac:dyDescent="0.35">
      <c r="A906">
        <v>3.0245799999999998</v>
      </c>
      <c r="B906">
        <f t="shared" si="22"/>
        <v>3024.58</v>
      </c>
      <c r="C906">
        <v>0.32216</v>
      </c>
      <c r="D906">
        <f t="shared" si="23"/>
        <v>0.27383599999999997</v>
      </c>
    </row>
    <row r="907" spans="1:4" x14ac:dyDescent="0.35">
      <c r="A907">
        <v>3.0263499999999999</v>
      </c>
      <c r="B907">
        <f t="shared" ref="B907:B970" si="24">A907*1000</f>
        <v>3026.35</v>
      </c>
      <c r="C907">
        <v>0.32305899999999999</v>
      </c>
      <c r="D907">
        <f t="shared" ref="D907:D970" si="25">C907*$D$137</f>
        <v>0.27460014999999999</v>
      </c>
    </row>
    <row r="908" spans="1:4" x14ac:dyDescent="0.35">
      <c r="A908">
        <v>3.0281199999999999</v>
      </c>
      <c r="B908">
        <f t="shared" si="24"/>
        <v>3028.12</v>
      </c>
      <c r="C908">
        <v>0.32402599999999998</v>
      </c>
      <c r="D908">
        <f t="shared" si="25"/>
        <v>0.2754221</v>
      </c>
    </row>
    <row r="909" spans="1:4" x14ac:dyDescent="0.35">
      <c r="A909">
        <v>3.02989</v>
      </c>
      <c r="B909">
        <f t="shared" si="24"/>
        <v>3029.89</v>
      </c>
      <c r="C909">
        <v>0.32519500000000001</v>
      </c>
      <c r="D909">
        <f t="shared" si="25"/>
        <v>0.27641575000000002</v>
      </c>
    </row>
    <row r="910" spans="1:4" x14ac:dyDescent="0.35">
      <c r="A910">
        <v>3.03166</v>
      </c>
      <c r="B910">
        <f t="shared" si="24"/>
        <v>3031.66</v>
      </c>
      <c r="C910">
        <v>0.32610099999999997</v>
      </c>
      <c r="D910">
        <f t="shared" si="25"/>
        <v>0.27718584999999996</v>
      </c>
    </row>
    <row r="911" spans="1:4" x14ac:dyDescent="0.35">
      <c r="A911">
        <v>3.0334300000000001</v>
      </c>
      <c r="B911">
        <f t="shared" si="24"/>
        <v>3033.4300000000003</v>
      </c>
      <c r="C911">
        <v>0.32651400000000003</v>
      </c>
      <c r="D911">
        <f t="shared" si="25"/>
        <v>0.27753690000000003</v>
      </c>
    </row>
    <row r="912" spans="1:4" x14ac:dyDescent="0.35">
      <c r="A912">
        <v>3.0352100000000002</v>
      </c>
      <c r="B912">
        <f t="shared" si="24"/>
        <v>3035.21</v>
      </c>
      <c r="C912">
        <v>0.32753900000000002</v>
      </c>
      <c r="D912">
        <f t="shared" si="25"/>
        <v>0.27840815000000002</v>
      </c>
    </row>
    <row r="913" spans="1:4" x14ac:dyDescent="0.35">
      <c r="A913">
        <v>3.0369899999999999</v>
      </c>
      <c r="B913">
        <f t="shared" si="24"/>
        <v>3036.99</v>
      </c>
      <c r="C913">
        <v>0.328733</v>
      </c>
      <c r="D913">
        <f t="shared" si="25"/>
        <v>0.27942305000000001</v>
      </c>
    </row>
    <row r="914" spans="1:4" x14ac:dyDescent="0.35">
      <c r="A914">
        <v>3.03877</v>
      </c>
      <c r="B914">
        <f t="shared" si="24"/>
        <v>3038.77</v>
      </c>
      <c r="C914">
        <v>0.32962200000000003</v>
      </c>
      <c r="D914">
        <f t="shared" si="25"/>
        <v>0.2801787</v>
      </c>
    </row>
    <row r="915" spans="1:4" x14ac:dyDescent="0.35">
      <c r="A915">
        <v>3.0405500000000001</v>
      </c>
      <c r="B915">
        <f t="shared" si="24"/>
        <v>3040.55</v>
      </c>
      <c r="C915">
        <v>0.33022800000000002</v>
      </c>
      <c r="D915">
        <f t="shared" si="25"/>
        <v>0.28069379999999999</v>
      </c>
    </row>
    <row r="916" spans="1:4" x14ac:dyDescent="0.35">
      <c r="A916">
        <v>3.0423300000000002</v>
      </c>
      <c r="B916">
        <f t="shared" si="24"/>
        <v>3042.3300000000004</v>
      </c>
      <c r="C916">
        <v>0.33118199999999998</v>
      </c>
      <c r="D916">
        <f t="shared" si="25"/>
        <v>0.2815047</v>
      </c>
    </row>
    <row r="917" spans="1:4" x14ac:dyDescent="0.35">
      <c r="A917">
        <v>3.0441199999999999</v>
      </c>
      <c r="B917">
        <f t="shared" si="24"/>
        <v>3044.12</v>
      </c>
      <c r="C917">
        <v>0.33210899999999999</v>
      </c>
      <c r="D917">
        <f t="shared" si="25"/>
        <v>0.28229264999999998</v>
      </c>
    </row>
    <row r="918" spans="1:4" x14ac:dyDescent="0.35">
      <c r="A918">
        <v>3.0459100000000001</v>
      </c>
      <c r="B918">
        <f t="shared" si="24"/>
        <v>3045.9100000000003</v>
      </c>
      <c r="C918">
        <v>0.33298800000000001</v>
      </c>
      <c r="D918">
        <f t="shared" si="25"/>
        <v>0.28303980000000001</v>
      </c>
    </row>
    <row r="919" spans="1:4" x14ac:dyDescent="0.35">
      <c r="A919">
        <v>3.0476999999999999</v>
      </c>
      <c r="B919">
        <f t="shared" si="24"/>
        <v>3047.7</v>
      </c>
      <c r="C919">
        <v>0.33385799999999999</v>
      </c>
      <c r="D919">
        <f t="shared" si="25"/>
        <v>0.28377929999999996</v>
      </c>
    </row>
    <row r="920" spans="1:4" x14ac:dyDescent="0.35">
      <c r="A920">
        <v>3.04949</v>
      </c>
      <c r="B920">
        <f t="shared" si="24"/>
        <v>3049.4900000000002</v>
      </c>
      <c r="C920">
        <v>0.33504600000000001</v>
      </c>
      <c r="D920">
        <f t="shared" si="25"/>
        <v>0.28478910000000002</v>
      </c>
    </row>
    <row r="921" spans="1:4" x14ac:dyDescent="0.35">
      <c r="A921">
        <v>3.0512899999999998</v>
      </c>
      <c r="B921">
        <f t="shared" si="24"/>
        <v>3051.29</v>
      </c>
      <c r="C921">
        <v>0.33577499999999999</v>
      </c>
      <c r="D921">
        <f t="shared" si="25"/>
        <v>0.28540874999999999</v>
      </c>
    </row>
    <row r="922" spans="1:4" x14ac:dyDescent="0.35">
      <c r="A922">
        <v>3.05308</v>
      </c>
      <c r="B922">
        <f t="shared" si="24"/>
        <v>3053.08</v>
      </c>
      <c r="C922">
        <v>0.33651300000000001</v>
      </c>
      <c r="D922">
        <f t="shared" si="25"/>
        <v>0.28603604999999999</v>
      </c>
    </row>
    <row r="923" spans="1:4" x14ac:dyDescent="0.35">
      <c r="A923">
        <v>3.0548799999999998</v>
      </c>
      <c r="B923">
        <f t="shared" si="24"/>
        <v>3054.8799999999997</v>
      </c>
      <c r="C923">
        <v>0.33764499999999997</v>
      </c>
      <c r="D923">
        <f t="shared" si="25"/>
        <v>0.28699824999999995</v>
      </c>
    </row>
    <row r="924" spans="1:4" x14ac:dyDescent="0.35">
      <c r="A924">
        <v>3.0566800000000001</v>
      </c>
      <c r="B924">
        <f t="shared" si="24"/>
        <v>3056.6800000000003</v>
      </c>
      <c r="C924">
        <v>0.33863399999999999</v>
      </c>
      <c r="D924">
        <f t="shared" si="25"/>
        <v>0.28783890000000001</v>
      </c>
    </row>
    <row r="925" spans="1:4" x14ac:dyDescent="0.35">
      <c r="A925">
        <v>3.0584899999999999</v>
      </c>
      <c r="B925">
        <f t="shared" si="24"/>
        <v>3058.49</v>
      </c>
      <c r="C925">
        <v>0.33949800000000002</v>
      </c>
      <c r="D925">
        <f t="shared" si="25"/>
        <v>0.28857330000000003</v>
      </c>
    </row>
    <row r="926" spans="1:4" x14ac:dyDescent="0.35">
      <c r="A926">
        <v>3.0602900000000002</v>
      </c>
      <c r="B926">
        <f t="shared" si="24"/>
        <v>3060.29</v>
      </c>
      <c r="C926">
        <v>0.34032899999999999</v>
      </c>
      <c r="D926">
        <f t="shared" si="25"/>
        <v>0.28927965</v>
      </c>
    </row>
    <row r="927" spans="1:4" x14ac:dyDescent="0.35">
      <c r="A927">
        <v>3.0621</v>
      </c>
      <c r="B927">
        <f t="shared" si="24"/>
        <v>3062.1</v>
      </c>
      <c r="C927">
        <v>0.34112300000000001</v>
      </c>
      <c r="D927">
        <f t="shared" si="25"/>
        <v>0.28995454999999998</v>
      </c>
    </row>
    <row r="928" spans="1:4" x14ac:dyDescent="0.35">
      <c r="A928">
        <v>3.0639099999999999</v>
      </c>
      <c r="B928">
        <f t="shared" si="24"/>
        <v>3063.91</v>
      </c>
      <c r="C928">
        <v>0.341748</v>
      </c>
      <c r="D928">
        <f t="shared" si="25"/>
        <v>0.29048580000000002</v>
      </c>
    </row>
    <row r="929" spans="1:4" x14ac:dyDescent="0.35">
      <c r="A929">
        <v>3.0657199999999998</v>
      </c>
      <c r="B929">
        <f t="shared" si="24"/>
        <v>3065.72</v>
      </c>
      <c r="C929">
        <v>0.34253600000000001</v>
      </c>
      <c r="D929">
        <f t="shared" si="25"/>
        <v>0.29115560000000001</v>
      </c>
    </row>
    <row r="930" spans="1:4" x14ac:dyDescent="0.35">
      <c r="A930">
        <v>3.0675400000000002</v>
      </c>
      <c r="B930">
        <f t="shared" si="24"/>
        <v>3067.54</v>
      </c>
      <c r="C930">
        <v>0.34349800000000003</v>
      </c>
      <c r="D930">
        <f t="shared" si="25"/>
        <v>0.29197329999999999</v>
      </c>
    </row>
    <row r="931" spans="1:4" x14ac:dyDescent="0.35">
      <c r="A931">
        <v>3.06935</v>
      </c>
      <c r="B931">
        <f t="shared" si="24"/>
        <v>3069.35</v>
      </c>
      <c r="C931">
        <v>0.34459400000000001</v>
      </c>
      <c r="D931">
        <f t="shared" si="25"/>
        <v>0.29290490000000002</v>
      </c>
    </row>
    <row r="932" spans="1:4" x14ac:dyDescent="0.35">
      <c r="A932">
        <v>3.07117</v>
      </c>
      <c r="B932">
        <f t="shared" si="24"/>
        <v>3071.17</v>
      </c>
      <c r="C932">
        <v>0.345196</v>
      </c>
      <c r="D932">
        <f t="shared" si="25"/>
        <v>0.29341659999999997</v>
      </c>
    </row>
    <row r="933" spans="1:4" x14ac:dyDescent="0.35">
      <c r="A933">
        <v>3.0729899999999999</v>
      </c>
      <c r="B933">
        <f t="shared" si="24"/>
        <v>3072.99</v>
      </c>
      <c r="C933">
        <v>0.34586099999999997</v>
      </c>
      <c r="D933">
        <f t="shared" si="25"/>
        <v>0.29398184999999999</v>
      </c>
    </row>
    <row r="934" spans="1:4" x14ac:dyDescent="0.35">
      <c r="A934">
        <v>3.0748099999999998</v>
      </c>
      <c r="B934">
        <f t="shared" si="24"/>
        <v>3074.81</v>
      </c>
      <c r="C934">
        <v>0.346773</v>
      </c>
      <c r="D934">
        <f t="shared" si="25"/>
        <v>0.29475704999999996</v>
      </c>
    </row>
    <row r="935" spans="1:4" x14ac:dyDescent="0.35">
      <c r="A935">
        <v>3.0766399999999998</v>
      </c>
      <c r="B935">
        <f t="shared" si="24"/>
        <v>3076.64</v>
      </c>
      <c r="C935">
        <v>0.34765299999999999</v>
      </c>
      <c r="D935">
        <f t="shared" si="25"/>
        <v>0.29550504999999999</v>
      </c>
    </row>
    <row r="936" spans="1:4" x14ac:dyDescent="0.35">
      <c r="A936">
        <v>3.0784699999999998</v>
      </c>
      <c r="B936">
        <f t="shared" si="24"/>
        <v>3078.47</v>
      </c>
      <c r="C936">
        <v>0.34871400000000002</v>
      </c>
      <c r="D936">
        <f t="shared" si="25"/>
        <v>0.29640690000000003</v>
      </c>
    </row>
    <row r="937" spans="1:4" x14ac:dyDescent="0.35">
      <c r="A937">
        <v>3.0802900000000002</v>
      </c>
      <c r="B937">
        <f t="shared" si="24"/>
        <v>3080.2900000000004</v>
      </c>
      <c r="C937">
        <v>0.34948800000000002</v>
      </c>
      <c r="D937">
        <f t="shared" si="25"/>
        <v>0.29706480000000002</v>
      </c>
    </row>
    <row r="938" spans="1:4" x14ac:dyDescent="0.35">
      <c r="A938">
        <v>3.0821299999999998</v>
      </c>
      <c r="B938">
        <f t="shared" si="24"/>
        <v>3082.1299999999997</v>
      </c>
      <c r="C938">
        <v>0.34999599999999997</v>
      </c>
      <c r="D938">
        <f t="shared" si="25"/>
        <v>0.29749659999999994</v>
      </c>
    </row>
    <row r="939" spans="1:4" x14ac:dyDescent="0.35">
      <c r="A939">
        <v>3.0839599999999998</v>
      </c>
      <c r="B939">
        <f t="shared" si="24"/>
        <v>3083.96</v>
      </c>
      <c r="C939">
        <v>0.35057199999999999</v>
      </c>
      <c r="D939">
        <f t="shared" si="25"/>
        <v>0.29798619999999998</v>
      </c>
    </row>
    <row r="940" spans="1:4" x14ac:dyDescent="0.35">
      <c r="A940">
        <v>3.0857899999999998</v>
      </c>
      <c r="B940">
        <f t="shared" si="24"/>
        <v>3085.79</v>
      </c>
      <c r="C940">
        <v>0.35144700000000001</v>
      </c>
      <c r="D940">
        <f t="shared" si="25"/>
        <v>0.29872995000000002</v>
      </c>
    </row>
    <row r="941" spans="1:4" x14ac:dyDescent="0.35">
      <c r="A941">
        <v>3.0876299999999999</v>
      </c>
      <c r="B941">
        <f t="shared" si="24"/>
        <v>3087.6299999999997</v>
      </c>
      <c r="C941">
        <v>0.35208400000000001</v>
      </c>
      <c r="D941">
        <f t="shared" si="25"/>
        <v>0.29927140000000002</v>
      </c>
    </row>
    <row r="942" spans="1:4" x14ac:dyDescent="0.35">
      <c r="A942">
        <v>3.0894699999999999</v>
      </c>
      <c r="B942">
        <f t="shared" si="24"/>
        <v>3089.47</v>
      </c>
      <c r="C942">
        <v>0.35296899999999998</v>
      </c>
      <c r="D942">
        <f t="shared" si="25"/>
        <v>0.30002364999999998</v>
      </c>
    </row>
    <row r="943" spans="1:4" x14ac:dyDescent="0.35">
      <c r="A943">
        <v>3.09131</v>
      </c>
      <c r="B943">
        <f t="shared" si="24"/>
        <v>3091.31</v>
      </c>
      <c r="C943">
        <v>0.35382400000000003</v>
      </c>
      <c r="D943">
        <f t="shared" si="25"/>
        <v>0.30075040000000003</v>
      </c>
    </row>
    <row r="944" spans="1:4" x14ac:dyDescent="0.35">
      <c r="A944">
        <v>3.0931600000000001</v>
      </c>
      <c r="B944">
        <f t="shared" si="24"/>
        <v>3093.1600000000003</v>
      </c>
      <c r="C944">
        <v>0.35442800000000002</v>
      </c>
      <c r="D944">
        <f t="shared" si="25"/>
        <v>0.30126380000000003</v>
      </c>
    </row>
    <row r="945" spans="1:4" x14ac:dyDescent="0.35">
      <c r="A945">
        <v>3.0950099999999998</v>
      </c>
      <c r="B945">
        <f t="shared" si="24"/>
        <v>3095.0099999999998</v>
      </c>
      <c r="C945">
        <v>0.35509299999999999</v>
      </c>
      <c r="D945">
        <f t="shared" si="25"/>
        <v>0.30182904999999999</v>
      </c>
    </row>
    <row r="946" spans="1:4" x14ac:dyDescent="0.35">
      <c r="A946">
        <v>3.0968499999999999</v>
      </c>
      <c r="B946">
        <f t="shared" si="24"/>
        <v>3096.85</v>
      </c>
      <c r="C946">
        <v>0.35577199999999998</v>
      </c>
      <c r="D946">
        <f t="shared" si="25"/>
        <v>0.30240619999999996</v>
      </c>
    </row>
    <row r="947" spans="1:4" x14ac:dyDescent="0.35">
      <c r="A947">
        <v>3.0987100000000001</v>
      </c>
      <c r="B947">
        <f t="shared" si="24"/>
        <v>3098.71</v>
      </c>
      <c r="C947">
        <v>0.35633999999999999</v>
      </c>
      <c r="D947">
        <f t="shared" si="25"/>
        <v>0.30288899999999996</v>
      </c>
    </row>
    <row r="948" spans="1:4" x14ac:dyDescent="0.35">
      <c r="A948">
        <v>3.1005600000000002</v>
      </c>
      <c r="B948">
        <f t="shared" si="24"/>
        <v>3100.5600000000004</v>
      </c>
      <c r="C948">
        <v>0.35700399999999999</v>
      </c>
      <c r="D948">
        <f t="shared" si="25"/>
        <v>0.30345339999999998</v>
      </c>
    </row>
    <row r="949" spans="1:4" x14ac:dyDescent="0.35">
      <c r="A949">
        <v>3.1024099999999999</v>
      </c>
      <c r="B949">
        <f t="shared" si="24"/>
        <v>3102.41</v>
      </c>
      <c r="C949">
        <v>0.35771900000000001</v>
      </c>
      <c r="D949">
        <f t="shared" si="25"/>
        <v>0.30406115</v>
      </c>
    </row>
    <row r="950" spans="1:4" x14ac:dyDescent="0.35">
      <c r="A950">
        <v>3.1042700000000001</v>
      </c>
      <c r="B950">
        <f t="shared" si="24"/>
        <v>3104.27</v>
      </c>
      <c r="C950">
        <v>0.358653</v>
      </c>
      <c r="D950">
        <f t="shared" si="25"/>
        <v>0.30485505000000002</v>
      </c>
    </row>
    <row r="951" spans="1:4" x14ac:dyDescent="0.35">
      <c r="A951">
        <v>3.1061299999999998</v>
      </c>
      <c r="B951">
        <f t="shared" si="24"/>
        <v>3106.1299999999997</v>
      </c>
      <c r="C951">
        <v>0.35954000000000003</v>
      </c>
      <c r="D951">
        <f t="shared" si="25"/>
        <v>0.30560900000000002</v>
      </c>
    </row>
    <row r="952" spans="1:4" x14ac:dyDescent="0.35">
      <c r="A952">
        <v>3.10799</v>
      </c>
      <c r="B952">
        <f t="shared" si="24"/>
        <v>3107.9900000000002</v>
      </c>
      <c r="C952">
        <v>0.36038900000000001</v>
      </c>
      <c r="D952">
        <f t="shared" si="25"/>
        <v>0.30633064999999998</v>
      </c>
    </row>
    <row r="953" spans="1:4" x14ac:dyDescent="0.35">
      <c r="A953">
        <v>3.1098599999999998</v>
      </c>
      <c r="B953">
        <f t="shared" si="24"/>
        <v>3109.8599999999997</v>
      </c>
      <c r="C953">
        <v>0.36133399999999999</v>
      </c>
      <c r="D953">
        <f t="shared" si="25"/>
        <v>0.30713389999999996</v>
      </c>
    </row>
    <row r="954" spans="1:4" x14ac:dyDescent="0.35">
      <c r="A954">
        <v>3.1117300000000001</v>
      </c>
      <c r="B954">
        <f t="shared" si="24"/>
        <v>3111.73</v>
      </c>
      <c r="C954">
        <v>0.36221199999999998</v>
      </c>
      <c r="D954">
        <f t="shared" si="25"/>
        <v>0.30788019999999999</v>
      </c>
    </row>
    <row r="955" spans="1:4" x14ac:dyDescent="0.35">
      <c r="A955">
        <v>3.1135899999999999</v>
      </c>
      <c r="B955">
        <f t="shared" si="24"/>
        <v>3113.5899999999997</v>
      </c>
      <c r="C955">
        <v>0.362848</v>
      </c>
      <c r="D955">
        <f t="shared" si="25"/>
        <v>0.30842079999999999</v>
      </c>
    </row>
    <row r="956" spans="1:4" x14ac:dyDescent="0.35">
      <c r="A956">
        <v>3.1154700000000002</v>
      </c>
      <c r="B956">
        <f t="shared" si="24"/>
        <v>3115.4700000000003</v>
      </c>
      <c r="C956">
        <v>0.36371900000000001</v>
      </c>
      <c r="D956">
        <f t="shared" si="25"/>
        <v>0.30916115</v>
      </c>
    </row>
    <row r="957" spans="1:4" x14ac:dyDescent="0.35">
      <c r="A957">
        <v>3.11734</v>
      </c>
      <c r="B957">
        <f t="shared" si="24"/>
        <v>3117.34</v>
      </c>
      <c r="C957">
        <v>0.36446200000000001</v>
      </c>
      <c r="D957">
        <f t="shared" si="25"/>
        <v>0.30979269999999998</v>
      </c>
    </row>
    <row r="958" spans="1:4" x14ac:dyDescent="0.35">
      <c r="A958">
        <v>3.1192099999999998</v>
      </c>
      <c r="B958">
        <f t="shared" si="24"/>
        <v>3119.21</v>
      </c>
      <c r="C958">
        <v>0.36515399999999998</v>
      </c>
      <c r="D958">
        <f t="shared" si="25"/>
        <v>0.31038089999999996</v>
      </c>
    </row>
    <row r="959" spans="1:4" x14ac:dyDescent="0.35">
      <c r="A959">
        <v>3.1210900000000001</v>
      </c>
      <c r="B959">
        <f t="shared" si="24"/>
        <v>3121.09</v>
      </c>
      <c r="C959">
        <v>0.36607800000000001</v>
      </c>
      <c r="D959">
        <f t="shared" si="25"/>
        <v>0.31116630000000001</v>
      </c>
    </row>
    <row r="960" spans="1:4" x14ac:dyDescent="0.35">
      <c r="A960">
        <v>3.12297</v>
      </c>
      <c r="B960">
        <f t="shared" si="24"/>
        <v>3122.97</v>
      </c>
      <c r="C960">
        <v>0.366921</v>
      </c>
      <c r="D960">
        <f t="shared" si="25"/>
        <v>0.31188284999999999</v>
      </c>
    </row>
    <row r="961" spans="1:4" x14ac:dyDescent="0.35">
      <c r="A961">
        <v>3.12486</v>
      </c>
      <c r="B961">
        <f t="shared" si="24"/>
        <v>3124.86</v>
      </c>
      <c r="C961">
        <v>0.36759799999999998</v>
      </c>
      <c r="D961">
        <f t="shared" si="25"/>
        <v>0.31245829999999997</v>
      </c>
    </row>
    <row r="962" spans="1:4" x14ac:dyDescent="0.35">
      <c r="A962">
        <v>3.1267399999999999</v>
      </c>
      <c r="B962">
        <f t="shared" si="24"/>
        <v>3126.74</v>
      </c>
      <c r="C962">
        <v>0.36820999999999998</v>
      </c>
      <c r="D962">
        <f t="shared" si="25"/>
        <v>0.31297849999999999</v>
      </c>
    </row>
    <row r="963" spans="1:4" x14ac:dyDescent="0.35">
      <c r="A963">
        <v>3.1286299999999998</v>
      </c>
      <c r="B963">
        <f t="shared" si="24"/>
        <v>3128.6299999999997</v>
      </c>
      <c r="C963">
        <v>0.36893199999999998</v>
      </c>
      <c r="D963">
        <f t="shared" si="25"/>
        <v>0.31359219999999999</v>
      </c>
    </row>
    <row r="964" spans="1:4" x14ac:dyDescent="0.35">
      <c r="A964">
        <v>3.1305200000000002</v>
      </c>
      <c r="B964">
        <f t="shared" si="24"/>
        <v>3130.52</v>
      </c>
      <c r="C964">
        <v>0.36996400000000002</v>
      </c>
      <c r="D964">
        <f t="shared" si="25"/>
        <v>0.31446940000000001</v>
      </c>
    </row>
    <row r="965" spans="1:4" x14ac:dyDescent="0.35">
      <c r="A965">
        <v>3.1324100000000001</v>
      </c>
      <c r="B965">
        <f t="shared" si="24"/>
        <v>3132.4100000000003</v>
      </c>
      <c r="C965">
        <v>0.37110599999999999</v>
      </c>
      <c r="D965">
        <f t="shared" si="25"/>
        <v>0.3154401</v>
      </c>
    </row>
    <row r="966" spans="1:4" x14ac:dyDescent="0.35">
      <c r="A966">
        <v>3.1343000000000001</v>
      </c>
      <c r="B966">
        <f t="shared" si="24"/>
        <v>3134.3</v>
      </c>
      <c r="C966">
        <v>0.37190800000000002</v>
      </c>
      <c r="D966">
        <f t="shared" si="25"/>
        <v>0.31612180000000001</v>
      </c>
    </row>
    <row r="967" spans="1:4" x14ac:dyDescent="0.35">
      <c r="A967">
        <v>3.1362000000000001</v>
      </c>
      <c r="B967">
        <f t="shared" si="24"/>
        <v>3136.2000000000003</v>
      </c>
      <c r="C967">
        <v>0.37224200000000002</v>
      </c>
      <c r="D967">
        <f t="shared" si="25"/>
        <v>0.31640570000000001</v>
      </c>
    </row>
    <row r="968" spans="1:4" x14ac:dyDescent="0.35">
      <c r="A968">
        <v>3.1381000000000001</v>
      </c>
      <c r="B968">
        <f t="shared" si="24"/>
        <v>3138.1</v>
      </c>
      <c r="C968">
        <v>0.37288500000000002</v>
      </c>
      <c r="D968">
        <f t="shared" si="25"/>
        <v>0.31695224999999999</v>
      </c>
    </row>
    <row r="969" spans="1:4" x14ac:dyDescent="0.35">
      <c r="A969">
        <v>3.14</v>
      </c>
      <c r="B969">
        <f t="shared" si="24"/>
        <v>3140</v>
      </c>
      <c r="C969">
        <v>0.37384600000000001</v>
      </c>
      <c r="D969">
        <f t="shared" si="25"/>
        <v>0.31776910000000003</v>
      </c>
    </row>
    <row r="970" spans="1:4" x14ac:dyDescent="0.35">
      <c r="A970">
        <v>3.1419000000000001</v>
      </c>
      <c r="B970">
        <f t="shared" si="24"/>
        <v>3141.9</v>
      </c>
      <c r="C970">
        <v>0.37489800000000001</v>
      </c>
      <c r="D970">
        <f t="shared" si="25"/>
        <v>0.31866329999999998</v>
      </c>
    </row>
    <row r="971" spans="1:4" x14ac:dyDescent="0.35">
      <c r="A971">
        <v>3.1438100000000002</v>
      </c>
      <c r="B971">
        <f t="shared" ref="B971:B1034" si="26">A971*1000</f>
        <v>3143.8100000000004</v>
      </c>
      <c r="C971">
        <v>0.37555699999999997</v>
      </c>
      <c r="D971">
        <f t="shared" ref="D971:D1034" si="27">C971*$D$137</f>
        <v>0.31922344999999996</v>
      </c>
    </row>
    <row r="972" spans="1:4" x14ac:dyDescent="0.35">
      <c r="A972">
        <v>3.1457099999999998</v>
      </c>
      <c r="B972">
        <f t="shared" si="26"/>
        <v>3145.7099999999996</v>
      </c>
      <c r="C972">
        <v>0.37628099999999998</v>
      </c>
      <c r="D972">
        <f t="shared" si="27"/>
        <v>0.31983884999999995</v>
      </c>
    </row>
    <row r="973" spans="1:4" x14ac:dyDescent="0.35">
      <c r="A973">
        <v>3.1476199999999999</v>
      </c>
      <c r="B973">
        <f t="shared" si="26"/>
        <v>3147.62</v>
      </c>
      <c r="C973">
        <v>0.37716499999999997</v>
      </c>
      <c r="D973">
        <f t="shared" si="27"/>
        <v>0.32059024999999997</v>
      </c>
    </row>
    <row r="974" spans="1:4" x14ac:dyDescent="0.35">
      <c r="A974">
        <v>3.14954</v>
      </c>
      <c r="B974">
        <f t="shared" si="26"/>
        <v>3149.54</v>
      </c>
      <c r="C974">
        <v>0.37796999999999997</v>
      </c>
      <c r="D974">
        <f t="shared" si="27"/>
        <v>0.32127449999999996</v>
      </c>
    </row>
    <row r="975" spans="1:4" x14ac:dyDescent="0.35">
      <c r="A975">
        <v>3.1514500000000001</v>
      </c>
      <c r="B975">
        <f t="shared" si="26"/>
        <v>3151.4500000000003</v>
      </c>
      <c r="C975">
        <v>0.37861299999999998</v>
      </c>
      <c r="D975">
        <f t="shared" si="27"/>
        <v>0.32182105</v>
      </c>
    </row>
    <row r="976" spans="1:4" x14ac:dyDescent="0.35">
      <c r="A976">
        <v>3.1533699999999998</v>
      </c>
      <c r="B976">
        <f t="shared" si="26"/>
        <v>3153.37</v>
      </c>
      <c r="C976">
        <v>0.37933699999999998</v>
      </c>
      <c r="D976">
        <f t="shared" si="27"/>
        <v>0.32243644999999999</v>
      </c>
    </row>
    <row r="977" spans="1:4" x14ac:dyDescent="0.35">
      <c r="A977">
        <v>3.1552899999999999</v>
      </c>
      <c r="B977">
        <f t="shared" si="26"/>
        <v>3155.29</v>
      </c>
      <c r="C977">
        <v>0.38029099999999999</v>
      </c>
      <c r="D977">
        <f t="shared" si="27"/>
        <v>0.32324734999999999</v>
      </c>
    </row>
    <row r="978" spans="1:4" x14ac:dyDescent="0.35">
      <c r="A978">
        <v>3.1572100000000001</v>
      </c>
      <c r="B978">
        <f t="shared" si="26"/>
        <v>3157.21</v>
      </c>
      <c r="C978">
        <v>0.38106400000000001</v>
      </c>
      <c r="D978">
        <f t="shared" si="27"/>
        <v>0.32390439999999998</v>
      </c>
    </row>
    <row r="979" spans="1:4" x14ac:dyDescent="0.35">
      <c r="A979">
        <v>3.1591300000000002</v>
      </c>
      <c r="B979">
        <f t="shared" si="26"/>
        <v>3159.13</v>
      </c>
      <c r="C979">
        <v>0.381521</v>
      </c>
      <c r="D979">
        <f t="shared" si="27"/>
        <v>0.32429284999999997</v>
      </c>
    </row>
    <row r="980" spans="1:4" x14ac:dyDescent="0.35">
      <c r="A980">
        <v>3.16106</v>
      </c>
      <c r="B980">
        <f t="shared" si="26"/>
        <v>3161.06</v>
      </c>
      <c r="C980">
        <v>0.382075</v>
      </c>
      <c r="D980">
        <f t="shared" si="27"/>
        <v>0.32476374999999996</v>
      </c>
    </row>
    <row r="981" spans="1:4" x14ac:dyDescent="0.35">
      <c r="A981">
        <v>3.1629900000000002</v>
      </c>
      <c r="B981">
        <f t="shared" si="26"/>
        <v>3162.9900000000002</v>
      </c>
      <c r="C981">
        <v>0.38289899999999999</v>
      </c>
      <c r="D981">
        <f t="shared" si="27"/>
        <v>0.32546415000000001</v>
      </c>
    </row>
    <row r="982" spans="1:4" x14ac:dyDescent="0.35">
      <c r="A982">
        <v>3.16492</v>
      </c>
      <c r="B982">
        <f t="shared" si="26"/>
        <v>3164.92</v>
      </c>
      <c r="C982">
        <v>0.38345699999999999</v>
      </c>
      <c r="D982">
        <f t="shared" si="27"/>
        <v>0.32593844999999999</v>
      </c>
    </row>
    <row r="983" spans="1:4" x14ac:dyDescent="0.35">
      <c r="A983">
        <v>3.1668500000000002</v>
      </c>
      <c r="B983">
        <f t="shared" si="26"/>
        <v>3166.8500000000004</v>
      </c>
      <c r="C983">
        <v>0.38412000000000002</v>
      </c>
      <c r="D983">
        <f t="shared" si="27"/>
        <v>0.32650200000000001</v>
      </c>
    </row>
    <row r="984" spans="1:4" x14ac:dyDescent="0.35">
      <c r="A984">
        <v>3.16879</v>
      </c>
      <c r="B984">
        <f t="shared" si="26"/>
        <v>3168.79</v>
      </c>
      <c r="C984">
        <v>0.38476399999999999</v>
      </c>
      <c r="D984">
        <f t="shared" si="27"/>
        <v>0.32704939999999999</v>
      </c>
    </row>
    <row r="985" spans="1:4" x14ac:dyDescent="0.35">
      <c r="A985">
        <v>3.1707200000000002</v>
      </c>
      <c r="B985">
        <f t="shared" si="26"/>
        <v>3170.7200000000003</v>
      </c>
      <c r="C985">
        <v>0.38520500000000002</v>
      </c>
      <c r="D985">
        <f t="shared" si="27"/>
        <v>0.32742425000000003</v>
      </c>
    </row>
    <row r="986" spans="1:4" x14ac:dyDescent="0.35">
      <c r="A986">
        <v>3.1726700000000001</v>
      </c>
      <c r="B986">
        <f t="shared" si="26"/>
        <v>3172.67</v>
      </c>
      <c r="C986">
        <v>0.38571100000000003</v>
      </c>
      <c r="D986">
        <f t="shared" si="27"/>
        <v>0.32785435000000002</v>
      </c>
    </row>
    <row r="987" spans="1:4" x14ac:dyDescent="0.35">
      <c r="A987">
        <v>3.1746099999999999</v>
      </c>
      <c r="B987">
        <f t="shared" si="26"/>
        <v>3174.61</v>
      </c>
      <c r="C987">
        <v>0.38648500000000002</v>
      </c>
      <c r="D987">
        <f t="shared" si="27"/>
        <v>0.32851225000000001</v>
      </c>
    </row>
    <row r="988" spans="1:4" x14ac:dyDescent="0.35">
      <c r="A988">
        <v>3.1765500000000002</v>
      </c>
      <c r="B988">
        <f t="shared" si="26"/>
        <v>3176.55</v>
      </c>
      <c r="C988">
        <v>0.38719500000000001</v>
      </c>
      <c r="D988">
        <f t="shared" si="27"/>
        <v>0.32911574999999998</v>
      </c>
    </row>
    <row r="989" spans="1:4" x14ac:dyDescent="0.35">
      <c r="A989">
        <v>3.1785000000000001</v>
      </c>
      <c r="B989">
        <f t="shared" si="26"/>
        <v>3178.5</v>
      </c>
      <c r="C989">
        <v>0.387683</v>
      </c>
      <c r="D989">
        <f t="shared" si="27"/>
        <v>0.32953054999999998</v>
      </c>
    </row>
    <row r="990" spans="1:4" x14ac:dyDescent="0.35">
      <c r="A990">
        <v>3.18045</v>
      </c>
      <c r="B990">
        <f t="shared" si="26"/>
        <v>3180.45</v>
      </c>
      <c r="C990">
        <v>0.38847599999999999</v>
      </c>
      <c r="D990">
        <f t="shared" si="27"/>
        <v>0.33020459999999996</v>
      </c>
    </row>
    <row r="991" spans="1:4" x14ac:dyDescent="0.35">
      <c r="A991">
        <v>3.1823999999999999</v>
      </c>
      <c r="B991">
        <f t="shared" si="26"/>
        <v>3182.4</v>
      </c>
      <c r="C991">
        <v>0.38902100000000001</v>
      </c>
      <c r="D991">
        <f t="shared" si="27"/>
        <v>0.33066784999999999</v>
      </c>
    </row>
    <row r="992" spans="1:4" x14ac:dyDescent="0.35">
      <c r="A992">
        <v>3.1843599999999999</v>
      </c>
      <c r="B992">
        <f t="shared" si="26"/>
        <v>3184.3599999999997</v>
      </c>
      <c r="C992">
        <v>0.38958399999999999</v>
      </c>
      <c r="D992">
        <f t="shared" si="27"/>
        <v>0.33114639999999995</v>
      </c>
    </row>
    <row r="993" spans="1:4" x14ac:dyDescent="0.35">
      <c r="A993">
        <v>3.1863199999999998</v>
      </c>
      <c r="B993">
        <f t="shared" si="26"/>
        <v>3186.3199999999997</v>
      </c>
      <c r="C993">
        <v>0.39041100000000001</v>
      </c>
      <c r="D993">
        <f t="shared" si="27"/>
        <v>0.33184934999999999</v>
      </c>
    </row>
    <row r="994" spans="1:4" x14ac:dyDescent="0.35">
      <c r="A994">
        <v>3.1882700000000002</v>
      </c>
      <c r="B994">
        <f t="shared" si="26"/>
        <v>3188.27</v>
      </c>
      <c r="C994">
        <v>0.39122200000000001</v>
      </c>
      <c r="D994">
        <f t="shared" si="27"/>
        <v>0.33253870000000002</v>
      </c>
    </row>
    <row r="995" spans="1:4" x14ac:dyDescent="0.35">
      <c r="A995">
        <v>3.1902400000000002</v>
      </c>
      <c r="B995">
        <f t="shared" si="26"/>
        <v>3190.2400000000002</v>
      </c>
      <c r="C995">
        <v>0.39187899999999998</v>
      </c>
      <c r="D995">
        <f t="shared" si="27"/>
        <v>0.33309714999999995</v>
      </c>
    </row>
    <row r="996" spans="1:4" x14ac:dyDescent="0.35">
      <c r="A996">
        <v>3.1922000000000001</v>
      </c>
      <c r="B996">
        <f t="shared" si="26"/>
        <v>3192.2000000000003</v>
      </c>
      <c r="C996">
        <v>0.39257599999999998</v>
      </c>
      <c r="D996">
        <f t="shared" si="27"/>
        <v>0.33368959999999998</v>
      </c>
    </row>
    <row r="997" spans="1:4" x14ac:dyDescent="0.35">
      <c r="A997">
        <v>3.1941700000000002</v>
      </c>
      <c r="B997">
        <f t="shared" si="26"/>
        <v>3194.17</v>
      </c>
      <c r="C997">
        <v>0.39320899999999998</v>
      </c>
      <c r="D997">
        <f t="shared" si="27"/>
        <v>0.33422764999999999</v>
      </c>
    </row>
    <row r="998" spans="1:4" x14ac:dyDescent="0.35">
      <c r="A998">
        <v>3.1961400000000002</v>
      </c>
      <c r="B998">
        <f t="shared" si="26"/>
        <v>3196.1400000000003</v>
      </c>
      <c r="C998">
        <v>0.39412799999999998</v>
      </c>
      <c r="D998">
        <f t="shared" si="27"/>
        <v>0.3350088</v>
      </c>
    </row>
    <row r="999" spans="1:4" x14ac:dyDescent="0.35">
      <c r="A999">
        <v>3.1981099999999998</v>
      </c>
      <c r="B999">
        <f t="shared" si="26"/>
        <v>3198.1099999999997</v>
      </c>
      <c r="C999">
        <v>0.39476800000000001</v>
      </c>
      <c r="D999">
        <f t="shared" si="27"/>
        <v>0.33555279999999998</v>
      </c>
    </row>
    <row r="1000" spans="1:4" x14ac:dyDescent="0.35">
      <c r="A1000">
        <v>3.2000799999999998</v>
      </c>
      <c r="B1000">
        <f t="shared" si="26"/>
        <v>3200.08</v>
      </c>
      <c r="C1000">
        <v>0.39533800000000002</v>
      </c>
      <c r="D1000">
        <f t="shared" si="27"/>
        <v>0.33603729999999998</v>
      </c>
    </row>
    <row r="1001" spans="1:4" x14ac:dyDescent="0.35">
      <c r="A1001">
        <v>3.2020599999999999</v>
      </c>
      <c r="B1001">
        <f t="shared" si="26"/>
        <v>3202.06</v>
      </c>
      <c r="C1001">
        <v>0.39615699999999998</v>
      </c>
      <c r="D1001">
        <f t="shared" si="27"/>
        <v>0.33673344999999999</v>
      </c>
    </row>
    <row r="1002" spans="1:4" x14ac:dyDescent="0.35">
      <c r="A1002">
        <v>3.20404</v>
      </c>
      <c r="B1002">
        <f t="shared" si="26"/>
        <v>3204.04</v>
      </c>
      <c r="C1002">
        <v>0.396928</v>
      </c>
      <c r="D1002">
        <f t="shared" si="27"/>
        <v>0.33738879999999999</v>
      </c>
    </row>
    <row r="1003" spans="1:4" x14ac:dyDescent="0.35">
      <c r="A1003">
        <v>3.2060200000000001</v>
      </c>
      <c r="B1003">
        <f t="shared" si="26"/>
        <v>3206.02</v>
      </c>
      <c r="C1003">
        <v>0.39751900000000001</v>
      </c>
      <c r="D1003">
        <f t="shared" si="27"/>
        <v>0.33789114999999997</v>
      </c>
    </row>
    <row r="1004" spans="1:4" x14ac:dyDescent="0.35">
      <c r="A1004">
        <v>3.2080000000000002</v>
      </c>
      <c r="B1004">
        <f t="shared" si="26"/>
        <v>3208</v>
      </c>
      <c r="C1004">
        <v>0.39834900000000001</v>
      </c>
      <c r="D1004">
        <f t="shared" si="27"/>
        <v>0.33859665</v>
      </c>
    </row>
    <row r="1005" spans="1:4" x14ac:dyDescent="0.35">
      <c r="A1005">
        <v>3.2099899999999999</v>
      </c>
      <c r="B1005">
        <f t="shared" si="26"/>
        <v>3209.99</v>
      </c>
      <c r="C1005">
        <v>0.39927499999999999</v>
      </c>
      <c r="D1005">
        <f t="shared" si="27"/>
        <v>0.33938374999999998</v>
      </c>
    </row>
    <row r="1006" spans="1:4" x14ac:dyDescent="0.35">
      <c r="A1006">
        <v>3.2119800000000001</v>
      </c>
      <c r="B1006">
        <f t="shared" si="26"/>
        <v>3211.98</v>
      </c>
      <c r="C1006">
        <v>0.39989799999999998</v>
      </c>
      <c r="D1006">
        <f t="shared" si="27"/>
        <v>0.33991329999999997</v>
      </c>
    </row>
    <row r="1007" spans="1:4" x14ac:dyDescent="0.35">
      <c r="A1007">
        <v>3.2139700000000002</v>
      </c>
      <c r="B1007">
        <f t="shared" si="26"/>
        <v>3213.9700000000003</v>
      </c>
      <c r="C1007">
        <v>0.40059600000000001</v>
      </c>
      <c r="D1007">
        <f t="shared" si="27"/>
        <v>0.34050659999999999</v>
      </c>
    </row>
    <row r="1008" spans="1:4" x14ac:dyDescent="0.35">
      <c r="A1008">
        <v>3.2159599999999999</v>
      </c>
      <c r="B1008">
        <f t="shared" si="26"/>
        <v>3215.96</v>
      </c>
      <c r="C1008">
        <v>0.40151900000000001</v>
      </c>
      <c r="D1008">
        <f t="shared" si="27"/>
        <v>0.34129114999999999</v>
      </c>
    </row>
    <row r="1009" spans="1:4" x14ac:dyDescent="0.35">
      <c r="A1009">
        <v>3.2179600000000002</v>
      </c>
      <c r="B1009">
        <f t="shared" si="26"/>
        <v>3217.96</v>
      </c>
      <c r="C1009">
        <v>0.40236899999999998</v>
      </c>
      <c r="D1009">
        <f t="shared" si="27"/>
        <v>0.34201364999999995</v>
      </c>
    </row>
    <row r="1010" spans="1:4" x14ac:dyDescent="0.35">
      <c r="A1010">
        <v>3.2199599999999999</v>
      </c>
      <c r="B1010">
        <f t="shared" si="26"/>
        <v>3219.96</v>
      </c>
      <c r="C1010">
        <v>0.4032</v>
      </c>
      <c r="D1010">
        <f t="shared" si="27"/>
        <v>0.34271999999999997</v>
      </c>
    </row>
    <row r="1011" spans="1:4" x14ac:dyDescent="0.35">
      <c r="A1011">
        <v>3.2219600000000002</v>
      </c>
      <c r="B1011">
        <f t="shared" si="26"/>
        <v>3221.96</v>
      </c>
      <c r="C1011">
        <v>0.40383799999999997</v>
      </c>
      <c r="D1011">
        <f t="shared" si="27"/>
        <v>0.34326229999999996</v>
      </c>
    </row>
    <row r="1012" spans="1:4" x14ac:dyDescent="0.35">
      <c r="A1012">
        <v>3.2239599999999999</v>
      </c>
      <c r="B1012">
        <f t="shared" si="26"/>
        <v>3223.96</v>
      </c>
      <c r="C1012">
        <v>0.40474100000000002</v>
      </c>
      <c r="D1012">
        <f t="shared" si="27"/>
        <v>0.34402985000000003</v>
      </c>
    </row>
    <row r="1013" spans="1:4" x14ac:dyDescent="0.35">
      <c r="A1013">
        <v>3.2259699999999998</v>
      </c>
      <c r="B1013">
        <f t="shared" si="26"/>
        <v>3225.97</v>
      </c>
      <c r="C1013">
        <v>0.40573700000000001</v>
      </c>
      <c r="D1013">
        <f t="shared" si="27"/>
        <v>0.34487645</v>
      </c>
    </row>
    <row r="1014" spans="1:4" x14ac:dyDescent="0.35">
      <c r="A1014">
        <v>3.2279800000000001</v>
      </c>
      <c r="B1014">
        <f t="shared" si="26"/>
        <v>3227.98</v>
      </c>
      <c r="C1014">
        <v>0.40626499999999999</v>
      </c>
      <c r="D1014">
        <f t="shared" si="27"/>
        <v>0.34532524999999997</v>
      </c>
    </row>
    <row r="1015" spans="1:4" x14ac:dyDescent="0.35">
      <c r="A1015">
        <v>3.2299899999999999</v>
      </c>
      <c r="B1015">
        <f t="shared" si="26"/>
        <v>3229.99</v>
      </c>
      <c r="C1015">
        <v>0.40692800000000001</v>
      </c>
      <c r="D1015">
        <f t="shared" si="27"/>
        <v>0.3458888</v>
      </c>
    </row>
    <row r="1016" spans="1:4" x14ac:dyDescent="0.35">
      <c r="A1016">
        <v>3.2320000000000002</v>
      </c>
      <c r="B1016">
        <f t="shared" si="26"/>
        <v>3232</v>
      </c>
      <c r="C1016">
        <v>0.407947</v>
      </c>
      <c r="D1016">
        <f t="shared" si="27"/>
        <v>0.34675495000000001</v>
      </c>
    </row>
    <row r="1017" spans="1:4" x14ac:dyDescent="0.35">
      <c r="A1017">
        <v>3.2340200000000001</v>
      </c>
      <c r="B1017">
        <f t="shared" si="26"/>
        <v>3234.02</v>
      </c>
      <c r="C1017">
        <v>0.40858800000000001</v>
      </c>
      <c r="D1017">
        <f t="shared" si="27"/>
        <v>0.34729979999999999</v>
      </c>
    </row>
    <row r="1018" spans="1:4" x14ac:dyDescent="0.35">
      <c r="A1018">
        <v>3.23604</v>
      </c>
      <c r="B1018">
        <f t="shared" si="26"/>
        <v>3236.04</v>
      </c>
      <c r="C1018">
        <v>0.40898200000000001</v>
      </c>
      <c r="D1018">
        <f t="shared" si="27"/>
        <v>0.34763470000000002</v>
      </c>
    </row>
    <row r="1019" spans="1:4" x14ac:dyDescent="0.35">
      <c r="A1019">
        <v>3.2380599999999999</v>
      </c>
      <c r="B1019">
        <f t="shared" si="26"/>
        <v>3238.06</v>
      </c>
      <c r="C1019">
        <v>0.409804</v>
      </c>
      <c r="D1019">
        <f t="shared" si="27"/>
        <v>0.34833340000000002</v>
      </c>
    </row>
    <row r="1020" spans="1:4" x14ac:dyDescent="0.35">
      <c r="A1020">
        <v>3.2400799999999998</v>
      </c>
      <c r="B1020">
        <f t="shared" si="26"/>
        <v>3240.08</v>
      </c>
      <c r="C1020">
        <v>0.41076299999999999</v>
      </c>
      <c r="D1020">
        <f t="shared" si="27"/>
        <v>0.34914855</v>
      </c>
    </row>
    <row r="1021" spans="1:4" x14ac:dyDescent="0.35">
      <c r="A1021">
        <v>3.2421099999999998</v>
      </c>
      <c r="B1021">
        <f t="shared" si="26"/>
        <v>3242.1099999999997</v>
      </c>
      <c r="C1021">
        <v>0.41155900000000001</v>
      </c>
      <c r="D1021">
        <f t="shared" si="27"/>
        <v>0.34982514999999997</v>
      </c>
    </row>
    <row r="1022" spans="1:4" x14ac:dyDescent="0.35">
      <c r="A1022">
        <v>3.2441399999999998</v>
      </c>
      <c r="B1022">
        <f t="shared" si="26"/>
        <v>3244.14</v>
      </c>
      <c r="C1022">
        <v>0.41229399999999999</v>
      </c>
      <c r="D1022">
        <f t="shared" si="27"/>
        <v>0.35044989999999998</v>
      </c>
    </row>
    <row r="1023" spans="1:4" x14ac:dyDescent="0.35">
      <c r="A1023">
        <v>3.2461700000000002</v>
      </c>
      <c r="B1023">
        <f t="shared" si="26"/>
        <v>3246.17</v>
      </c>
      <c r="C1023">
        <v>0.41306399999999999</v>
      </c>
      <c r="D1023">
        <f t="shared" si="27"/>
        <v>0.35110439999999998</v>
      </c>
    </row>
    <row r="1024" spans="1:4" x14ac:dyDescent="0.35">
      <c r="A1024">
        <v>3.2482000000000002</v>
      </c>
      <c r="B1024">
        <f t="shared" si="26"/>
        <v>3248.2000000000003</v>
      </c>
      <c r="C1024">
        <v>0.41367999999999999</v>
      </c>
      <c r="D1024">
        <f t="shared" si="27"/>
        <v>0.351628</v>
      </c>
    </row>
    <row r="1025" spans="1:4" x14ac:dyDescent="0.35">
      <c r="A1025">
        <v>3.2502399999999998</v>
      </c>
      <c r="B1025">
        <f t="shared" si="26"/>
        <v>3250.24</v>
      </c>
      <c r="C1025">
        <v>0.41414200000000001</v>
      </c>
      <c r="D1025">
        <f t="shared" si="27"/>
        <v>0.35202070000000002</v>
      </c>
    </row>
    <row r="1026" spans="1:4" x14ac:dyDescent="0.35">
      <c r="A1026">
        <v>3.2522799999999998</v>
      </c>
      <c r="B1026">
        <f t="shared" si="26"/>
        <v>3252.2799999999997</v>
      </c>
      <c r="C1026">
        <v>0.41460399999999997</v>
      </c>
      <c r="D1026">
        <f t="shared" si="27"/>
        <v>0.35241339999999999</v>
      </c>
    </row>
    <row r="1027" spans="1:4" x14ac:dyDescent="0.35">
      <c r="A1027">
        <v>3.2543199999999999</v>
      </c>
      <c r="B1027">
        <f t="shared" si="26"/>
        <v>3254.3199999999997</v>
      </c>
      <c r="C1027">
        <v>0.41513100000000003</v>
      </c>
      <c r="D1027">
        <f t="shared" si="27"/>
        <v>0.35286135000000002</v>
      </c>
    </row>
    <row r="1028" spans="1:4" x14ac:dyDescent="0.35">
      <c r="A1028">
        <v>3.25637</v>
      </c>
      <c r="B1028">
        <f t="shared" si="26"/>
        <v>3256.37</v>
      </c>
      <c r="C1028">
        <v>0.415628</v>
      </c>
      <c r="D1028">
        <f t="shared" si="27"/>
        <v>0.35328379999999998</v>
      </c>
    </row>
    <row r="1029" spans="1:4" x14ac:dyDescent="0.35">
      <c r="A1029">
        <v>3.25841</v>
      </c>
      <c r="B1029">
        <f t="shared" si="26"/>
        <v>3258.41</v>
      </c>
      <c r="C1029">
        <v>0.41635299999999997</v>
      </c>
      <c r="D1029">
        <f t="shared" si="27"/>
        <v>0.35390004999999997</v>
      </c>
    </row>
    <row r="1030" spans="1:4" x14ac:dyDescent="0.35">
      <c r="A1030">
        <v>3.2604600000000001</v>
      </c>
      <c r="B1030">
        <f t="shared" si="26"/>
        <v>3260.46</v>
      </c>
      <c r="C1030">
        <v>0.417211</v>
      </c>
      <c r="D1030">
        <f t="shared" si="27"/>
        <v>0.35462935000000001</v>
      </c>
    </row>
    <row r="1031" spans="1:4" x14ac:dyDescent="0.35">
      <c r="A1031">
        <v>3.2625099999999998</v>
      </c>
      <c r="B1031">
        <f t="shared" si="26"/>
        <v>3262.5099999999998</v>
      </c>
      <c r="C1031">
        <v>0.418211</v>
      </c>
      <c r="D1031">
        <f t="shared" si="27"/>
        <v>0.35547934999999997</v>
      </c>
    </row>
    <row r="1032" spans="1:4" x14ac:dyDescent="0.35">
      <c r="A1032">
        <v>3.26457</v>
      </c>
      <c r="B1032">
        <f t="shared" si="26"/>
        <v>3264.57</v>
      </c>
      <c r="C1032">
        <v>0.41898299999999999</v>
      </c>
      <c r="D1032">
        <f t="shared" si="27"/>
        <v>0.35613554999999997</v>
      </c>
    </row>
    <row r="1033" spans="1:4" x14ac:dyDescent="0.35">
      <c r="A1033">
        <v>3.2666300000000001</v>
      </c>
      <c r="B1033">
        <f t="shared" si="26"/>
        <v>3266.63</v>
      </c>
      <c r="C1033">
        <v>0.41952600000000001</v>
      </c>
      <c r="D1033">
        <f t="shared" si="27"/>
        <v>0.3565971</v>
      </c>
    </row>
    <row r="1034" spans="1:4" x14ac:dyDescent="0.35">
      <c r="A1034">
        <v>3.2686899999999999</v>
      </c>
      <c r="B1034">
        <f t="shared" si="26"/>
        <v>3268.69</v>
      </c>
      <c r="C1034">
        <v>0.420186</v>
      </c>
      <c r="D1034">
        <f t="shared" si="27"/>
        <v>0.35715809999999998</v>
      </c>
    </row>
    <row r="1035" spans="1:4" x14ac:dyDescent="0.35">
      <c r="A1035">
        <v>3.27075</v>
      </c>
      <c r="B1035">
        <f t="shared" ref="B1035:B1098" si="28">A1035*1000</f>
        <v>3270.75</v>
      </c>
      <c r="C1035">
        <v>0.42069800000000002</v>
      </c>
      <c r="D1035">
        <f t="shared" ref="D1035:D1098" si="29">C1035*$D$137</f>
        <v>0.3575933</v>
      </c>
    </row>
    <row r="1036" spans="1:4" x14ac:dyDescent="0.35">
      <c r="A1036">
        <v>3.2728100000000002</v>
      </c>
      <c r="B1036">
        <f t="shared" si="28"/>
        <v>3272.8100000000004</v>
      </c>
      <c r="C1036">
        <v>0.42132999999999998</v>
      </c>
      <c r="D1036">
        <f t="shared" si="29"/>
        <v>0.35813049999999996</v>
      </c>
    </row>
    <row r="1037" spans="1:4" x14ac:dyDescent="0.35">
      <c r="A1037">
        <v>3.27488</v>
      </c>
      <c r="B1037">
        <f t="shared" si="28"/>
        <v>3274.88</v>
      </c>
      <c r="C1037">
        <v>0.42211700000000002</v>
      </c>
      <c r="D1037">
        <f t="shared" si="29"/>
        <v>0.35879945000000002</v>
      </c>
    </row>
    <row r="1038" spans="1:4" x14ac:dyDescent="0.35">
      <c r="A1038">
        <v>3.2769499999999998</v>
      </c>
      <c r="B1038">
        <f t="shared" si="28"/>
        <v>3276.95</v>
      </c>
      <c r="C1038">
        <v>0.42287200000000003</v>
      </c>
      <c r="D1038">
        <f t="shared" si="29"/>
        <v>0.35944120000000002</v>
      </c>
    </row>
    <row r="1039" spans="1:4" x14ac:dyDescent="0.35">
      <c r="A1039">
        <v>3.27902</v>
      </c>
      <c r="B1039">
        <f t="shared" si="28"/>
        <v>3279.02</v>
      </c>
      <c r="C1039">
        <v>0.423483</v>
      </c>
      <c r="D1039">
        <f t="shared" si="29"/>
        <v>0.35996054999999999</v>
      </c>
    </row>
    <row r="1040" spans="1:4" x14ac:dyDescent="0.35">
      <c r="A1040">
        <v>3.2810999999999999</v>
      </c>
      <c r="B1040">
        <f t="shared" si="28"/>
        <v>3281.1</v>
      </c>
      <c r="C1040">
        <v>0.42429499999999998</v>
      </c>
      <c r="D1040">
        <f t="shared" si="29"/>
        <v>0.36065074999999996</v>
      </c>
    </row>
    <row r="1041" spans="1:4" x14ac:dyDescent="0.35">
      <c r="A1041">
        <v>3.2831800000000002</v>
      </c>
      <c r="B1041">
        <f t="shared" si="28"/>
        <v>3283.1800000000003</v>
      </c>
      <c r="C1041">
        <v>0.42517100000000002</v>
      </c>
      <c r="D1041">
        <f t="shared" si="29"/>
        <v>0.36139535</v>
      </c>
    </row>
    <row r="1042" spans="1:4" x14ac:dyDescent="0.35">
      <c r="A1042">
        <v>3.2852600000000001</v>
      </c>
      <c r="B1042">
        <f t="shared" si="28"/>
        <v>3285.26</v>
      </c>
      <c r="C1042">
        <v>0.42574600000000001</v>
      </c>
      <c r="D1042">
        <f t="shared" si="29"/>
        <v>0.36188409999999999</v>
      </c>
    </row>
    <row r="1043" spans="1:4" x14ac:dyDescent="0.35">
      <c r="A1043">
        <v>3.2873399999999999</v>
      </c>
      <c r="B1043">
        <f t="shared" si="28"/>
        <v>3287.34</v>
      </c>
      <c r="C1043">
        <v>0.42626999999999998</v>
      </c>
      <c r="D1043">
        <f t="shared" si="29"/>
        <v>0.36232949999999997</v>
      </c>
    </row>
    <row r="1044" spans="1:4" x14ac:dyDescent="0.35">
      <c r="A1044">
        <v>3.2894299999999999</v>
      </c>
      <c r="B1044">
        <f t="shared" si="28"/>
        <v>3289.43</v>
      </c>
      <c r="C1044">
        <v>0.42708800000000002</v>
      </c>
      <c r="D1044">
        <f t="shared" si="29"/>
        <v>0.36302480000000004</v>
      </c>
    </row>
    <row r="1045" spans="1:4" x14ac:dyDescent="0.35">
      <c r="A1045">
        <v>3.2915100000000002</v>
      </c>
      <c r="B1045">
        <f t="shared" si="28"/>
        <v>3291.51</v>
      </c>
      <c r="C1045">
        <v>0.428116</v>
      </c>
      <c r="D1045">
        <f t="shared" si="29"/>
        <v>0.36389859999999996</v>
      </c>
    </row>
    <row r="1046" spans="1:4" x14ac:dyDescent="0.35">
      <c r="A1046">
        <v>3.2936100000000001</v>
      </c>
      <c r="B1046">
        <f t="shared" si="28"/>
        <v>3293.61</v>
      </c>
      <c r="C1046">
        <v>0.429031</v>
      </c>
      <c r="D1046">
        <f t="shared" si="29"/>
        <v>0.36467634999999998</v>
      </c>
    </row>
    <row r="1047" spans="1:4" x14ac:dyDescent="0.35">
      <c r="A1047">
        <v>3.2957000000000001</v>
      </c>
      <c r="B1047">
        <f t="shared" si="28"/>
        <v>3295.7000000000003</v>
      </c>
      <c r="C1047">
        <v>0.42967100000000003</v>
      </c>
      <c r="D1047">
        <f t="shared" si="29"/>
        <v>0.36522035000000003</v>
      </c>
    </row>
    <row r="1048" spans="1:4" x14ac:dyDescent="0.35">
      <c r="A1048">
        <v>3.2978000000000001</v>
      </c>
      <c r="B1048">
        <f t="shared" si="28"/>
        <v>3297.8</v>
      </c>
      <c r="C1048">
        <v>0.430257</v>
      </c>
      <c r="D1048">
        <f t="shared" si="29"/>
        <v>0.36571844999999997</v>
      </c>
    </row>
    <row r="1049" spans="1:4" x14ac:dyDescent="0.35">
      <c r="A1049">
        <v>3.2999000000000001</v>
      </c>
      <c r="B1049">
        <f t="shared" si="28"/>
        <v>3299.9</v>
      </c>
      <c r="C1049">
        <v>0.43114400000000003</v>
      </c>
      <c r="D1049">
        <f t="shared" si="29"/>
        <v>0.36647240000000003</v>
      </c>
    </row>
    <row r="1050" spans="1:4" x14ac:dyDescent="0.35">
      <c r="A1050">
        <v>3.302</v>
      </c>
      <c r="B1050">
        <f t="shared" si="28"/>
        <v>3302</v>
      </c>
      <c r="C1050">
        <v>0.43193900000000002</v>
      </c>
      <c r="D1050">
        <f t="shared" si="29"/>
        <v>0.36714815000000001</v>
      </c>
    </row>
    <row r="1051" spans="1:4" x14ac:dyDescent="0.35">
      <c r="A1051">
        <v>3.3041</v>
      </c>
      <c r="B1051">
        <f t="shared" si="28"/>
        <v>3304.1</v>
      </c>
      <c r="C1051">
        <v>0.43270199999999998</v>
      </c>
      <c r="D1051">
        <f t="shared" si="29"/>
        <v>0.36779669999999998</v>
      </c>
    </row>
    <row r="1052" spans="1:4" x14ac:dyDescent="0.35">
      <c r="A1052">
        <v>3.3062100000000001</v>
      </c>
      <c r="B1052">
        <f t="shared" si="28"/>
        <v>3306.21</v>
      </c>
      <c r="C1052">
        <v>0.43334400000000001</v>
      </c>
      <c r="D1052">
        <f t="shared" si="29"/>
        <v>0.36834240000000001</v>
      </c>
    </row>
    <row r="1053" spans="1:4" x14ac:dyDescent="0.35">
      <c r="A1053">
        <v>3.3083200000000001</v>
      </c>
      <c r="B1053">
        <f t="shared" si="28"/>
        <v>3308.32</v>
      </c>
      <c r="C1053">
        <v>0.43406400000000001</v>
      </c>
      <c r="D1053">
        <f t="shared" si="29"/>
        <v>0.36895440000000002</v>
      </c>
    </row>
    <row r="1054" spans="1:4" x14ac:dyDescent="0.35">
      <c r="A1054">
        <v>3.3104300000000002</v>
      </c>
      <c r="B1054">
        <f t="shared" si="28"/>
        <v>3310.4300000000003</v>
      </c>
      <c r="C1054">
        <v>0.43471300000000002</v>
      </c>
      <c r="D1054">
        <f t="shared" si="29"/>
        <v>0.36950605000000003</v>
      </c>
    </row>
    <row r="1055" spans="1:4" x14ac:dyDescent="0.35">
      <c r="A1055">
        <v>3.3125499999999999</v>
      </c>
      <c r="B1055">
        <f t="shared" si="28"/>
        <v>3312.5499999999997</v>
      </c>
      <c r="C1055">
        <v>0.43531700000000001</v>
      </c>
      <c r="D1055">
        <f t="shared" si="29"/>
        <v>0.37001944999999997</v>
      </c>
    </row>
    <row r="1056" spans="1:4" x14ac:dyDescent="0.35">
      <c r="A1056">
        <v>3.3146599999999999</v>
      </c>
      <c r="B1056">
        <f t="shared" si="28"/>
        <v>3314.66</v>
      </c>
      <c r="C1056">
        <v>0.43593100000000001</v>
      </c>
      <c r="D1056">
        <f t="shared" si="29"/>
        <v>0.37054134999999999</v>
      </c>
    </row>
    <row r="1057" spans="1:4" x14ac:dyDescent="0.35">
      <c r="A1057">
        <v>3.3167900000000001</v>
      </c>
      <c r="B1057">
        <f t="shared" si="28"/>
        <v>3316.79</v>
      </c>
      <c r="C1057">
        <v>0.436695</v>
      </c>
      <c r="D1057">
        <f t="shared" si="29"/>
        <v>0.37119075000000001</v>
      </c>
    </row>
    <row r="1058" spans="1:4" x14ac:dyDescent="0.35">
      <c r="A1058">
        <v>3.3189099999999998</v>
      </c>
      <c r="B1058">
        <f t="shared" si="28"/>
        <v>3318.91</v>
      </c>
      <c r="C1058">
        <v>0.43747399999999997</v>
      </c>
      <c r="D1058">
        <f t="shared" si="29"/>
        <v>0.37185289999999999</v>
      </c>
    </row>
    <row r="1059" spans="1:4" x14ac:dyDescent="0.35">
      <c r="A1059">
        <v>3.3210299999999999</v>
      </c>
      <c r="B1059">
        <f t="shared" si="28"/>
        <v>3321.0299999999997</v>
      </c>
      <c r="C1059">
        <v>0.43792599999999998</v>
      </c>
      <c r="D1059">
        <f t="shared" si="29"/>
        <v>0.37223709999999999</v>
      </c>
    </row>
    <row r="1060" spans="1:4" x14ac:dyDescent="0.35">
      <c r="A1060">
        <v>3.3231600000000001</v>
      </c>
      <c r="B1060">
        <f t="shared" si="28"/>
        <v>3323.1600000000003</v>
      </c>
      <c r="C1060">
        <v>0.438633</v>
      </c>
      <c r="D1060">
        <f t="shared" si="29"/>
        <v>0.37283804999999998</v>
      </c>
    </row>
    <row r="1061" spans="1:4" x14ac:dyDescent="0.35">
      <c r="A1061">
        <v>3.3252899999999999</v>
      </c>
      <c r="B1061">
        <f t="shared" si="28"/>
        <v>3325.29</v>
      </c>
      <c r="C1061">
        <v>0.439388</v>
      </c>
      <c r="D1061">
        <f t="shared" si="29"/>
        <v>0.37347979999999997</v>
      </c>
    </row>
    <row r="1062" spans="1:4" x14ac:dyDescent="0.35">
      <c r="A1062">
        <v>3.3274300000000001</v>
      </c>
      <c r="B1062">
        <f t="shared" si="28"/>
        <v>3327.4300000000003</v>
      </c>
      <c r="C1062">
        <v>0.44010100000000002</v>
      </c>
      <c r="D1062">
        <f t="shared" si="29"/>
        <v>0.37408585</v>
      </c>
    </row>
    <row r="1063" spans="1:4" x14ac:dyDescent="0.35">
      <c r="A1063">
        <v>3.3295699999999999</v>
      </c>
      <c r="B1063">
        <f t="shared" si="28"/>
        <v>3329.5699999999997</v>
      </c>
      <c r="C1063">
        <v>0.44091399999999997</v>
      </c>
      <c r="D1063">
        <f t="shared" si="29"/>
        <v>0.37477689999999997</v>
      </c>
    </row>
    <row r="1064" spans="1:4" x14ac:dyDescent="0.35">
      <c r="A1064">
        <v>3.3317100000000002</v>
      </c>
      <c r="B1064">
        <f t="shared" si="28"/>
        <v>3331.71</v>
      </c>
      <c r="C1064">
        <v>0.44171300000000002</v>
      </c>
      <c r="D1064">
        <f t="shared" si="29"/>
        <v>0.37545604999999999</v>
      </c>
    </row>
    <row r="1065" spans="1:4" x14ac:dyDescent="0.35">
      <c r="A1065">
        <v>3.33385</v>
      </c>
      <c r="B1065">
        <f t="shared" si="28"/>
        <v>3333.85</v>
      </c>
      <c r="C1065">
        <v>0.44236599999999998</v>
      </c>
      <c r="D1065">
        <f t="shared" si="29"/>
        <v>0.37601109999999999</v>
      </c>
    </row>
    <row r="1066" spans="1:4" x14ac:dyDescent="0.35">
      <c r="A1066">
        <v>3.3359899999999998</v>
      </c>
      <c r="B1066">
        <f t="shared" si="28"/>
        <v>3335.99</v>
      </c>
      <c r="C1066">
        <v>0.44294</v>
      </c>
      <c r="D1066">
        <f t="shared" si="29"/>
        <v>0.37649899999999997</v>
      </c>
    </row>
    <row r="1067" spans="1:4" x14ac:dyDescent="0.35">
      <c r="A1067">
        <v>3.3381400000000001</v>
      </c>
      <c r="B1067">
        <f t="shared" si="28"/>
        <v>3338.1400000000003</v>
      </c>
      <c r="C1067">
        <v>0.44347999999999999</v>
      </c>
      <c r="D1067">
        <f t="shared" si="29"/>
        <v>0.37695799999999996</v>
      </c>
    </row>
    <row r="1068" spans="1:4" x14ac:dyDescent="0.35">
      <c r="A1068">
        <v>3.34029</v>
      </c>
      <c r="B1068">
        <f t="shared" si="28"/>
        <v>3340.29</v>
      </c>
      <c r="C1068">
        <v>0.44402700000000001</v>
      </c>
      <c r="D1068">
        <f t="shared" si="29"/>
        <v>0.37742294999999998</v>
      </c>
    </row>
    <row r="1069" spans="1:4" x14ac:dyDescent="0.35">
      <c r="A1069">
        <v>3.3424499999999999</v>
      </c>
      <c r="B1069">
        <f t="shared" si="28"/>
        <v>3342.45</v>
      </c>
      <c r="C1069">
        <v>0.44495699999999999</v>
      </c>
      <c r="D1069">
        <f t="shared" si="29"/>
        <v>0.37821345000000001</v>
      </c>
    </row>
    <row r="1070" spans="1:4" x14ac:dyDescent="0.35">
      <c r="A1070">
        <v>3.3445999999999998</v>
      </c>
      <c r="B1070">
        <f t="shared" si="28"/>
        <v>3344.6</v>
      </c>
      <c r="C1070">
        <v>0.44555800000000001</v>
      </c>
      <c r="D1070">
        <f t="shared" si="29"/>
        <v>0.37872430000000001</v>
      </c>
    </row>
    <row r="1071" spans="1:4" x14ac:dyDescent="0.35">
      <c r="A1071">
        <v>3.3467600000000002</v>
      </c>
      <c r="B1071">
        <f t="shared" si="28"/>
        <v>3346.76</v>
      </c>
      <c r="C1071">
        <v>0.445988</v>
      </c>
      <c r="D1071">
        <f t="shared" si="29"/>
        <v>0.37908979999999998</v>
      </c>
    </row>
    <row r="1072" spans="1:4" x14ac:dyDescent="0.35">
      <c r="A1072">
        <v>3.3489200000000001</v>
      </c>
      <c r="B1072">
        <f t="shared" si="28"/>
        <v>3348.92</v>
      </c>
      <c r="C1072">
        <v>0.446658</v>
      </c>
      <c r="D1072">
        <f t="shared" si="29"/>
        <v>0.37965929999999998</v>
      </c>
    </row>
    <row r="1073" spans="1:4" x14ac:dyDescent="0.35">
      <c r="A1073">
        <v>3.3510900000000001</v>
      </c>
      <c r="B1073">
        <f t="shared" si="28"/>
        <v>3351.09</v>
      </c>
      <c r="C1073">
        <v>0.44739699999999999</v>
      </c>
      <c r="D1073">
        <f t="shared" si="29"/>
        <v>0.38028744999999997</v>
      </c>
    </row>
    <row r="1074" spans="1:4" x14ac:dyDescent="0.35">
      <c r="A1074">
        <v>3.3532600000000001</v>
      </c>
      <c r="B1074">
        <f t="shared" si="28"/>
        <v>3353.26</v>
      </c>
      <c r="C1074">
        <v>0.44782499999999997</v>
      </c>
      <c r="D1074">
        <f t="shared" si="29"/>
        <v>0.38065124999999994</v>
      </c>
    </row>
    <row r="1075" spans="1:4" x14ac:dyDescent="0.35">
      <c r="A1075">
        <v>3.3554300000000001</v>
      </c>
      <c r="B1075">
        <f t="shared" si="28"/>
        <v>3355.4300000000003</v>
      </c>
      <c r="C1075">
        <v>0.44823499999999999</v>
      </c>
      <c r="D1075">
        <f t="shared" si="29"/>
        <v>0.38099974999999997</v>
      </c>
    </row>
    <row r="1076" spans="1:4" x14ac:dyDescent="0.35">
      <c r="A1076">
        <v>3.3576000000000001</v>
      </c>
      <c r="B1076">
        <f t="shared" si="28"/>
        <v>3357.6000000000004</v>
      </c>
      <c r="C1076">
        <v>0.44878099999999999</v>
      </c>
      <c r="D1076">
        <f t="shared" si="29"/>
        <v>0.38146384999999999</v>
      </c>
    </row>
    <row r="1077" spans="1:4" x14ac:dyDescent="0.35">
      <c r="A1077">
        <v>3.3597800000000002</v>
      </c>
      <c r="B1077">
        <f t="shared" si="28"/>
        <v>3359.78</v>
      </c>
      <c r="C1077">
        <v>0.449297</v>
      </c>
      <c r="D1077">
        <f t="shared" si="29"/>
        <v>0.38190245</v>
      </c>
    </row>
    <row r="1078" spans="1:4" x14ac:dyDescent="0.35">
      <c r="A1078">
        <v>3.3619599999999998</v>
      </c>
      <c r="B1078">
        <f t="shared" si="28"/>
        <v>3361.96</v>
      </c>
      <c r="C1078">
        <v>0.44975900000000002</v>
      </c>
      <c r="D1078">
        <f t="shared" si="29"/>
        <v>0.38229515000000003</v>
      </c>
    </row>
    <row r="1079" spans="1:4" x14ac:dyDescent="0.35">
      <c r="A1079">
        <v>3.3641399999999999</v>
      </c>
      <c r="B1079">
        <f t="shared" si="28"/>
        <v>3364.14</v>
      </c>
      <c r="C1079">
        <v>0.44991599999999998</v>
      </c>
      <c r="D1079">
        <f t="shared" si="29"/>
        <v>0.38242859999999995</v>
      </c>
    </row>
    <row r="1080" spans="1:4" x14ac:dyDescent="0.35">
      <c r="A1080">
        <v>3.36632</v>
      </c>
      <c r="B1080">
        <f t="shared" si="28"/>
        <v>3366.32</v>
      </c>
      <c r="C1080">
        <v>0.44998500000000002</v>
      </c>
      <c r="D1080">
        <f t="shared" si="29"/>
        <v>0.38248725</v>
      </c>
    </row>
    <row r="1081" spans="1:4" x14ac:dyDescent="0.35">
      <c r="A1081">
        <v>3.3685100000000001</v>
      </c>
      <c r="B1081">
        <f t="shared" si="28"/>
        <v>3368.51</v>
      </c>
      <c r="C1081">
        <v>0.45018000000000002</v>
      </c>
      <c r="D1081">
        <f t="shared" si="29"/>
        <v>0.38265300000000002</v>
      </c>
    </row>
    <row r="1082" spans="1:4" x14ac:dyDescent="0.35">
      <c r="A1082">
        <v>3.3706999999999998</v>
      </c>
      <c r="B1082">
        <f t="shared" si="28"/>
        <v>3370.7</v>
      </c>
      <c r="C1082">
        <v>0.45019100000000001</v>
      </c>
      <c r="D1082">
        <f t="shared" si="29"/>
        <v>0.38266234999999998</v>
      </c>
    </row>
    <row r="1083" spans="1:4" x14ac:dyDescent="0.35">
      <c r="A1083">
        <v>3.3728899999999999</v>
      </c>
      <c r="B1083">
        <f t="shared" si="28"/>
        <v>3372.89</v>
      </c>
      <c r="C1083">
        <v>0.45030199999999998</v>
      </c>
      <c r="D1083">
        <f t="shared" si="29"/>
        <v>0.38275669999999995</v>
      </c>
    </row>
    <row r="1084" spans="1:4" x14ac:dyDescent="0.35">
      <c r="A1084">
        <v>3.3750900000000001</v>
      </c>
      <c r="B1084">
        <f t="shared" si="28"/>
        <v>3375.09</v>
      </c>
      <c r="C1084">
        <v>0.45092900000000002</v>
      </c>
      <c r="D1084">
        <f t="shared" si="29"/>
        <v>0.38328965000000004</v>
      </c>
    </row>
    <row r="1085" spans="1:4" x14ac:dyDescent="0.35">
      <c r="A1085">
        <v>3.3772899999999999</v>
      </c>
      <c r="B1085">
        <f t="shared" si="28"/>
        <v>3377.29</v>
      </c>
      <c r="C1085">
        <v>0.45160699999999998</v>
      </c>
      <c r="D1085">
        <f t="shared" si="29"/>
        <v>0.38386594999999996</v>
      </c>
    </row>
    <row r="1086" spans="1:4" x14ac:dyDescent="0.35">
      <c r="A1086">
        <v>3.3794900000000001</v>
      </c>
      <c r="B1086">
        <f t="shared" si="28"/>
        <v>3379.4900000000002</v>
      </c>
      <c r="C1086">
        <v>0.452177</v>
      </c>
      <c r="D1086">
        <f t="shared" si="29"/>
        <v>0.38435045000000001</v>
      </c>
    </row>
    <row r="1087" spans="1:4" x14ac:dyDescent="0.35">
      <c r="A1087">
        <v>3.3816899999999999</v>
      </c>
      <c r="B1087">
        <f t="shared" si="28"/>
        <v>3381.69</v>
      </c>
      <c r="C1087">
        <v>0.45272099999999998</v>
      </c>
      <c r="D1087">
        <f t="shared" si="29"/>
        <v>0.38481284999999998</v>
      </c>
    </row>
    <row r="1088" spans="1:4" x14ac:dyDescent="0.35">
      <c r="A1088">
        <v>3.3839000000000001</v>
      </c>
      <c r="B1088">
        <f t="shared" si="28"/>
        <v>3383.9</v>
      </c>
      <c r="C1088">
        <v>0.45327699999999999</v>
      </c>
      <c r="D1088">
        <f t="shared" si="29"/>
        <v>0.38528544999999997</v>
      </c>
    </row>
    <row r="1089" spans="1:4" x14ac:dyDescent="0.35">
      <c r="A1089">
        <v>3.38611</v>
      </c>
      <c r="B1089">
        <f t="shared" si="28"/>
        <v>3386.11</v>
      </c>
      <c r="C1089">
        <v>0.45380100000000001</v>
      </c>
      <c r="D1089">
        <f t="shared" si="29"/>
        <v>0.38573085000000001</v>
      </c>
    </row>
    <row r="1090" spans="1:4" x14ac:dyDescent="0.35">
      <c r="A1090">
        <v>3.3883200000000002</v>
      </c>
      <c r="B1090">
        <f t="shared" si="28"/>
        <v>3388.32</v>
      </c>
      <c r="C1090">
        <v>0.45423200000000002</v>
      </c>
      <c r="D1090">
        <f t="shared" si="29"/>
        <v>0.38609720000000003</v>
      </c>
    </row>
    <row r="1091" spans="1:4" x14ac:dyDescent="0.35">
      <c r="A1091">
        <v>3.3905400000000001</v>
      </c>
      <c r="B1091">
        <f t="shared" si="28"/>
        <v>3390.54</v>
      </c>
      <c r="C1091">
        <v>0.45454800000000001</v>
      </c>
      <c r="D1091">
        <f t="shared" si="29"/>
        <v>0.38636579999999998</v>
      </c>
    </row>
    <row r="1092" spans="1:4" x14ac:dyDescent="0.35">
      <c r="A1092">
        <v>3.39276</v>
      </c>
      <c r="B1092">
        <f t="shared" si="28"/>
        <v>3392.76</v>
      </c>
      <c r="C1092">
        <v>0.45496599999999998</v>
      </c>
      <c r="D1092">
        <f t="shared" si="29"/>
        <v>0.38672109999999998</v>
      </c>
    </row>
    <row r="1093" spans="1:4" x14ac:dyDescent="0.35">
      <c r="A1093">
        <v>3.3949799999999999</v>
      </c>
      <c r="B1093">
        <f t="shared" si="28"/>
        <v>3394.98</v>
      </c>
      <c r="C1093">
        <v>0.45528400000000002</v>
      </c>
      <c r="D1093">
        <f t="shared" si="29"/>
        <v>0.38699139999999999</v>
      </c>
    </row>
    <row r="1094" spans="1:4" x14ac:dyDescent="0.35">
      <c r="A1094">
        <v>3.3972099999999998</v>
      </c>
      <c r="B1094">
        <f t="shared" si="28"/>
        <v>3397.21</v>
      </c>
      <c r="C1094">
        <v>0.45538200000000001</v>
      </c>
      <c r="D1094">
        <f t="shared" si="29"/>
        <v>0.38707469999999999</v>
      </c>
    </row>
    <row r="1095" spans="1:4" x14ac:dyDescent="0.35">
      <c r="A1095">
        <v>3.3994300000000002</v>
      </c>
      <c r="B1095">
        <f t="shared" si="28"/>
        <v>3399.4300000000003</v>
      </c>
      <c r="C1095">
        <v>0.45564100000000002</v>
      </c>
      <c r="D1095">
        <f t="shared" si="29"/>
        <v>0.38729485000000002</v>
      </c>
    </row>
    <row r="1096" spans="1:4" x14ac:dyDescent="0.35">
      <c r="A1096">
        <v>3.4016600000000001</v>
      </c>
      <c r="B1096">
        <f t="shared" si="28"/>
        <v>3401.6600000000003</v>
      </c>
      <c r="C1096">
        <v>0.45568700000000001</v>
      </c>
      <c r="D1096">
        <f t="shared" si="29"/>
        <v>0.38733394999999998</v>
      </c>
    </row>
    <row r="1097" spans="1:4" x14ac:dyDescent="0.35">
      <c r="A1097">
        <v>3.4039000000000001</v>
      </c>
      <c r="B1097">
        <f t="shared" si="28"/>
        <v>3403.9</v>
      </c>
      <c r="C1097">
        <v>0.45524199999999998</v>
      </c>
      <c r="D1097">
        <f t="shared" si="29"/>
        <v>0.38695569999999996</v>
      </c>
    </row>
    <row r="1098" spans="1:4" x14ac:dyDescent="0.35">
      <c r="A1098">
        <v>3.4061300000000001</v>
      </c>
      <c r="B1098">
        <f t="shared" si="28"/>
        <v>3406.13</v>
      </c>
      <c r="C1098">
        <v>0.454924</v>
      </c>
      <c r="D1098">
        <f t="shared" si="29"/>
        <v>0.38668540000000001</v>
      </c>
    </row>
    <row r="1099" spans="1:4" x14ac:dyDescent="0.35">
      <c r="A1099">
        <v>3.4083700000000001</v>
      </c>
      <c r="B1099">
        <f t="shared" ref="B1099:B1162" si="30">A1099*1000</f>
        <v>3408.3700000000003</v>
      </c>
      <c r="C1099">
        <v>0.45500299999999999</v>
      </c>
      <c r="D1099">
        <f t="shared" ref="D1099:D1162" si="31">C1099*$D$137</f>
        <v>0.38675254999999997</v>
      </c>
    </row>
    <row r="1100" spans="1:4" x14ac:dyDescent="0.35">
      <c r="A1100">
        <v>3.4106100000000001</v>
      </c>
      <c r="B1100">
        <f t="shared" si="30"/>
        <v>3410.61</v>
      </c>
      <c r="C1100">
        <v>0.45495400000000003</v>
      </c>
      <c r="D1100">
        <f t="shared" si="31"/>
        <v>0.38671090000000002</v>
      </c>
    </row>
    <row r="1101" spans="1:4" x14ac:dyDescent="0.35">
      <c r="A1101">
        <v>3.4128599999999998</v>
      </c>
      <c r="B1101">
        <f t="shared" si="30"/>
        <v>3412.8599999999997</v>
      </c>
      <c r="C1101">
        <v>0.45508300000000002</v>
      </c>
      <c r="D1101">
        <f t="shared" si="31"/>
        <v>0.38682054999999999</v>
      </c>
    </row>
    <row r="1102" spans="1:4" x14ac:dyDescent="0.35">
      <c r="A1102">
        <v>3.4151099999999999</v>
      </c>
      <c r="B1102">
        <f t="shared" si="30"/>
        <v>3415.1099999999997</v>
      </c>
      <c r="C1102">
        <v>0.45547799999999999</v>
      </c>
      <c r="D1102">
        <f t="shared" si="31"/>
        <v>0.38715630000000001</v>
      </c>
    </row>
    <row r="1103" spans="1:4" x14ac:dyDescent="0.35">
      <c r="A1103">
        <v>3.41736</v>
      </c>
      <c r="B1103">
        <f t="shared" si="30"/>
        <v>3417.36</v>
      </c>
      <c r="C1103">
        <v>0.45624300000000001</v>
      </c>
      <c r="D1103">
        <f t="shared" si="31"/>
        <v>0.38780654999999997</v>
      </c>
    </row>
    <row r="1104" spans="1:4" x14ac:dyDescent="0.35">
      <c r="A1104">
        <v>3.41961</v>
      </c>
      <c r="B1104">
        <f t="shared" si="30"/>
        <v>3419.61</v>
      </c>
      <c r="C1104">
        <v>0.45753899999999997</v>
      </c>
      <c r="D1104">
        <f t="shared" si="31"/>
        <v>0.38890814999999995</v>
      </c>
    </row>
    <row r="1105" spans="1:4" x14ac:dyDescent="0.35">
      <c r="A1105">
        <v>3.4218700000000002</v>
      </c>
      <c r="B1105">
        <f t="shared" si="30"/>
        <v>3421.8700000000003</v>
      </c>
      <c r="C1105">
        <v>0.45898600000000001</v>
      </c>
      <c r="D1105">
        <f t="shared" si="31"/>
        <v>0.39013809999999999</v>
      </c>
    </row>
    <row r="1106" spans="1:4" x14ac:dyDescent="0.35">
      <c r="A1106">
        <v>3.4241299999999999</v>
      </c>
      <c r="B1106">
        <f t="shared" si="30"/>
        <v>3424.13</v>
      </c>
      <c r="C1106">
        <v>0.46060499999999999</v>
      </c>
      <c r="D1106">
        <f t="shared" si="31"/>
        <v>0.39151424999999995</v>
      </c>
    </row>
    <row r="1107" spans="1:4" x14ac:dyDescent="0.35">
      <c r="A1107">
        <v>3.42639</v>
      </c>
      <c r="B1107">
        <f t="shared" si="30"/>
        <v>3426.39</v>
      </c>
      <c r="C1107">
        <v>0.46276299999999998</v>
      </c>
      <c r="D1107">
        <f t="shared" si="31"/>
        <v>0.39334854999999996</v>
      </c>
    </row>
    <row r="1108" spans="1:4" x14ac:dyDescent="0.35">
      <c r="A1108">
        <v>3.4286599999999998</v>
      </c>
      <c r="B1108">
        <f t="shared" si="30"/>
        <v>3428.66</v>
      </c>
      <c r="C1108">
        <v>0.46485900000000002</v>
      </c>
      <c r="D1108">
        <f t="shared" si="31"/>
        <v>0.39513015000000001</v>
      </c>
    </row>
    <row r="1109" spans="1:4" x14ac:dyDescent="0.35">
      <c r="A1109">
        <v>3.43093</v>
      </c>
      <c r="B1109">
        <f t="shared" si="30"/>
        <v>3430.93</v>
      </c>
      <c r="C1109">
        <v>0.46649000000000002</v>
      </c>
      <c r="D1109">
        <f t="shared" si="31"/>
        <v>0.39651649999999999</v>
      </c>
    </row>
    <row r="1110" spans="1:4" x14ac:dyDescent="0.35">
      <c r="A1110">
        <v>3.4331999999999998</v>
      </c>
      <c r="B1110">
        <f t="shared" si="30"/>
        <v>3433.2</v>
      </c>
      <c r="C1110">
        <v>0.46788000000000002</v>
      </c>
      <c r="D1110">
        <f t="shared" si="31"/>
        <v>0.397698</v>
      </c>
    </row>
    <row r="1111" spans="1:4" x14ac:dyDescent="0.35">
      <c r="A1111">
        <v>3.4354800000000001</v>
      </c>
      <c r="B1111">
        <f t="shared" si="30"/>
        <v>3435.48</v>
      </c>
      <c r="C1111">
        <v>0.46936299999999997</v>
      </c>
      <c r="D1111">
        <f t="shared" si="31"/>
        <v>0.39895854999999997</v>
      </c>
    </row>
    <row r="1112" spans="1:4" x14ac:dyDescent="0.35">
      <c r="A1112">
        <v>3.4377599999999999</v>
      </c>
      <c r="B1112">
        <f t="shared" si="30"/>
        <v>3437.7599999999998</v>
      </c>
      <c r="C1112">
        <v>0.47062999999999999</v>
      </c>
      <c r="D1112">
        <f t="shared" si="31"/>
        <v>0.40003549999999999</v>
      </c>
    </row>
    <row r="1113" spans="1:4" x14ac:dyDescent="0.35">
      <c r="A1113">
        <v>3.4400400000000002</v>
      </c>
      <c r="B1113">
        <f t="shared" si="30"/>
        <v>3440.0400000000004</v>
      </c>
      <c r="C1113">
        <v>0.47191100000000002</v>
      </c>
      <c r="D1113">
        <f t="shared" si="31"/>
        <v>0.40112435000000002</v>
      </c>
    </row>
    <row r="1114" spans="1:4" x14ac:dyDescent="0.35">
      <c r="A1114">
        <v>3.44232</v>
      </c>
      <c r="B1114">
        <f t="shared" si="30"/>
        <v>3442.32</v>
      </c>
      <c r="C1114">
        <v>0.47313899999999998</v>
      </c>
      <c r="D1114">
        <f t="shared" si="31"/>
        <v>0.40216814999999995</v>
      </c>
    </row>
    <row r="1115" spans="1:4" x14ac:dyDescent="0.35">
      <c r="A1115">
        <v>3.4446099999999999</v>
      </c>
      <c r="B1115">
        <f t="shared" si="30"/>
        <v>3444.61</v>
      </c>
      <c r="C1115">
        <v>0.47429199999999999</v>
      </c>
      <c r="D1115">
        <f t="shared" si="31"/>
        <v>0.40314819999999996</v>
      </c>
    </row>
    <row r="1116" spans="1:4" x14ac:dyDescent="0.35">
      <c r="A1116">
        <v>3.4468999999999999</v>
      </c>
      <c r="B1116">
        <f t="shared" si="30"/>
        <v>3446.8999999999996</v>
      </c>
      <c r="C1116">
        <v>0.47535899999999998</v>
      </c>
      <c r="D1116">
        <f t="shared" si="31"/>
        <v>0.40405514999999997</v>
      </c>
    </row>
    <row r="1117" spans="1:4" x14ac:dyDescent="0.35">
      <c r="A1117">
        <v>3.4491900000000002</v>
      </c>
      <c r="B1117">
        <f t="shared" si="30"/>
        <v>3449.19</v>
      </c>
      <c r="C1117">
        <v>0.476553</v>
      </c>
      <c r="D1117">
        <f t="shared" si="31"/>
        <v>0.40507005000000001</v>
      </c>
    </row>
    <row r="1118" spans="1:4" x14ac:dyDescent="0.35">
      <c r="A1118">
        <v>3.4514900000000002</v>
      </c>
      <c r="B1118">
        <f t="shared" si="30"/>
        <v>3451.4900000000002</v>
      </c>
      <c r="C1118">
        <v>0.477852</v>
      </c>
      <c r="D1118">
        <f t="shared" si="31"/>
        <v>0.40617419999999999</v>
      </c>
    </row>
    <row r="1119" spans="1:4" x14ac:dyDescent="0.35">
      <c r="A1119">
        <v>3.4537900000000001</v>
      </c>
      <c r="B1119">
        <f t="shared" si="30"/>
        <v>3453.79</v>
      </c>
      <c r="C1119">
        <v>0.47897299999999998</v>
      </c>
      <c r="D1119">
        <f t="shared" si="31"/>
        <v>0.40712704999999999</v>
      </c>
    </row>
    <row r="1120" spans="1:4" x14ac:dyDescent="0.35">
      <c r="A1120">
        <v>3.4560900000000001</v>
      </c>
      <c r="B1120">
        <f t="shared" si="30"/>
        <v>3456.09</v>
      </c>
      <c r="C1120">
        <v>0.47989199999999999</v>
      </c>
      <c r="D1120">
        <f t="shared" si="31"/>
        <v>0.4079082</v>
      </c>
    </row>
    <row r="1121" spans="1:4" x14ac:dyDescent="0.35">
      <c r="A1121">
        <v>3.4584000000000001</v>
      </c>
      <c r="B1121">
        <f t="shared" si="30"/>
        <v>3458.4</v>
      </c>
      <c r="C1121">
        <v>0.48081400000000002</v>
      </c>
      <c r="D1121">
        <f t="shared" si="31"/>
        <v>0.4086919</v>
      </c>
    </row>
    <row r="1122" spans="1:4" x14ac:dyDescent="0.35">
      <c r="A1122">
        <v>3.4607000000000001</v>
      </c>
      <c r="B1122">
        <f t="shared" si="30"/>
        <v>3460.7000000000003</v>
      </c>
      <c r="C1122">
        <v>0.48168899999999998</v>
      </c>
      <c r="D1122">
        <f t="shared" si="31"/>
        <v>0.40943564999999998</v>
      </c>
    </row>
    <row r="1123" spans="1:4" x14ac:dyDescent="0.35">
      <c r="A1123">
        <v>3.4630200000000002</v>
      </c>
      <c r="B1123">
        <f t="shared" si="30"/>
        <v>3463.0200000000004</v>
      </c>
      <c r="C1123">
        <v>0.48255700000000001</v>
      </c>
      <c r="D1123">
        <f t="shared" si="31"/>
        <v>0.41017344999999999</v>
      </c>
    </row>
    <row r="1124" spans="1:4" x14ac:dyDescent="0.35">
      <c r="A1124">
        <v>3.4653299999999998</v>
      </c>
      <c r="B1124">
        <f t="shared" si="30"/>
        <v>3465.33</v>
      </c>
      <c r="C1124">
        <v>0.48332799999999998</v>
      </c>
      <c r="D1124">
        <f t="shared" si="31"/>
        <v>0.41082879999999999</v>
      </c>
    </row>
    <row r="1125" spans="1:4" x14ac:dyDescent="0.35">
      <c r="A1125">
        <v>3.4676499999999999</v>
      </c>
      <c r="B1125">
        <f t="shared" si="30"/>
        <v>3467.65</v>
      </c>
      <c r="C1125">
        <v>0.48402600000000001</v>
      </c>
      <c r="D1125">
        <f t="shared" si="31"/>
        <v>0.41142210000000001</v>
      </c>
    </row>
    <row r="1126" spans="1:4" x14ac:dyDescent="0.35">
      <c r="A1126">
        <v>3.46997</v>
      </c>
      <c r="B1126">
        <f t="shared" si="30"/>
        <v>3469.97</v>
      </c>
      <c r="C1126">
        <v>0.48456900000000003</v>
      </c>
      <c r="D1126">
        <f t="shared" si="31"/>
        <v>0.41188364999999999</v>
      </c>
    </row>
    <row r="1127" spans="1:4" x14ac:dyDescent="0.35">
      <c r="A1127">
        <v>3.4722900000000001</v>
      </c>
      <c r="B1127">
        <f t="shared" si="30"/>
        <v>3472.29</v>
      </c>
      <c r="C1127">
        <v>0.48516799999999999</v>
      </c>
      <c r="D1127">
        <f t="shared" si="31"/>
        <v>0.4123928</v>
      </c>
    </row>
    <row r="1128" spans="1:4" x14ac:dyDescent="0.35">
      <c r="A1128">
        <v>3.4746199999999998</v>
      </c>
      <c r="B1128">
        <f t="shared" si="30"/>
        <v>3474.62</v>
      </c>
      <c r="C1128">
        <v>0.48580099999999998</v>
      </c>
      <c r="D1128">
        <f t="shared" si="31"/>
        <v>0.41293084999999996</v>
      </c>
    </row>
    <row r="1129" spans="1:4" x14ac:dyDescent="0.35">
      <c r="A1129">
        <v>3.47695</v>
      </c>
      <c r="B1129">
        <f t="shared" si="30"/>
        <v>3476.95</v>
      </c>
      <c r="C1129">
        <v>0.48619299999999999</v>
      </c>
      <c r="D1129">
        <f t="shared" si="31"/>
        <v>0.41326404999999999</v>
      </c>
    </row>
    <row r="1130" spans="1:4" x14ac:dyDescent="0.35">
      <c r="A1130">
        <v>3.4792900000000002</v>
      </c>
      <c r="B1130">
        <f t="shared" si="30"/>
        <v>3479.2900000000004</v>
      </c>
      <c r="C1130">
        <v>0.48649500000000001</v>
      </c>
      <c r="D1130">
        <f t="shared" si="31"/>
        <v>0.41352074999999999</v>
      </c>
    </row>
    <row r="1131" spans="1:4" x14ac:dyDescent="0.35">
      <c r="A1131">
        <v>3.4816199999999999</v>
      </c>
      <c r="B1131">
        <f t="shared" si="30"/>
        <v>3481.62</v>
      </c>
      <c r="C1131">
        <v>0.48701699999999998</v>
      </c>
      <c r="D1131">
        <f t="shared" si="31"/>
        <v>0.41396444999999998</v>
      </c>
    </row>
    <row r="1132" spans="1:4" x14ac:dyDescent="0.35">
      <c r="A1132">
        <v>3.4839600000000002</v>
      </c>
      <c r="B1132">
        <f t="shared" si="30"/>
        <v>3483.96</v>
      </c>
      <c r="C1132">
        <v>0.48761399999999999</v>
      </c>
      <c r="D1132">
        <f t="shared" si="31"/>
        <v>0.4144719</v>
      </c>
    </row>
    <row r="1133" spans="1:4" x14ac:dyDescent="0.35">
      <c r="A1133">
        <v>3.4863</v>
      </c>
      <c r="B1133">
        <f t="shared" si="30"/>
        <v>3486.3</v>
      </c>
      <c r="C1133">
        <v>0.48802299999999998</v>
      </c>
      <c r="D1133">
        <f t="shared" si="31"/>
        <v>0.41481954999999998</v>
      </c>
    </row>
    <row r="1134" spans="1:4" x14ac:dyDescent="0.35">
      <c r="A1134">
        <v>3.4886499999999998</v>
      </c>
      <c r="B1134">
        <f t="shared" si="30"/>
        <v>3488.6499999999996</v>
      </c>
      <c r="C1134">
        <v>0.48820000000000002</v>
      </c>
      <c r="D1134">
        <f t="shared" si="31"/>
        <v>0.41497000000000001</v>
      </c>
    </row>
    <row r="1135" spans="1:4" x14ac:dyDescent="0.35">
      <c r="A1135">
        <v>3.4910000000000001</v>
      </c>
      <c r="B1135">
        <f t="shared" si="30"/>
        <v>3491</v>
      </c>
      <c r="C1135">
        <v>0.48846200000000001</v>
      </c>
      <c r="D1135">
        <f t="shared" si="31"/>
        <v>0.41519269999999997</v>
      </c>
    </row>
    <row r="1136" spans="1:4" x14ac:dyDescent="0.35">
      <c r="A1136">
        <v>3.49335</v>
      </c>
      <c r="B1136">
        <f t="shared" si="30"/>
        <v>3493.35</v>
      </c>
      <c r="C1136">
        <v>0.48890800000000001</v>
      </c>
      <c r="D1136">
        <f t="shared" si="31"/>
        <v>0.41557179999999999</v>
      </c>
    </row>
    <row r="1137" spans="1:4" x14ac:dyDescent="0.35">
      <c r="A1137">
        <v>3.4957099999999999</v>
      </c>
      <c r="B1137">
        <f t="shared" si="30"/>
        <v>3495.71</v>
      </c>
      <c r="C1137">
        <v>0.48876399999999998</v>
      </c>
      <c r="D1137">
        <f t="shared" si="31"/>
        <v>0.41544939999999997</v>
      </c>
    </row>
    <row r="1138" spans="1:4" x14ac:dyDescent="0.35">
      <c r="A1138">
        <v>3.4980699999999998</v>
      </c>
      <c r="B1138">
        <f t="shared" si="30"/>
        <v>3498.0699999999997</v>
      </c>
      <c r="C1138">
        <v>0.48867699999999997</v>
      </c>
      <c r="D1138">
        <f t="shared" si="31"/>
        <v>0.41537544999999998</v>
      </c>
    </row>
    <row r="1139" spans="1:4" x14ac:dyDescent="0.35">
      <c r="A1139">
        <v>3.5004300000000002</v>
      </c>
      <c r="B1139">
        <f t="shared" si="30"/>
        <v>3500.4300000000003</v>
      </c>
      <c r="C1139">
        <v>0.48915999999999998</v>
      </c>
      <c r="D1139">
        <f t="shared" si="31"/>
        <v>0.41578599999999999</v>
      </c>
    </row>
    <row r="1140" spans="1:4" x14ac:dyDescent="0.35">
      <c r="A1140">
        <v>3.5027900000000001</v>
      </c>
      <c r="B1140">
        <f t="shared" si="30"/>
        <v>3502.79</v>
      </c>
      <c r="C1140">
        <v>0.48992200000000002</v>
      </c>
      <c r="D1140">
        <f t="shared" si="31"/>
        <v>0.41643370000000002</v>
      </c>
    </row>
    <row r="1141" spans="1:4" x14ac:dyDescent="0.35">
      <c r="A1141">
        <v>3.5051600000000001</v>
      </c>
      <c r="B1141">
        <f t="shared" si="30"/>
        <v>3505.16</v>
      </c>
      <c r="C1141">
        <v>0.49106300000000003</v>
      </c>
      <c r="D1141">
        <f t="shared" si="31"/>
        <v>0.41740355000000001</v>
      </c>
    </row>
    <row r="1142" spans="1:4" x14ac:dyDescent="0.35">
      <c r="A1142">
        <v>3.50753</v>
      </c>
      <c r="B1142">
        <f t="shared" si="30"/>
        <v>3507.53</v>
      </c>
      <c r="C1142">
        <v>0.49248599999999998</v>
      </c>
      <c r="D1142">
        <f t="shared" si="31"/>
        <v>0.41861309999999996</v>
      </c>
    </row>
    <row r="1143" spans="1:4" x14ac:dyDescent="0.35">
      <c r="A1143">
        <v>3.5099100000000001</v>
      </c>
      <c r="B1143">
        <f t="shared" si="30"/>
        <v>3509.9100000000003</v>
      </c>
      <c r="C1143">
        <v>0.49393399999999998</v>
      </c>
      <c r="D1143">
        <f t="shared" si="31"/>
        <v>0.41984389999999999</v>
      </c>
    </row>
    <row r="1144" spans="1:4" x14ac:dyDescent="0.35">
      <c r="A1144">
        <v>3.5122900000000001</v>
      </c>
      <c r="B1144">
        <f t="shared" si="30"/>
        <v>3512.29</v>
      </c>
      <c r="C1144">
        <v>0.495388</v>
      </c>
      <c r="D1144">
        <f t="shared" si="31"/>
        <v>0.4210798</v>
      </c>
    </row>
    <row r="1145" spans="1:4" x14ac:dyDescent="0.35">
      <c r="A1145">
        <v>3.5146700000000002</v>
      </c>
      <c r="B1145">
        <f t="shared" si="30"/>
        <v>3514.67</v>
      </c>
      <c r="C1145">
        <v>0.49676700000000001</v>
      </c>
      <c r="D1145">
        <f t="shared" si="31"/>
        <v>0.42225194999999999</v>
      </c>
    </row>
    <row r="1146" spans="1:4" x14ac:dyDescent="0.35">
      <c r="A1146">
        <v>3.5170499999999998</v>
      </c>
      <c r="B1146">
        <f t="shared" si="30"/>
        <v>3517.0499999999997</v>
      </c>
      <c r="C1146">
        <v>0.49798700000000001</v>
      </c>
      <c r="D1146">
        <f t="shared" si="31"/>
        <v>0.42328895</v>
      </c>
    </row>
    <row r="1147" spans="1:4" x14ac:dyDescent="0.35">
      <c r="A1147">
        <v>3.5194399999999999</v>
      </c>
      <c r="B1147">
        <f t="shared" si="30"/>
        <v>3519.44</v>
      </c>
      <c r="C1147">
        <v>0.49890299999999999</v>
      </c>
      <c r="D1147">
        <f t="shared" si="31"/>
        <v>0.42406754999999996</v>
      </c>
    </row>
    <row r="1148" spans="1:4" x14ac:dyDescent="0.35">
      <c r="A1148">
        <v>3.52183</v>
      </c>
      <c r="B1148">
        <f t="shared" si="30"/>
        <v>3521.83</v>
      </c>
      <c r="C1148">
        <v>0.49962299999999998</v>
      </c>
      <c r="D1148">
        <f t="shared" si="31"/>
        <v>0.42467954999999996</v>
      </c>
    </row>
    <row r="1149" spans="1:4" x14ac:dyDescent="0.35">
      <c r="A1149">
        <v>3.5242300000000002</v>
      </c>
      <c r="B1149">
        <f t="shared" si="30"/>
        <v>3524.23</v>
      </c>
      <c r="C1149">
        <v>0.50060199999999999</v>
      </c>
      <c r="D1149">
        <f t="shared" si="31"/>
        <v>0.42551169999999999</v>
      </c>
    </row>
    <row r="1150" spans="1:4" x14ac:dyDescent="0.35">
      <c r="A1150">
        <v>3.5266199999999999</v>
      </c>
      <c r="B1150">
        <f t="shared" si="30"/>
        <v>3526.62</v>
      </c>
      <c r="C1150">
        <v>0.50182700000000002</v>
      </c>
      <c r="D1150">
        <f t="shared" si="31"/>
        <v>0.42655294999999999</v>
      </c>
    </row>
    <row r="1151" spans="1:4" x14ac:dyDescent="0.35">
      <c r="A1151">
        <v>3.52902</v>
      </c>
      <c r="B1151">
        <f t="shared" si="30"/>
        <v>3529.02</v>
      </c>
      <c r="C1151">
        <v>0.50300100000000003</v>
      </c>
      <c r="D1151">
        <f t="shared" si="31"/>
        <v>0.42755085000000004</v>
      </c>
    </row>
    <row r="1152" spans="1:4" x14ac:dyDescent="0.35">
      <c r="A1152">
        <v>3.5314299999999998</v>
      </c>
      <c r="B1152">
        <f t="shared" si="30"/>
        <v>3531.43</v>
      </c>
      <c r="C1152">
        <v>0.503861</v>
      </c>
      <c r="D1152">
        <f t="shared" si="31"/>
        <v>0.42828184999999996</v>
      </c>
    </row>
    <row r="1153" spans="1:4" x14ac:dyDescent="0.35">
      <c r="A1153">
        <v>3.53383</v>
      </c>
      <c r="B1153">
        <f t="shared" si="30"/>
        <v>3533.83</v>
      </c>
      <c r="C1153">
        <v>0.50480000000000003</v>
      </c>
      <c r="D1153">
        <f t="shared" si="31"/>
        <v>0.42908000000000002</v>
      </c>
    </row>
    <row r="1154" spans="1:4" x14ac:dyDescent="0.35">
      <c r="A1154">
        <v>3.5362399999999998</v>
      </c>
      <c r="B1154">
        <f t="shared" si="30"/>
        <v>3536.24</v>
      </c>
      <c r="C1154">
        <v>0.50579700000000005</v>
      </c>
      <c r="D1154">
        <f t="shared" si="31"/>
        <v>0.42992745000000004</v>
      </c>
    </row>
    <row r="1155" spans="1:4" x14ac:dyDescent="0.35">
      <c r="A1155">
        <v>3.5386600000000001</v>
      </c>
      <c r="B1155">
        <f t="shared" si="30"/>
        <v>3538.6600000000003</v>
      </c>
      <c r="C1155">
        <v>0.50661900000000004</v>
      </c>
      <c r="D1155">
        <f t="shared" si="31"/>
        <v>0.43062615000000004</v>
      </c>
    </row>
    <row r="1156" spans="1:4" x14ac:dyDescent="0.35">
      <c r="A1156">
        <v>3.54108</v>
      </c>
      <c r="B1156">
        <f t="shared" si="30"/>
        <v>3541.08</v>
      </c>
      <c r="C1156">
        <v>0.50723399999999996</v>
      </c>
      <c r="D1156">
        <f t="shared" si="31"/>
        <v>0.43114889999999995</v>
      </c>
    </row>
    <row r="1157" spans="1:4" x14ac:dyDescent="0.35">
      <c r="A1157">
        <v>3.5434999999999999</v>
      </c>
      <c r="B1157">
        <f t="shared" si="30"/>
        <v>3543.5</v>
      </c>
      <c r="C1157">
        <v>0.50794099999999998</v>
      </c>
      <c r="D1157">
        <f t="shared" si="31"/>
        <v>0.43174984999999999</v>
      </c>
    </row>
    <row r="1158" spans="1:4" x14ac:dyDescent="0.35">
      <c r="A1158">
        <v>3.5459200000000002</v>
      </c>
      <c r="B1158">
        <f t="shared" si="30"/>
        <v>3545.92</v>
      </c>
      <c r="C1158">
        <v>0.50859900000000002</v>
      </c>
      <c r="D1158">
        <f t="shared" si="31"/>
        <v>0.43230915000000003</v>
      </c>
    </row>
    <row r="1159" spans="1:4" x14ac:dyDescent="0.35">
      <c r="A1159">
        <v>3.5483500000000001</v>
      </c>
      <c r="B1159">
        <f t="shared" si="30"/>
        <v>3548.35</v>
      </c>
      <c r="C1159">
        <v>0.50922400000000001</v>
      </c>
      <c r="D1159">
        <f t="shared" si="31"/>
        <v>0.43284040000000001</v>
      </c>
    </row>
    <row r="1160" spans="1:4" x14ac:dyDescent="0.35">
      <c r="A1160">
        <v>3.55078</v>
      </c>
      <c r="B1160">
        <f t="shared" si="30"/>
        <v>3550.78</v>
      </c>
      <c r="C1160">
        <v>0.50967600000000002</v>
      </c>
      <c r="D1160">
        <f t="shared" si="31"/>
        <v>0.43322460000000002</v>
      </c>
    </row>
    <row r="1161" spans="1:4" x14ac:dyDescent="0.35">
      <c r="A1161">
        <v>3.55321</v>
      </c>
      <c r="B1161">
        <f t="shared" si="30"/>
        <v>3553.21</v>
      </c>
      <c r="C1161">
        <v>0.50992599999999999</v>
      </c>
      <c r="D1161">
        <f t="shared" si="31"/>
        <v>0.43343709999999996</v>
      </c>
    </row>
    <row r="1162" spans="1:4" x14ac:dyDescent="0.35">
      <c r="A1162">
        <v>3.55565</v>
      </c>
      <c r="B1162">
        <f t="shared" si="30"/>
        <v>3555.65</v>
      </c>
      <c r="C1162">
        <v>0.51021899999999998</v>
      </c>
      <c r="D1162">
        <f t="shared" si="31"/>
        <v>0.43368614999999999</v>
      </c>
    </row>
    <row r="1163" spans="1:4" x14ac:dyDescent="0.35">
      <c r="A1163">
        <v>3.55809</v>
      </c>
      <c r="B1163">
        <f t="shared" ref="B1163:B1226" si="32">A1163*1000</f>
        <v>3558.09</v>
      </c>
      <c r="C1163">
        <v>0.51042500000000002</v>
      </c>
      <c r="D1163">
        <f t="shared" ref="D1163:D1226" si="33">C1163*$D$137</f>
        <v>0.43386124999999998</v>
      </c>
    </row>
    <row r="1164" spans="1:4" x14ac:dyDescent="0.35">
      <c r="A1164">
        <v>3.56053</v>
      </c>
      <c r="B1164">
        <f t="shared" si="32"/>
        <v>3560.5299999999997</v>
      </c>
      <c r="C1164">
        <v>0.51075800000000005</v>
      </c>
      <c r="D1164">
        <f t="shared" si="33"/>
        <v>0.43414430000000004</v>
      </c>
    </row>
    <row r="1165" spans="1:4" x14ac:dyDescent="0.35">
      <c r="A1165">
        <v>3.56298</v>
      </c>
      <c r="B1165">
        <f t="shared" si="32"/>
        <v>3562.98</v>
      </c>
      <c r="C1165">
        <v>0.51130699999999996</v>
      </c>
      <c r="D1165">
        <f t="shared" si="33"/>
        <v>0.43461094999999994</v>
      </c>
    </row>
    <row r="1166" spans="1:4" x14ac:dyDescent="0.35">
      <c r="A1166">
        <v>3.5654300000000001</v>
      </c>
      <c r="B1166">
        <f t="shared" si="32"/>
        <v>3565.4300000000003</v>
      </c>
      <c r="C1166">
        <v>0.51174200000000003</v>
      </c>
      <c r="D1166">
        <f t="shared" si="33"/>
        <v>0.4349807</v>
      </c>
    </row>
    <row r="1167" spans="1:4" x14ac:dyDescent="0.35">
      <c r="A1167">
        <v>3.5678800000000002</v>
      </c>
      <c r="B1167">
        <f t="shared" si="32"/>
        <v>3567.88</v>
      </c>
      <c r="C1167">
        <v>0.51225799999999999</v>
      </c>
      <c r="D1167">
        <f t="shared" si="33"/>
        <v>0.43541929999999995</v>
      </c>
    </row>
    <row r="1168" spans="1:4" x14ac:dyDescent="0.35">
      <c r="A1168">
        <v>3.5703399999999998</v>
      </c>
      <c r="B1168">
        <f t="shared" si="32"/>
        <v>3570.3399999999997</v>
      </c>
      <c r="C1168">
        <v>0.51278299999999999</v>
      </c>
      <c r="D1168">
        <f t="shared" si="33"/>
        <v>0.43586554999999999</v>
      </c>
    </row>
    <row r="1169" spans="1:4" x14ac:dyDescent="0.35">
      <c r="A1169">
        <v>3.5728</v>
      </c>
      <c r="B1169">
        <f t="shared" si="32"/>
        <v>3572.8</v>
      </c>
      <c r="C1169">
        <v>0.513297</v>
      </c>
      <c r="D1169">
        <f t="shared" si="33"/>
        <v>0.43630245000000001</v>
      </c>
    </row>
    <row r="1170" spans="1:4" x14ac:dyDescent="0.35">
      <c r="A1170">
        <v>3.5752700000000002</v>
      </c>
      <c r="B1170">
        <f t="shared" si="32"/>
        <v>3575.27</v>
      </c>
      <c r="C1170">
        <v>0.51397499999999996</v>
      </c>
      <c r="D1170">
        <f t="shared" si="33"/>
        <v>0.43687874999999993</v>
      </c>
    </row>
    <row r="1171" spans="1:4" x14ac:dyDescent="0.35">
      <c r="A1171">
        <v>3.5777299999999999</v>
      </c>
      <c r="B1171">
        <f t="shared" si="32"/>
        <v>3577.73</v>
      </c>
      <c r="C1171">
        <v>0.51469200000000004</v>
      </c>
      <c r="D1171">
        <f t="shared" si="33"/>
        <v>0.43748819999999999</v>
      </c>
    </row>
    <row r="1172" spans="1:4" x14ac:dyDescent="0.35">
      <c r="A1172">
        <v>3.5802</v>
      </c>
      <c r="B1172">
        <f t="shared" si="32"/>
        <v>3580.2000000000003</v>
      </c>
      <c r="C1172">
        <v>0.51525799999999999</v>
      </c>
      <c r="D1172">
        <f t="shared" si="33"/>
        <v>0.43796930000000001</v>
      </c>
    </row>
    <row r="1173" spans="1:4" x14ac:dyDescent="0.35">
      <c r="A1173">
        <v>3.5826799999999999</v>
      </c>
      <c r="B1173">
        <f t="shared" si="32"/>
        <v>3582.68</v>
      </c>
      <c r="C1173">
        <v>0.51588800000000001</v>
      </c>
      <c r="D1173">
        <f t="shared" si="33"/>
        <v>0.43850479999999997</v>
      </c>
    </row>
    <row r="1174" spans="1:4" x14ac:dyDescent="0.35">
      <c r="A1174">
        <v>3.5851600000000001</v>
      </c>
      <c r="B1174">
        <f t="shared" si="32"/>
        <v>3585.1600000000003</v>
      </c>
      <c r="C1174">
        <v>0.51641099999999995</v>
      </c>
      <c r="D1174">
        <f t="shared" si="33"/>
        <v>0.43894934999999996</v>
      </c>
    </row>
    <row r="1175" spans="1:4" x14ac:dyDescent="0.35">
      <c r="A1175">
        <v>3.5876399999999999</v>
      </c>
      <c r="B1175">
        <f t="shared" si="32"/>
        <v>3587.64</v>
      </c>
      <c r="C1175">
        <v>0.51704399999999995</v>
      </c>
      <c r="D1175">
        <f t="shared" si="33"/>
        <v>0.43948739999999992</v>
      </c>
    </row>
    <row r="1176" spans="1:4" x14ac:dyDescent="0.35">
      <c r="A1176">
        <v>3.5901200000000002</v>
      </c>
      <c r="B1176">
        <f t="shared" si="32"/>
        <v>3590.1200000000003</v>
      </c>
      <c r="C1176">
        <v>0.51768999999999998</v>
      </c>
      <c r="D1176">
        <f t="shared" si="33"/>
        <v>0.4400365</v>
      </c>
    </row>
    <row r="1177" spans="1:4" x14ac:dyDescent="0.35">
      <c r="A1177">
        <v>3.5926100000000001</v>
      </c>
      <c r="B1177">
        <f t="shared" si="32"/>
        <v>3592.61</v>
      </c>
      <c r="C1177">
        <v>0.51819999999999999</v>
      </c>
      <c r="D1177">
        <f t="shared" si="33"/>
        <v>0.44046999999999997</v>
      </c>
    </row>
    <row r="1178" spans="1:4" x14ac:dyDescent="0.35">
      <c r="A1178">
        <v>3.5951</v>
      </c>
      <c r="B1178">
        <f t="shared" si="32"/>
        <v>3595.1</v>
      </c>
      <c r="C1178">
        <v>0.51877600000000001</v>
      </c>
      <c r="D1178">
        <f t="shared" si="33"/>
        <v>0.44095960000000001</v>
      </c>
    </row>
    <row r="1179" spans="1:4" x14ac:dyDescent="0.35">
      <c r="A1179">
        <v>3.5975999999999999</v>
      </c>
      <c r="B1179">
        <f t="shared" si="32"/>
        <v>3597.6</v>
      </c>
      <c r="C1179">
        <v>0.51958800000000005</v>
      </c>
      <c r="D1179">
        <f t="shared" si="33"/>
        <v>0.44164980000000004</v>
      </c>
    </row>
    <row r="1180" spans="1:4" x14ac:dyDescent="0.35">
      <c r="A1180">
        <v>3.6000899999999998</v>
      </c>
      <c r="B1180">
        <f t="shared" si="32"/>
        <v>3600.0899999999997</v>
      </c>
      <c r="C1180">
        <v>0.52024899999999996</v>
      </c>
      <c r="D1180">
        <f t="shared" si="33"/>
        <v>0.44221164999999996</v>
      </c>
    </row>
    <row r="1181" spans="1:4" x14ac:dyDescent="0.35">
      <c r="A1181">
        <v>3.6025999999999998</v>
      </c>
      <c r="B1181">
        <f t="shared" si="32"/>
        <v>3602.6</v>
      </c>
      <c r="C1181">
        <v>0.52095100000000005</v>
      </c>
      <c r="D1181">
        <f t="shared" si="33"/>
        <v>0.44280835000000002</v>
      </c>
    </row>
    <row r="1182" spans="1:4" x14ac:dyDescent="0.35">
      <c r="A1182">
        <v>3.6051000000000002</v>
      </c>
      <c r="B1182">
        <f t="shared" si="32"/>
        <v>3605.1000000000004</v>
      </c>
      <c r="C1182">
        <v>0.52168999999999999</v>
      </c>
      <c r="D1182">
        <f t="shared" si="33"/>
        <v>0.44343649999999996</v>
      </c>
    </row>
    <row r="1183" spans="1:4" x14ac:dyDescent="0.35">
      <c r="A1183">
        <v>3.6076100000000002</v>
      </c>
      <c r="B1183">
        <f t="shared" si="32"/>
        <v>3607.61</v>
      </c>
      <c r="C1183">
        <v>0.52232299999999998</v>
      </c>
      <c r="D1183">
        <f t="shared" si="33"/>
        <v>0.44397454999999997</v>
      </c>
    </row>
    <row r="1184" spans="1:4" x14ac:dyDescent="0.35">
      <c r="A1184">
        <v>3.6101200000000002</v>
      </c>
      <c r="B1184">
        <f t="shared" si="32"/>
        <v>3610.1200000000003</v>
      </c>
      <c r="C1184">
        <v>0.52283999999999997</v>
      </c>
      <c r="D1184">
        <f t="shared" si="33"/>
        <v>0.44441399999999998</v>
      </c>
    </row>
    <row r="1185" spans="1:4" x14ac:dyDescent="0.35">
      <c r="A1185">
        <v>3.6126399999999999</v>
      </c>
      <c r="B1185">
        <f t="shared" si="32"/>
        <v>3612.64</v>
      </c>
      <c r="C1185">
        <v>0.52335299999999996</v>
      </c>
      <c r="D1185">
        <f t="shared" si="33"/>
        <v>0.44485004999999994</v>
      </c>
    </row>
    <row r="1186" spans="1:4" x14ac:dyDescent="0.35">
      <c r="A1186">
        <v>3.6151599999999999</v>
      </c>
      <c r="B1186">
        <f t="shared" si="32"/>
        <v>3615.16</v>
      </c>
      <c r="C1186">
        <v>0.52405800000000002</v>
      </c>
      <c r="D1186">
        <f t="shared" si="33"/>
        <v>0.44544929999999999</v>
      </c>
    </row>
    <row r="1187" spans="1:4" x14ac:dyDescent="0.35">
      <c r="A1187">
        <v>3.61768</v>
      </c>
      <c r="B1187">
        <f t="shared" si="32"/>
        <v>3617.68</v>
      </c>
      <c r="C1187">
        <v>0.52486100000000002</v>
      </c>
      <c r="D1187">
        <f t="shared" si="33"/>
        <v>0.44613185</v>
      </c>
    </row>
    <row r="1188" spans="1:4" x14ac:dyDescent="0.35">
      <c r="A1188">
        <v>3.6202100000000002</v>
      </c>
      <c r="B1188">
        <f t="shared" si="32"/>
        <v>3620.21</v>
      </c>
      <c r="C1188">
        <v>0.525478</v>
      </c>
      <c r="D1188">
        <f t="shared" si="33"/>
        <v>0.44665630000000001</v>
      </c>
    </row>
    <row r="1189" spans="1:4" x14ac:dyDescent="0.35">
      <c r="A1189">
        <v>3.6227399999999998</v>
      </c>
      <c r="B1189">
        <f t="shared" si="32"/>
        <v>3622.74</v>
      </c>
      <c r="C1189">
        <v>0.52626700000000004</v>
      </c>
      <c r="D1189">
        <f t="shared" si="33"/>
        <v>0.44732695</v>
      </c>
    </row>
    <row r="1190" spans="1:4" x14ac:dyDescent="0.35">
      <c r="A1190">
        <v>3.62527</v>
      </c>
      <c r="B1190">
        <f t="shared" si="32"/>
        <v>3625.27</v>
      </c>
      <c r="C1190">
        <v>0.52697499999999997</v>
      </c>
      <c r="D1190">
        <f t="shared" si="33"/>
        <v>0.44792874999999999</v>
      </c>
    </row>
    <row r="1191" spans="1:4" x14ac:dyDescent="0.35">
      <c r="A1191">
        <v>3.6278100000000002</v>
      </c>
      <c r="B1191">
        <f t="shared" si="32"/>
        <v>3627.8100000000004</v>
      </c>
      <c r="C1191">
        <v>0.527702</v>
      </c>
      <c r="D1191">
        <f t="shared" si="33"/>
        <v>0.44854669999999996</v>
      </c>
    </row>
    <row r="1192" spans="1:4" x14ac:dyDescent="0.35">
      <c r="A1192">
        <v>3.63035</v>
      </c>
      <c r="B1192">
        <f t="shared" si="32"/>
        <v>3630.35</v>
      </c>
      <c r="C1192">
        <v>0.52832999999999997</v>
      </c>
      <c r="D1192">
        <f t="shared" si="33"/>
        <v>0.44908049999999994</v>
      </c>
    </row>
    <row r="1193" spans="1:4" x14ac:dyDescent="0.35">
      <c r="A1193">
        <v>3.6328900000000002</v>
      </c>
      <c r="B1193">
        <f t="shared" si="32"/>
        <v>3632.8900000000003</v>
      </c>
      <c r="C1193">
        <v>0.52876400000000001</v>
      </c>
      <c r="D1193">
        <f t="shared" si="33"/>
        <v>0.4494494</v>
      </c>
    </row>
    <row r="1194" spans="1:4" x14ac:dyDescent="0.35">
      <c r="A1194">
        <v>3.63544</v>
      </c>
      <c r="B1194">
        <f t="shared" si="32"/>
        <v>3635.44</v>
      </c>
      <c r="C1194">
        <v>0.52921600000000002</v>
      </c>
      <c r="D1194">
        <f t="shared" si="33"/>
        <v>0.4498336</v>
      </c>
    </row>
    <row r="1195" spans="1:4" x14ac:dyDescent="0.35">
      <c r="A1195">
        <v>3.6379899999999998</v>
      </c>
      <c r="B1195">
        <f t="shared" si="32"/>
        <v>3637.99</v>
      </c>
      <c r="C1195">
        <v>0.52985300000000002</v>
      </c>
      <c r="D1195">
        <f t="shared" si="33"/>
        <v>0.45037505</v>
      </c>
    </row>
    <row r="1196" spans="1:4" x14ac:dyDescent="0.35">
      <c r="A1196">
        <v>3.6405400000000001</v>
      </c>
      <c r="B1196">
        <f t="shared" si="32"/>
        <v>3640.54</v>
      </c>
      <c r="C1196">
        <v>0.53033300000000005</v>
      </c>
      <c r="D1196">
        <f t="shared" si="33"/>
        <v>0.45078305000000002</v>
      </c>
    </row>
    <row r="1197" spans="1:4" x14ac:dyDescent="0.35">
      <c r="A1197">
        <v>3.6431</v>
      </c>
      <c r="B1197">
        <f t="shared" si="32"/>
        <v>3643.1</v>
      </c>
      <c r="C1197">
        <v>0.53060099999999999</v>
      </c>
      <c r="D1197">
        <f t="shared" si="33"/>
        <v>0.45101084999999996</v>
      </c>
    </row>
    <row r="1198" spans="1:4" x14ac:dyDescent="0.35">
      <c r="A1198">
        <v>3.6456599999999999</v>
      </c>
      <c r="B1198">
        <f t="shared" si="32"/>
        <v>3645.66</v>
      </c>
      <c r="C1198">
        <v>0.53093999999999997</v>
      </c>
      <c r="D1198">
        <f t="shared" si="33"/>
        <v>0.45129899999999995</v>
      </c>
    </row>
    <row r="1199" spans="1:4" x14ac:dyDescent="0.35">
      <c r="A1199">
        <v>3.6482299999999999</v>
      </c>
      <c r="B1199">
        <f t="shared" si="32"/>
        <v>3648.23</v>
      </c>
      <c r="C1199">
        <v>0.53147500000000003</v>
      </c>
      <c r="D1199">
        <f t="shared" si="33"/>
        <v>0.45175375000000001</v>
      </c>
    </row>
    <row r="1200" spans="1:4" x14ac:dyDescent="0.35">
      <c r="A1200">
        <v>3.6507999999999998</v>
      </c>
      <c r="B1200">
        <f t="shared" si="32"/>
        <v>3650.7999999999997</v>
      </c>
      <c r="C1200">
        <v>0.53167600000000004</v>
      </c>
      <c r="D1200">
        <f t="shared" si="33"/>
        <v>0.45192460000000001</v>
      </c>
    </row>
    <row r="1201" spans="1:4" x14ac:dyDescent="0.35">
      <c r="A1201">
        <v>3.6533699999999998</v>
      </c>
      <c r="B1201">
        <f t="shared" si="32"/>
        <v>3653.37</v>
      </c>
      <c r="C1201">
        <v>0.53171199999999996</v>
      </c>
      <c r="D1201">
        <f t="shared" si="33"/>
        <v>0.45195519999999995</v>
      </c>
    </row>
    <row r="1202" spans="1:4" x14ac:dyDescent="0.35">
      <c r="A1202">
        <v>3.6559499999999998</v>
      </c>
      <c r="B1202">
        <f t="shared" si="32"/>
        <v>3655.95</v>
      </c>
      <c r="C1202">
        <v>0.53170099999999998</v>
      </c>
      <c r="D1202">
        <f t="shared" si="33"/>
        <v>0.45194584999999998</v>
      </c>
    </row>
    <row r="1203" spans="1:4" x14ac:dyDescent="0.35">
      <c r="A1203">
        <v>3.6585299999999998</v>
      </c>
      <c r="B1203">
        <f t="shared" si="32"/>
        <v>3658.5299999999997</v>
      </c>
      <c r="C1203">
        <v>0.53162100000000001</v>
      </c>
      <c r="D1203">
        <f t="shared" si="33"/>
        <v>0.45187784999999997</v>
      </c>
    </row>
    <row r="1204" spans="1:4" x14ac:dyDescent="0.35">
      <c r="A1204">
        <v>3.6611099999999999</v>
      </c>
      <c r="B1204">
        <f t="shared" si="32"/>
        <v>3661.1099999999997</v>
      </c>
      <c r="C1204">
        <v>0.53122899999999995</v>
      </c>
      <c r="D1204">
        <f t="shared" si="33"/>
        <v>0.45154464999999994</v>
      </c>
    </row>
    <row r="1205" spans="1:4" x14ac:dyDescent="0.35">
      <c r="A1205">
        <v>3.6637</v>
      </c>
      <c r="B1205">
        <f t="shared" si="32"/>
        <v>3663.7</v>
      </c>
      <c r="C1205">
        <v>0.530779</v>
      </c>
      <c r="D1205">
        <f t="shared" si="33"/>
        <v>0.45116214999999998</v>
      </c>
    </row>
    <row r="1206" spans="1:4" x14ac:dyDescent="0.35">
      <c r="A1206">
        <v>3.66629</v>
      </c>
      <c r="B1206">
        <f t="shared" si="32"/>
        <v>3666.29</v>
      </c>
      <c r="C1206">
        <v>0.53057900000000002</v>
      </c>
      <c r="D1206">
        <f t="shared" si="33"/>
        <v>0.45099214999999998</v>
      </c>
    </row>
    <row r="1207" spans="1:4" x14ac:dyDescent="0.35">
      <c r="A1207">
        <v>3.6688900000000002</v>
      </c>
      <c r="B1207">
        <f t="shared" si="32"/>
        <v>3668.8900000000003</v>
      </c>
      <c r="C1207">
        <v>0.52978199999999998</v>
      </c>
      <c r="D1207">
        <f t="shared" si="33"/>
        <v>0.45031469999999996</v>
      </c>
    </row>
    <row r="1208" spans="1:4" x14ac:dyDescent="0.35">
      <c r="A1208">
        <v>3.6714799999999999</v>
      </c>
      <c r="B1208">
        <f t="shared" si="32"/>
        <v>3671.48</v>
      </c>
      <c r="C1208">
        <v>0.52862900000000002</v>
      </c>
      <c r="D1208">
        <f t="shared" si="33"/>
        <v>0.44933465</v>
      </c>
    </row>
    <row r="1209" spans="1:4" x14ac:dyDescent="0.35">
      <c r="A1209">
        <v>3.6740900000000001</v>
      </c>
      <c r="B1209">
        <f t="shared" si="32"/>
        <v>3674.09</v>
      </c>
      <c r="C1209">
        <v>0.52766299999999999</v>
      </c>
      <c r="D1209">
        <f t="shared" si="33"/>
        <v>0.44851354999999998</v>
      </c>
    </row>
    <row r="1210" spans="1:4" x14ac:dyDescent="0.35">
      <c r="A1210">
        <v>3.6766899999999998</v>
      </c>
      <c r="B1210">
        <f t="shared" si="32"/>
        <v>3676.6899999999996</v>
      </c>
      <c r="C1210">
        <v>0.52611699999999995</v>
      </c>
      <c r="D1210">
        <f t="shared" si="33"/>
        <v>0.44719944999999994</v>
      </c>
    </row>
    <row r="1211" spans="1:4" x14ac:dyDescent="0.35">
      <c r="A1211">
        <v>3.6793</v>
      </c>
      <c r="B1211">
        <f t="shared" si="32"/>
        <v>3679.3</v>
      </c>
      <c r="C1211">
        <v>0.52418100000000001</v>
      </c>
      <c r="D1211">
        <f t="shared" si="33"/>
        <v>0.44555384999999997</v>
      </c>
    </row>
    <row r="1212" spans="1:4" x14ac:dyDescent="0.35">
      <c r="A1212">
        <v>3.6819099999999998</v>
      </c>
      <c r="B1212">
        <f t="shared" si="32"/>
        <v>3681.91</v>
      </c>
      <c r="C1212">
        <v>0.52183900000000005</v>
      </c>
      <c r="D1212">
        <f t="shared" si="33"/>
        <v>0.44356315000000002</v>
      </c>
    </row>
    <row r="1213" spans="1:4" x14ac:dyDescent="0.35">
      <c r="A1213">
        <v>3.6845300000000001</v>
      </c>
      <c r="B1213">
        <f t="shared" si="32"/>
        <v>3684.53</v>
      </c>
      <c r="C1213">
        <v>0.51911600000000002</v>
      </c>
      <c r="D1213">
        <f t="shared" si="33"/>
        <v>0.44124859999999999</v>
      </c>
    </row>
    <row r="1214" spans="1:4" x14ac:dyDescent="0.35">
      <c r="A1214">
        <v>3.6871499999999999</v>
      </c>
      <c r="B1214">
        <f t="shared" si="32"/>
        <v>3687.15</v>
      </c>
      <c r="C1214">
        <v>0.51631199999999999</v>
      </c>
      <c r="D1214">
        <f t="shared" si="33"/>
        <v>0.43886519999999996</v>
      </c>
    </row>
    <row r="1215" spans="1:4" x14ac:dyDescent="0.35">
      <c r="A1215">
        <v>3.6897799999999998</v>
      </c>
      <c r="B1215">
        <f t="shared" si="32"/>
        <v>3689.7799999999997</v>
      </c>
      <c r="C1215">
        <v>0.51368999999999998</v>
      </c>
      <c r="D1215">
        <f t="shared" si="33"/>
        <v>0.43663649999999998</v>
      </c>
    </row>
    <row r="1216" spans="1:4" x14ac:dyDescent="0.35">
      <c r="A1216">
        <v>3.6924000000000001</v>
      </c>
      <c r="B1216">
        <f t="shared" si="32"/>
        <v>3692.4</v>
      </c>
      <c r="C1216">
        <v>0.51190400000000003</v>
      </c>
      <c r="D1216">
        <f t="shared" si="33"/>
        <v>0.43511840000000002</v>
      </c>
    </row>
    <row r="1217" spans="1:4" x14ac:dyDescent="0.35">
      <c r="A1217">
        <v>3.6950400000000001</v>
      </c>
      <c r="B1217">
        <f t="shared" si="32"/>
        <v>3695.04</v>
      </c>
      <c r="C1217">
        <v>0.51111600000000001</v>
      </c>
      <c r="D1217">
        <f t="shared" si="33"/>
        <v>0.43444860000000002</v>
      </c>
    </row>
    <row r="1218" spans="1:4" x14ac:dyDescent="0.35">
      <c r="A1218">
        <v>3.69767</v>
      </c>
      <c r="B1218">
        <f t="shared" si="32"/>
        <v>3697.67</v>
      </c>
      <c r="C1218">
        <v>0.51141400000000004</v>
      </c>
      <c r="D1218">
        <f t="shared" si="33"/>
        <v>0.43470190000000003</v>
      </c>
    </row>
    <row r="1219" spans="1:4" x14ac:dyDescent="0.35">
      <c r="A1219">
        <v>3.70031</v>
      </c>
      <c r="B1219">
        <f t="shared" si="32"/>
        <v>3700.31</v>
      </c>
      <c r="C1219">
        <v>0.51306099999999999</v>
      </c>
      <c r="D1219">
        <f t="shared" si="33"/>
        <v>0.43610184999999996</v>
      </c>
    </row>
    <row r="1220" spans="1:4" x14ac:dyDescent="0.35">
      <c r="A1220">
        <v>3.70295</v>
      </c>
      <c r="B1220">
        <f t="shared" si="32"/>
        <v>3702.95</v>
      </c>
      <c r="C1220">
        <v>0.51599399999999995</v>
      </c>
      <c r="D1220">
        <f t="shared" si="33"/>
        <v>0.43859489999999995</v>
      </c>
    </row>
    <row r="1221" spans="1:4" x14ac:dyDescent="0.35">
      <c r="A1221">
        <v>3.7056</v>
      </c>
      <c r="B1221">
        <f t="shared" si="32"/>
        <v>3705.6</v>
      </c>
      <c r="C1221">
        <v>0.51965099999999997</v>
      </c>
      <c r="D1221">
        <f t="shared" si="33"/>
        <v>0.44170334999999994</v>
      </c>
    </row>
    <row r="1222" spans="1:4" x14ac:dyDescent="0.35">
      <c r="A1222">
        <v>3.70825</v>
      </c>
      <c r="B1222">
        <f t="shared" si="32"/>
        <v>3708.25</v>
      </c>
      <c r="C1222">
        <v>0.52335299999999996</v>
      </c>
      <c r="D1222">
        <f t="shared" si="33"/>
        <v>0.44485004999999994</v>
      </c>
    </row>
    <row r="1223" spans="1:4" x14ac:dyDescent="0.35">
      <c r="A1223">
        <v>3.7109100000000002</v>
      </c>
      <c r="B1223">
        <f t="shared" si="32"/>
        <v>3710.9100000000003</v>
      </c>
      <c r="C1223">
        <v>0.52712400000000004</v>
      </c>
      <c r="D1223">
        <f t="shared" si="33"/>
        <v>0.44805539999999999</v>
      </c>
    </row>
    <row r="1224" spans="1:4" x14ac:dyDescent="0.35">
      <c r="A1224">
        <v>3.7135600000000002</v>
      </c>
      <c r="B1224">
        <f t="shared" si="32"/>
        <v>3713.5600000000004</v>
      </c>
      <c r="C1224">
        <v>0.53081199999999995</v>
      </c>
      <c r="D1224">
        <f t="shared" si="33"/>
        <v>0.45119019999999993</v>
      </c>
    </row>
    <row r="1225" spans="1:4" x14ac:dyDescent="0.35">
      <c r="A1225">
        <v>3.7162299999999999</v>
      </c>
      <c r="B1225">
        <f t="shared" si="32"/>
        <v>3716.23</v>
      </c>
      <c r="C1225">
        <v>0.53416300000000005</v>
      </c>
      <c r="D1225">
        <f t="shared" si="33"/>
        <v>0.45403855000000004</v>
      </c>
    </row>
    <row r="1226" spans="1:4" x14ac:dyDescent="0.35">
      <c r="A1226">
        <v>3.71889</v>
      </c>
      <c r="B1226">
        <f t="shared" si="32"/>
        <v>3718.89</v>
      </c>
      <c r="C1226">
        <v>0.53717000000000004</v>
      </c>
      <c r="D1226">
        <f t="shared" si="33"/>
        <v>0.45659450000000001</v>
      </c>
    </row>
    <row r="1227" spans="1:4" x14ac:dyDescent="0.35">
      <c r="A1227">
        <v>3.7215600000000002</v>
      </c>
      <c r="B1227">
        <f t="shared" ref="B1227:B1290" si="34">A1227*1000</f>
        <v>3721.5600000000004</v>
      </c>
      <c r="C1227">
        <v>0.53989299999999996</v>
      </c>
      <c r="D1227">
        <f t="shared" ref="D1227:D1290" si="35">C1227*$D$137</f>
        <v>0.45890904999999993</v>
      </c>
    </row>
    <row r="1228" spans="1:4" x14ac:dyDescent="0.35">
      <c r="A1228">
        <v>3.7242299999999999</v>
      </c>
      <c r="B1228">
        <f t="shared" si="34"/>
        <v>3724.23</v>
      </c>
      <c r="C1228">
        <v>0.54219099999999998</v>
      </c>
      <c r="D1228">
        <f t="shared" si="35"/>
        <v>0.46086234999999998</v>
      </c>
    </row>
    <row r="1229" spans="1:4" x14ac:dyDescent="0.35">
      <c r="A1229">
        <v>3.7269100000000002</v>
      </c>
      <c r="B1229">
        <f t="shared" si="34"/>
        <v>3726.9100000000003</v>
      </c>
      <c r="C1229">
        <v>0.54404699999999995</v>
      </c>
      <c r="D1229">
        <f t="shared" si="35"/>
        <v>0.46243994999999993</v>
      </c>
    </row>
    <row r="1230" spans="1:4" x14ac:dyDescent="0.35">
      <c r="A1230">
        <v>3.72959</v>
      </c>
      <c r="B1230">
        <f t="shared" si="34"/>
        <v>3729.59</v>
      </c>
      <c r="C1230">
        <v>0.54538699999999996</v>
      </c>
      <c r="D1230">
        <f t="shared" si="35"/>
        <v>0.46357894999999993</v>
      </c>
    </row>
    <row r="1231" spans="1:4" x14ac:dyDescent="0.35">
      <c r="A1231">
        <v>3.7322799999999998</v>
      </c>
      <c r="B1231">
        <f t="shared" si="34"/>
        <v>3732.2799999999997</v>
      </c>
      <c r="C1231">
        <v>0.54678000000000004</v>
      </c>
      <c r="D1231">
        <f t="shared" si="35"/>
        <v>0.46476300000000004</v>
      </c>
    </row>
    <row r="1232" spans="1:4" x14ac:dyDescent="0.35">
      <c r="A1232">
        <v>3.7349700000000001</v>
      </c>
      <c r="B1232">
        <f t="shared" si="34"/>
        <v>3734.9700000000003</v>
      </c>
      <c r="C1232">
        <v>0.54801500000000003</v>
      </c>
      <c r="D1232">
        <f t="shared" si="35"/>
        <v>0.46581275</v>
      </c>
    </row>
    <row r="1233" spans="1:4" x14ac:dyDescent="0.35">
      <c r="A1233">
        <v>3.73766</v>
      </c>
      <c r="B1233">
        <f t="shared" si="34"/>
        <v>3737.66</v>
      </c>
      <c r="C1233">
        <v>0.54858099999999999</v>
      </c>
      <c r="D1233">
        <f t="shared" si="35"/>
        <v>0.46629384999999995</v>
      </c>
    </row>
    <row r="1234" spans="1:4" x14ac:dyDescent="0.35">
      <c r="A1234">
        <v>3.7403599999999999</v>
      </c>
      <c r="B1234">
        <f t="shared" si="34"/>
        <v>3740.36</v>
      </c>
      <c r="C1234">
        <v>0.54830299999999998</v>
      </c>
      <c r="D1234">
        <f t="shared" si="35"/>
        <v>0.46605754999999999</v>
      </c>
    </row>
    <row r="1235" spans="1:4" x14ac:dyDescent="0.35">
      <c r="A1235">
        <v>3.7430599999999998</v>
      </c>
      <c r="B1235">
        <f t="shared" si="34"/>
        <v>3743.06</v>
      </c>
      <c r="C1235">
        <v>0.54815800000000003</v>
      </c>
      <c r="D1235">
        <f t="shared" si="35"/>
        <v>0.46593430000000002</v>
      </c>
    </row>
    <row r="1236" spans="1:4" x14ac:dyDescent="0.35">
      <c r="A1236">
        <v>3.7457600000000002</v>
      </c>
      <c r="B1236">
        <f t="shared" si="34"/>
        <v>3745.76</v>
      </c>
      <c r="C1236">
        <v>0.54972299999999996</v>
      </c>
      <c r="D1236">
        <f t="shared" si="35"/>
        <v>0.46726454999999995</v>
      </c>
    </row>
    <row r="1237" spans="1:4" x14ac:dyDescent="0.35">
      <c r="A1237">
        <v>3.7484700000000002</v>
      </c>
      <c r="B1237">
        <f t="shared" si="34"/>
        <v>3748.4700000000003</v>
      </c>
      <c r="C1237">
        <v>0.55303599999999997</v>
      </c>
      <c r="D1237">
        <f t="shared" si="35"/>
        <v>0.47008059999999996</v>
      </c>
    </row>
    <row r="1238" spans="1:4" x14ac:dyDescent="0.35">
      <c r="A1238">
        <v>3.7511800000000002</v>
      </c>
      <c r="B1238">
        <f t="shared" si="34"/>
        <v>3751.1800000000003</v>
      </c>
      <c r="C1238">
        <v>0.55575300000000005</v>
      </c>
      <c r="D1238">
        <f t="shared" si="35"/>
        <v>0.47239005000000001</v>
      </c>
    </row>
    <row r="1239" spans="1:4" x14ac:dyDescent="0.35">
      <c r="A1239">
        <v>3.7538999999999998</v>
      </c>
      <c r="B1239">
        <f t="shared" si="34"/>
        <v>3753.8999999999996</v>
      </c>
      <c r="C1239">
        <v>0.55749800000000005</v>
      </c>
      <c r="D1239">
        <f t="shared" si="35"/>
        <v>0.47387330000000005</v>
      </c>
    </row>
    <row r="1240" spans="1:4" x14ac:dyDescent="0.35">
      <c r="A1240">
        <v>3.7566199999999998</v>
      </c>
      <c r="B1240">
        <f t="shared" si="34"/>
        <v>3756.62</v>
      </c>
      <c r="C1240">
        <v>0.559137</v>
      </c>
      <c r="D1240">
        <f t="shared" si="35"/>
        <v>0.47526645000000001</v>
      </c>
    </row>
    <row r="1241" spans="1:4" x14ac:dyDescent="0.35">
      <c r="A1241">
        <v>3.7593399999999999</v>
      </c>
      <c r="B1241">
        <f t="shared" si="34"/>
        <v>3759.3399999999997</v>
      </c>
      <c r="C1241">
        <v>0.56036399999999997</v>
      </c>
      <c r="D1241">
        <f t="shared" si="35"/>
        <v>0.47630939999999994</v>
      </c>
    </row>
    <row r="1242" spans="1:4" x14ac:dyDescent="0.35">
      <c r="A1242">
        <v>3.76207</v>
      </c>
      <c r="B1242">
        <f t="shared" si="34"/>
        <v>3762.07</v>
      </c>
      <c r="C1242">
        <v>0.56143600000000005</v>
      </c>
      <c r="D1242">
        <f t="shared" si="35"/>
        <v>0.47722060000000005</v>
      </c>
    </row>
    <row r="1243" spans="1:4" x14ac:dyDescent="0.35">
      <c r="A1243">
        <v>3.7648000000000001</v>
      </c>
      <c r="B1243">
        <f t="shared" si="34"/>
        <v>3764.8</v>
      </c>
      <c r="C1243">
        <v>0.56234099999999998</v>
      </c>
      <c r="D1243">
        <f t="shared" si="35"/>
        <v>0.47798984999999999</v>
      </c>
    </row>
    <row r="1244" spans="1:4" x14ac:dyDescent="0.35">
      <c r="A1244">
        <v>3.7675399999999999</v>
      </c>
      <c r="B1244">
        <f t="shared" si="34"/>
        <v>3767.54</v>
      </c>
      <c r="C1244">
        <v>0.56314900000000001</v>
      </c>
      <c r="D1244">
        <f t="shared" si="35"/>
        <v>0.47867664999999998</v>
      </c>
    </row>
    <row r="1245" spans="1:4" x14ac:dyDescent="0.35">
      <c r="A1245">
        <v>3.7702800000000001</v>
      </c>
      <c r="B1245">
        <f t="shared" si="34"/>
        <v>3770.28</v>
      </c>
      <c r="C1245">
        <v>0.56409699999999996</v>
      </c>
      <c r="D1245">
        <f t="shared" si="35"/>
        <v>0.47948244999999995</v>
      </c>
    </row>
    <row r="1246" spans="1:4" x14ac:dyDescent="0.35">
      <c r="A1246">
        <v>3.7730199999999998</v>
      </c>
      <c r="B1246">
        <f t="shared" si="34"/>
        <v>3773.02</v>
      </c>
      <c r="C1246">
        <v>0.56489800000000001</v>
      </c>
      <c r="D1246">
        <f t="shared" si="35"/>
        <v>0.48016330000000002</v>
      </c>
    </row>
    <row r="1247" spans="1:4" x14ac:dyDescent="0.35">
      <c r="A1247">
        <v>3.7757700000000001</v>
      </c>
      <c r="B1247">
        <f t="shared" si="34"/>
        <v>3775.77</v>
      </c>
      <c r="C1247">
        <v>0.56582399999999999</v>
      </c>
      <c r="D1247">
        <f t="shared" si="35"/>
        <v>0.4809504</v>
      </c>
    </row>
    <row r="1248" spans="1:4" x14ac:dyDescent="0.35">
      <c r="A1248">
        <v>3.7785199999999999</v>
      </c>
      <c r="B1248">
        <f t="shared" si="34"/>
        <v>3778.52</v>
      </c>
      <c r="C1248">
        <v>0.56672599999999995</v>
      </c>
      <c r="D1248">
        <f t="shared" si="35"/>
        <v>0.48171709999999995</v>
      </c>
    </row>
    <row r="1249" spans="1:4" x14ac:dyDescent="0.35">
      <c r="A1249">
        <v>3.7812800000000002</v>
      </c>
      <c r="B1249">
        <f t="shared" si="34"/>
        <v>3781.28</v>
      </c>
      <c r="C1249">
        <v>0.56761799999999996</v>
      </c>
      <c r="D1249">
        <f t="shared" si="35"/>
        <v>0.48247529999999994</v>
      </c>
    </row>
    <row r="1250" spans="1:4" x14ac:dyDescent="0.35">
      <c r="A1250">
        <v>3.7840400000000001</v>
      </c>
      <c r="B1250">
        <f t="shared" si="34"/>
        <v>3784.04</v>
      </c>
      <c r="C1250">
        <v>0.56835400000000003</v>
      </c>
      <c r="D1250">
        <f t="shared" si="35"/>
        <v>0.4831009</v>
      </c>
    </row>
    <row r="1251" spans="1:4" x14ac:dyDescent="0.35">
      <c r="A1251">
        <v>3.7867999999999999</v>
      </c>
      <c r="B1251">
        <f t="shared" si="34"/>
        <v>3786.7999999999997</v>
      </c>
      <c r="C1251">
        <v>0.56899100000000002</v>
      </c>
      <c r="D1251">
        <f t="shared" si="35"/>
        <v>0.48364235</v>
      </c>
    </row>
    <row r="1252" spans="1:4" x14ac:dyDescent="0.35">
      <c r="A1252">
        <v>3.7895699999999999</v>
      </c>
      <c r="B1252">
        <f t="shared" si="34"/>
        <v>3789.5699999999997</v>
      </c>
      <c r="C1252">
        <v>0.56953200000000004</v>
      </c>
      <c r="D1252">
        <f t="shared" si="35"/>
        <v>0.48410220000000004</v>
      </c>
    </row>
    <row r="1253" spans="1:4" x14ac:dyDescent="0.35">
      <c r="A1253">
        <v>3.7923399999999998</v>
      </c>
      <c r="B1253">
        <f t="shared" si="34"/>
        <v>3792.3399999999997</v>
      </c>
      <c r="C1253">
        <v>0.57015400000000005</v>
      </c>
      <c r="D1253">
        <f t="shared" si="35"/>
        <v>0.48463090000000003</v>
      </c>
    </row>
    <row r="1254" spans="1:4" x14ac:dyDescent="0.35">
      <c r="A1254">
        <v>3.7951199999999998</v>
      </c>
      <c r="B1254">
        <f t="shared" si="34"/>
        <v>3795.12</v>
      </c>
      <c r="C1254">
        <v>0.57081899999999997</v>
      </c>
      <c r="D1254">
        <f t="shared" si="35"/>
        <v>0.48519614999999994</v>
      </c>
    </row>
    <row r="1255" spans="1:4" x14ac:dyDescent="0.35">
      <c r="A1255">
        <v>3.7978999999999998</v>
      </c>
      <c r="B1255">
        <f t="shared" si="34"/>
        <v>3797.8999999999996</v>
      </c>
      <c r="C1255">
        <v>0.571411</v>
      </c>
      <c r="D1255">
        <f t="shared" si="35"/>
        <v>0.48569934999999997</v>
      </c>
    </row>
    <row r="1256" spans="1:4" x14ac:dyDescent="0.35">
      <c r="A1256">
        <v>3.8006899999999999</v>
      </c>
      <c r="B1256">
        <f t="shared" si="34"/>
        <v>3800.69</v>
      </c>
      <c r="C1256">
        <v>0.57218500000000005</v>
      </c>
      <c r="D1256">
        <f t="shared" si="35"/>
        <v>0.48635725000000002</v>
      </c>
    </row>
    <row r="1257" spans="1:4" x14ac:dyDescent="0.35">
      <c r="A1257">
        <v>3.8034699999999999</v>
      </c>
      <c r="B1257">
        <f t="shared" si="34"/>
        <v>3803.47</v>
      </c>
      <c r="C1257">
        <v>0.57278899999999999</v>
      </c>
      <c r="D1257">
        <f t="shared" si="35"/>
        <v>0.48687064999999996</v>
      </c>
    </row>
    <row r="1258" spans="1:4" x14ac:dyDescent="0.35">
      <c r="A1258">
        <v>3.80627</v>
      </c>
      <c r="B1258">
        <f t="shared" si="34"/>
        <v>3806.27</v>
      </c>
      <c r="C1258">
        <v>0.57330999999999999</v>
      </c>
      <c r="D1258">
        <f t="shared" si="35"/>
        <v>0.48731349999999996</v>
      </c>
    </row>
    <row r="1259" spans="1:4" x14ac:dyDescent="0.35">
      <c r="A1259">
        <v>3.8090600000000001</v>
      </c>
      <c r="B1259">
        <f t="shared" si="34"/>
        <v>3809.06</v>
      </c>
      <c r="C1259">
        <v>0.57405300000000004</v>
      </c>
      <c r="D1259">
        <f t="shared" si="35"/>
        <v>0.48794504999999999</v>
      </c>
    </row>
    <row r="1260" spans="1:4" x14ac:dyDescent="0.35">
      <c r="A1260">
        <v>3.8118599999999998</v>
      </c>
      <c r="B1260">
        <f t="shared" si="34"/>
        <v>3811.8599999999997</v>
      </c>
      <c r="C1260">
        <v>0.57474999999999998</v>
      </c>
      <c r="D1260">
        <f t="shared" si="35"/>
        <v>0.48853749999999996</v>
      </c>
    </row>
    <row r="1261" spans="1:4" x14ac:dyDescent="0.35">
      <c r="A1261">
        <v>3.81467</v>
      </c>
      <c r="B1261">
        <f t="shared" si="34"/>
        <v>3814.67</v>
      </c>
      <c r="C1261">
        <v>0.57533400000000001</v>
      </c>
      <c r="D1261">
        <f t="shared" si="35"/>
        <v>0.48903390000000002</v>
      </c>
    </row>
    <row r="1262" spans="1:4" x14ac:dyDescent="0.35">
      <c r="A1262">
        <v>3.8174800000000002</v>
      </c>
      <c r="B1262">
        <f t="shared" si="34"/>
        <v>3817.48</v>
      </c>
      <c r="C1262">
        <v>0.57581000000000004</v>
      </c>
      <c r="D1262">
        <f t="shared" si="35"/>
        <v>0.4894385</v>
      </c>
    </row>
    <row r="1263" spans="1:4" x14ac:dyDescent="0.35">
      <c r="A1263">
        <v>3.82029</v>
      </c>
      <c r="B1263">
        <f t="shared" si="34"/>
        <v>3820.29</v>
      </c>
      <c r="C1263">
        <v>0.57645999999999997</v>
      </c>
      <c r="D1263">
        <f t="shared" si="35"/>
        <v>0.48999099999999995</v>
      </c>
    </row>
    <row r="1264" spans="1:4" x14ac:dyDescent="0.35">
      <c r="A1264">
        <v>3.8231099999999998</v>
      </c>
      <c r="B1264">
        <f t="shared" si="34"/>
        <v>3823.1099999999997</v>
      </c>
      <c r="C1264">
        <v>0.57705700000000004</v>
      </c>
      <c r="D1264">
        <f t="shared" si="35"/>
        <v>0.49049845000000003</v>
      </c>
    </row>
    <row r="1265" spans="1:4" x14ac:dyDescent="0.35">
      <c r="A1265">
        <v>3.8259300000000001</v>
      </c>
      <c r="B1265">
        <f t="shared" si="34"/>
        <v>3825.93</v>
      </c>
      <c r="C1265">
        <v>0.57760800000000001</v>
      </c>
      <c r="D1265">
        <f t="shared" si="35"/>
        <v>0.49096679999999998</v>
      </c>
    </row>
    <row r="1266" spans="1:4" x14ac:dyDescent="0.35">
      <c r="A1266">
        <v>3.8287599999999999</v>
      </c>
      <c r="B1266">
        <f t="shared" si="34"/>
        <v>3828.7599999999998</v>
      </c>
      <c r="C1266">
        <v>0.57816800000000002</v>
      </c>
      <c r="D1266">
        <f t="shared" si="35"/>
        <v>0.49144280000000001</v>
      </c>
    </row>
    <row r="1267" spans="1:4" x14ac:dyDescent="0.35">
      <c r="A1267">
        <v>3.8315899999999998</v>
      </c>
      <c r="B1267">
        <f t="shared" si="34"/>
        <v>3831.5899999999997</v>
      </c>
      <c r="C1267">
        <v>0.578654</v>
      </c>
      <c r="D1267">
        <f t="shared" si="35"/>
        <v>0.49185590000000001</v>
      </c>
    </row>
    <row r="1268" spans="1:4" x14ac:dyDescent="0.35">
      <c r="A1268">
        <v>3.8344200000000002</v>
      </c>
      <c r="B1268">
        <f t="shared" si="34"/>
        <v>3834.42</v>
      </c>
      <c r="C1268">
        <v>0.57919100000000001</v>
      </c>
      <c r="D1268">
        <f t="shared" si="35"/>
        <v>0.49231235000000001</v>
      </c>
    </row>
    <row r="1269" spans="1:4" x14ac:dyDescent="0.35">
      <c r="A1269">
        <v>3.8372600000000001</v>
      </c>
      <c r="B1269">
        <f t="shared" si="34"/>
        <v>3837.26</v>
      </c>
      <c r="C1269">
        <v>0.57963399999999998</v>
      </c>
      <c r="D1269">
        <f t="shared" si="35"/>
        <v>0.49268889999999999</v>
      </c>
    </row>
    <row r="1270" spans="1:4" x14ac:dyDescent="0.35">
      <c r="A1270">
        <v>3.8401000000000001</v>
      </c>
      <c r="B1270">
        <f t="shared" si="34"/>
        <v>3840.1</v>
      </c>
      <c r="C1270">
        <v>0.58004199999999995</v>
      </c>
      <c r="D1270">
        <f t="shared" si="35"/>
        <v>0.49303569999999997</v>
      </c>
    </row>
    <row r="1271" spans="1:4" x14ac:dyDescent="0.35">
      <c r="A1271">
        <v>3.8429500000000001</v>
      </c>
      <c r="B1271">
        <f t="shared" si="34"/>
        <v>3842.9500000000003</v>
      </c>
      <c r="C1271">
        <v>0.58059400000000005</v>
      </c>
      <c r="D1271">
        <f t="shared" si="35"/>
        <v>0.49350490000000002</v>
      </c>
    </row>
    <row r="1272" spans="1:4" x14ac:dyDescent="0.35">
      <c r="A1272">
        <v>3.8458000000000001</v>
      </c>
      <c r="B1272">
        <f t="shared" si="34"/>
        <v>3845.8</v>
      </c>
      <c r="C1272">
        <v>0.58097699999999997</v>
      </c>
      <c r="D1272">
        <f t="shared" si="35"/>
        <v>0.49383044999999998</v>
      </c>
    </row>
    <row r="1273" spans="1:4" x14ac:dyDescent="0.35">
      <c r="A1273">
        <v>3.8486500000000001</v>
      </c>
      <c r="B1273">
        <f t="shared" si="34"/>
        <v>3848.65</v>
      </c>
      <c r="C1273">
        <v>0.58141900000000002</v>
      </c>
      <c r="D1273">
        <f t="shared" si="35"/>
        <v>0.49420615000000001</v>
      </c>
    </row>
    <row r="1274" spans="1:4" x14ac:dyDescent="0.35">
      <c r="A1274">
        <v>3.8515100000000002</v>
      </c>
      <c r="B1274">
        <f t="shared" si="34"/>
        <v>3851.51</v>
      </c>
      <c r="C1274">
        <v>0.58204599999999995</v>
      </c>
      <c r="D1274">
        <f t="shared" si="35"/>
        <v>0.49473909999999993</v>
      </c>
    </row>
    <row r="1275" spans="1:4" x14ac:dyDescent="0.35">
      <c r="A1275">
        <v>3.8543799999999999</v>
      </c>
      <c r="B1275">
        <f t="shared" si="34"/>
        <v>3854.38</v>
      </c>
      <c r="C1275">
        <v>0.58250400000000002</v>
      </c>
      <c r="D1275">
        <f t="shared" si="35"/>
        <v>0.49512840000000002</v>
      </c>
    </row>
    <row r="1276" spans="1:4" x14ac:dyDescent="0.35">
      <c r="A1276">
        <v>3.85724</v>
      </c>
      <c r="B1276">
        <f t="shared" si="34"/>
        <v>3857.24</v>
      </c>
      <c r="C1276">
        <v>0.58275600000000005</v>
      </c>
      <c r="D1276">
        <f t="shared" si="35"/>
        <v>0.49534260000000002</v>
      </c>
    </row>
    <row r="1277" spans="1:4" x14ac:dyDescent="0.35">
      <c r="A1277">
        <v>3.8601200000000002</v>
      </c>
      <c r="B1277">
        <f t="shared" si="34"/>
        <v>3860.1200000000003</v>
      </c>
      <c r="C1277">
        <v>0.58301499999999995</v>
      </c>
      <c r="D1277">
        <f t="shared" si="35"/>
        <v>0.49556274999999994</v>
      </c>
    </row>
    <row r="1278" spans="1:4" x14ac:dyDescent="0.35">
      <c r="A1278">
        <v>3.8629899999999999</v>
      </c>
      <c r="B1278">
        <f t="shared" si="34"/>
        <v>3862.99</v>
      </c>
      <c r="C1278">
        <v>0.58345000000000002</v>
      </c>
      <c r="D1278">
        <f t="shared" si="35"/>
        <v>0.4959325</v>
      </c>
    </row>
    <row r="1279" spans="1:4" x14ac:dyDescent="0.35">
      <c r="A1279">
        <v>3.8658700000000001</v>
      </c>
      <c r="B1279">
        <f t="shared" si="34"/>
        <v>3865.8700000000003</v>
      </c>
      <c r="C1279">
        <v>0.58388799999999996</v>
      </c>
      <c r="D1279">
        <f t="shared" si="35"/>
        <v>0.49630479999999993</v>
      </c>
    </row>
    <row r="1280" spans="1:4" x14ac:dyDescent="0.35">
      <c r="A1280">
        <v>3.86876</v>
      </c>
      <c r="B1280">
        <f t="shared" si="34"/>
        <v>3868.7599999999998</v>
      </c>
      <c r="C1280">
        <v>0.58423499999999995</v>
      </c>
      <c r="D1280">
        <f t="shared" si="35"/>
        <v>0.49659974999999995</v>
      </c>
    </row>
    <row r="1281" spans="1:4" x14ac:dyDescent="0.35">
      <c r="A1281">
        <v>3.8716499999999998</v>
      </c>
      <c r="B1281">
        <f t="shared" si="34"/>
        <v>3871.6499999999996</v>
      </c>
      <c r="C1281">
        <v>0.58460999999999996</v>
      </c>
      <c r="D1281">
        <f t="shared" si="35"/>
        <v>0.49691849999999993</v>
      </c>
    </row>
    <row r="1282" spans="1:4" x14ac:dyDescent="0.35">
      <c r="A1282">
        <v>3.8745400000000001</v>
      </c>
      <c r="B1282">
        <f t="shared" si="34"/>
        <v>3874.54</v>
      </c>
      <c r="C1282">
        <v>0.584928</v>
      </c>
      <c r="D1282">
        <f t="shared" si="35"/>
        <v>0.49718879999999999</v>
      </c>
    </row>
    <row r="1283" spans="1:4" x14ac:dyDescent="0.35">
      <c r="A1283">
        <v>3.87744</v>
      </c>
      <c r="B1283">
        <f t="shared" si="34"/>
        <v>3877.44</v>
      </c>
      <c r="C1283">
        <v>0.585256</v>
      </c>
      <c r="D1283">
        <f t="shared" si="35"/>
        <v>0.49746760000000001</v>
      </c>
    </row>
    <row r="1284" spans="1:4" x14ac:dyDescent="0.35">
      <c r="A1284">
        <v>3.8803399999999999</v>
      </c>
      <c r="B1284">
        <f t="shared" si="34"/>
        <v>3880.3399999999997</v>
      </c>
      <c r="C1284">
        <v>0.58560999999999996</v>
      </c>
      <c r="D1284">
        <f t="shared" si="35"/>
        <v>0.49776849999999995</v>
      </c>
    </row>
    <row r="1285" spans="1:4" x14ac:dyDescent="0.35">
      <c r="A1285">
        <v>3.8832499999999999</v>
      </c>
      <c r="B1285">
        <f t="shared" si="34"/>
        <v>3883.25</v>
      </c>
      <c r="C1285">
        <v>0.58582500000000004</v>
      </c>
      <c r="D1285">
        <f t="shared" si="35"/>
        <v>0.49795125000000001</v>
      </c>
    </row>
    <row r="1286" spans="1:4" x14ac:dyDescent="0.35">
      <c r="A1286">
        <v>3.8861599999999998</v>
      </c>
      <c r="B1286">
        <f t="shared" si="34"/>
        <v>3886.16</v>
      </c>
      <c r="C1286">
        <v>0.58603700000000003</v>
      </c>
      <c r="D1286">
        <f t="shared" si="35"/>
        <v>0.49813145000000003</v>
      </c>
    </row>
    <row r="1287" spans="1:4" x14ac:dyDescent="0.35">
      <c r="A1287">
        <v>3.8890699999999998</v>
      </c>
      <c r="B1287">
        <f t="shared" si="34"/>
        <v>3889.0699999999997</v>
      </c>
      <c r="C1287">
        <v>0.58643599999999996</v>
      </c>
      <c r="D1287">
        <f t="shared" si="35"/>
        <v>0.49847059999999993</v>
      </c>
    </row>
    <row r="1288" spans="1:4" x14ac:dyDescent="0.35">
      <c r="A1288">
        <v>3.8919899999999998</v>
      </c>
      <c r="B1288">
        <f t="shared" si="34"/>
        <v>3891.99</v>
      </c>
      <c r="C1288">
        <v>0.586561</v>
      </c>
      <c r="D1288">
        <f t="shared" si="35"/>
        <v>0.49857684999999996</v>
      </c>
    </row>
    <row r="1289" spans="1:4" x14ac:dyDescent="0.35">
      <c r="A1289">
        <v>3.8949199999999999</v>
      </c>
      <c r="B1289">
        <f t="shared" si="34"/>
        <v>3894.92</v>
      </c>
      <c r="C1289">
        <v>0.58669700000000002</v>
      </c>
      <c r="D1289">
        <f t="shared" si="35"/>
        <v>0.49869245000000001</v>
      </c>
    </row>
    <row r="1290" spans="1:4" x14ac:dyDescent="0.35">
      <c r="A1290">
        <v>3.89785</v>
      </c>
      <c r="B1290">
        <f t="shared" si="34"/>
        <v>3897.85</v>
      </c>
      <c r="C1290">
        <v>0.58711400000000002</v>
      </c>
      <c r="D1290">
        <f t="shared" si="35"/>
        <v>0.49904690000000002</v>
      </c>
    </row>
    <row r="1291" spans="1:4" x14ac:dyDescent="0.35">
      <c r="A1291">
        <v>3.9007800000000001</v>
      </c>
      <c r="B1291">
        <f t="shared" ref="B1291:B1354" si="36">A1291*1000</f>
        <v>3900.78</v>
      </c>
      <c r="C1291">
        <v>0.58731500000000003</v>
      </c>
      <c r="D1291">
        <f t="shared" ref="D1291:D1354" si="37">C1291*$D$137</f>
        <v>0.49921775000000002</v>
      </c>
    </row>
    <row r="1292" spans="1:4" x14ac:dyDescent="0.35">
      <c r="A1292">
        <v>3.9037199999999999</v>
      </c>
      <c r="B1292">
        <f t="shared" si="36"/>
        <v>3903.72</v>
      </c>
      <c r="C1292">
        <v>0.58735999999999999</v>
      </c>
      <c r="D1292">
        <f t="shared" si="37"/>
        <v>0.49925599999999998</v>
      </c>
    </row>
    <row r="1293" spans="1:4" x14ac:dyDescent="0.35">
      <c r="A1293">
        <v>3.90666</v>
      </c>
      <c r="B1293">
        <f t="shared" si="36"/>
        <v>3906.66</v>
      </c>
      <c r="C1293">
        <v>0.58745700000000001</v>
      </c>
      <c r="D1293">
        <f t="shared" si="37"/>
        <v>0.49933844999999999</v>
      </c>
    </row>
    <row r="1294" spans="1:4" x14ac:dyDescent="0.35">
      <c r="A1294">
        <v>3.9096000000000002</v>
      </c>
      <c r="B1294">
        <f t="shared" si="36"/>
        <v>3909.6000000000004</v>
      </c>
      <c r="C1294">
        <v>0.58754399999999996</v>
      </c>
      <c r="D1294">
        <f t="shared" si="37"/>
        <v>0.49941239999999992</v>
      </c>
    </row>
    <row r="1295" spans="1:4" x14ac:dyDescent="0.35">
      <c r="A1295">
        <v>3.91255</v>
      </c>
      <c r="B1295">
        <f t="shared" si="36"/>
        <v>3912.55</v>
      </c>
      <c r="C1295">
        <v>0.58763500000000002</v>
      </c>
      <c r="D1295">
        <f t="shared" si="37"/>
        <v>0.49948975000000001</v>
      </c>
    </row>
    <row r="1296" spans="1:4" x14ac:dyDescent="0.35">
      <c r="A1296">
        <v>3.9155099999999998</v>
      </c>
      <c r="B1296">
        <f t="shared" si="36"/>
        <v>3915.5099999999998</v>
      </c>
      <c r="C1296">
        <v>0.58774800000000005</v>
      </c>
      <c r="D1296">
        <f t="shared" si="37"/>
        <v>0.49958580000000002</v>
      </c>
    </row>
    <row r="1297" spans="1:4" x14ac:dyDescent="0.35">
      <c r="A1297">
        <v>3.9184700000000001</v>
      </c>
      <c r="B1297">
        <f t="shared" si="36"/>
        <v>3918.4700000000003</v>
      </c>
      <c r="C1297">
        <v>0.58793600000000001</v>
      </c>
      <c r="D1297">
        <f t="shared" si="37"/>
        <v>0.49974560000000001</v>
      </c>
    </row>
    <row r="1298" spans="1:4" x14ac:dyDescent="0.35">
      <c r="A1298">
        <v>3.92143</v>
      </c>
      <c r="B1298">
        <f t="shared" si="36"/>
        <v>3921.43</v>
      </c>
      <c r="C1298">
        <v>0.58786000000000005</v>
      </c>
      <c r="D1298">
        <f t="shared" si="37"/>
        <v>0.49968100000000004</v>
      </c>
    </row>
    <row r="1299" spans="1:4" x14ac:dyDescent="0.35">
      <c r="A1299">
        <v>3.9243999999999999</v>
      </c>
      <c r="B1299">
        <f t="shared" si="36"/>
        <v>3924.4</v>
      </c>
      <c r="C1299">
        <v>0.58786700000000003</v>
      </c>
      <c r="D1299">
        <f t="shared" si="37"/>
        <v>0.49968695000000002</v>
      </c>
    </row>
    <row r="1300" spans="1:4" x14ac:dyDescent="0.35">
      <c r="A1300">
        <v>3.9273799999999999</v>
      </c>
      <c r="B1300">
        <f t="shared" si="36"/>
        <v>3927.3799999999997</v>
      </c>
      <c r="C1300">
        <v>0.58787699999999998</v>
      </c>
      <c r="D1300">
        <f t="shared" si="37"/>
        <v>0.49969544999999999</v>
      </c>
    </row>
    <row r="1301" spans="1:4" x14ac:dyDescent="0.35">
      <c r="A1301">
        <v>3.9303499999999998</v>
      </c>
      <c r="B1301">
        <f t="shared" si="36"/>
        <v>3930.35</v>
      </c>
      <c r="C1301">
        <v>0.58794199999999996</v>
      </c>
      <c r="D1301">
        <f t="shared" si="37"/>
        <v>0.49975069999999994</v>
      </c>
    </row>
    <row r="1302" spans="1:4" x14ac:dyDescent="0.35">
      <c r="A1302">
        <v>3.9333300000000002</v>
      </c>
      <c r="B1302">
        <f t="shared" si="36"/>
        <v>3933.3300000000004</v>
      </c>
      <c r="C1302">
        <v>0.58808499999999997</v>
      </c>
      <c r="D1302">
        <f t="shared" si="37"/>
        <v>0.49987224999999996</v>
      </c>
    </row>
    <row r="1303" spans="1:4" x14ac:dyDescent="0.35">
      <c r="A1303">
        <v>3.9363199999999998</v>
      </c>
      <c r="B1303">
        <f t="shared" si="36"/>
        <v>3936.3199999999997</v>
      </c>
      <c r="C1303">
        <v>0.58803899999999998</v>
      </c>
      <c r="D1303">
        <f t="shared" si="37"/>
        <v>0.49983314999999995</v>
      </c>
    </row>
    <row r="1304" spans="1:4" x14ac:dyDescent="0.35">
      <c r="A1304">
        <v>3.9393099999999999</v>
      </c>
      <c r="B1304">
        <f t="shared" si="36"/>
        <v>3939.31</v>
      </c>
      <c r="C1304">
        <v>0.58799900000000005</v>
      </c>
      <c r="D1304">
        <f t="shared" si="37"/>
        <v>0.49979915000000003</v>
      </c>
    </row>
    <row r="1305" spans="1:4" x14ac:dyDescent="0.35">
      <c r="A1305">
        <v>3.94231</v>
      </c>
      <c r="B1305">
        <f t="shared" si="36"/>
        <v>3942.31</v>
      </c>
      <c r="C1305">
        <v>0.58822300000000005</v>
      </c>
      <c r="D1305">
        <f t="shared" si="37"/>
        <v>0.49998955</v>
      </c>
    </row>
    <row r="1306" spans="1:4" x14ac:dyDescent="0.35">
      <c r="A1306">
        <v>3.9453100000000001</v>
      </c>
      <c r="B1306">
        <f t="shared" si="36"/>
        <v>3945.31</v>
      </c>
      <c r="C1306">
        <v>0.58829600000000004</v>
      </c>
      <c r="D1306">
        <f t="shared" si="37"/>
        <v>0.50005160000000004</v>
      </c>
    </row>
    <row r="1307" spans="1:4" x14ac:dyDescent="0.35">
      <c r="A1307">
        <v>3.9483100000000002</v>
      </c>
      <c r="B1307">
        <f t="shared" si="36"/>
        <v>3948.3100000000004</v>
      </c>
      <c r="C1307">
        <v>0.58823800000000004</v>
      </c>
      <c r="D1307">
        <f t="shared" si="37"/>
        <v>0.50000230000000001</v>
      </c>
    </row>
    <row r="1308" spans="1:4" x14ac:dyDescent="0.35">
      <c r="A1308">
        <v>3.9513199999999999</v>
      </c>
      <c r="B1308">
        <f t="shared" si="36"/>
        <v>3951.32</v>
      </c>
      <c r="C1308">
        <v>0.588113</v>
      </c>
      <c r="D1308">
        <f t="shared" si="37"/>
        <v>0.49989604999999998</v>
      </c>
    </row>
    <row r="1309" spans="1:4" x14ac:dyDescent="0.35">
      <c r="A1309">
        <v>3.9543400000000002</v>
      </c>
      <c r="B1309">
        <f t="shared" si="36"/>
        <v>3954.34</v>
      </c>
      <c r="C1309">
        <v>0.58814</v>
      </c>
      <c r="D1309">
        <f t="shared" si="37"/>
        <v>0.499919</v>
      </c>
    </row>
    <row r="1310" spans="1:4" x14ac:dyDescent="0.35">
      <c r="A1310">
        <v>3.9573499999999999</v>
      </c>
      <c r="B1310">
        <f t="shared" si="36"/>
        <v>3957.35</v>
      </c>
      <c r="C1310">
        <v>0.588229</v>
      </c>
      <c r="D1310">
        <f t="shared" si="37"/>
        <v>0.49999464999999998</v>
      </c>
    </row>
    <row r="1311" spans="1:4" x14ac:dyDescent="0.35">
      <c r="A1311">
        <v>3.9603799999999998</v>
      </c>
      <c r="B1311">
        <f t="shared" si="36"/>
        <v>3960.3799999999997</v>
      </c>
      <c r="C1311">
        <v>0.58833899999999995</v>
      </c>
      <c r="D1311">
        <f t="shared" si="37"/>
        <v>0.50008814999999995</v>
      </c>
    </row>
    <row r="1312" spans="1:4" x14ac:dyDescent="0.35">
      <c r="A1312">
        <v>3.9634100000000001</v>
      </c>
      <c r="B1312">
        <f t="shared" si="36"/>
        <v>3963.4100000000003</v>
      </c>
      <c r="C1312">
        <v>0.58849099999999999</v>
      </c>
      <c r="D1312">
        <f t="shared" si="37"/>
        <v>0.50021735000000001</v>
      </c>
    </row>
    <row r="1313" spans="1:4" x14ac:dyDescent="0.35">
      <c r="A1313">
        <v>3.96644</v>
      </c>
      <c r="B1313">
        <f t="shared" si="36"/>
        <v>3966.44</v>
      </c>
      <c r="C1313">
        <v>0.58845700000000001</v>
      </c>
      <c r="D1313">
        <f t="shared" si="37"/>
        <v>0.50018845000000001</v>
      </c>
    </row>
    <row r="1314" spans="1:4" x14ac:dyDescent="0.35">
      <c r="A1314">
        <v>3.9694799999999999</v>
      </c>
      <c r="B1314">
        <f t="shared" si="36"/>
        <v>3969.48</v>
      </c>
      <c r="C1314">
        <v>0.58846100000000001</v>
      </c>
      <c r="D1314">
        <f t="shared" si="37"/>
        <v>0.50019184999999999</v>
      </c>
    </row>
    <row r="1315" spans="1:4" x14ac:dyDescent="0.35">
      <c r="A1315">
        <v>3.9725199999999998</v>
      </c>
      <c r="B1315">
        <f t="shared" si="36"/>
        <v>3972.52</v>
      </c>
      <c r="C1315">
        <v>0.58863699999999997</v>
      </c>
      <c r="D1315">
        <f t="shared" si="37"/>
        <v>0.50034144999999997</v>
      </c>
    </row>
    <row r="1316" spans="1:4" x14ac:dyDescent="0.35">
      <c r="A1316">
        <v>3.9755600000000002</v>
      </c>
      <c r="B1316">
        <f t="shared" si="36"/>
        <v>3975.5600000000004</v>
      </c>
      <c r="C1316">
        <v>0.58861399999999997</v>
      </c>
      <c r="D1316">
        <f t="shared" si="37"/>
        <v>0.50032189999999999</v>
      </c>
    </row>
    <row r="1317" spans="1:4" x14ac:dyDescent="0.35">
      <c r="A1317">
        <v>3.9786100000000002</v>
      </c>
      <c r="B1317">
        <f t="shared" si="36"/>
        <v>3978.61</v>
      </c>
      <c r="C1317">
        <v>0.58841100000000002</v>
      </c>
      <c r="D1317">
        <f t="shared" si="37"/>
        <v>0.50014935000000005</v>
      </c>
    </row>
    <row r="1318" spans="1:4" x14ac:dyDescent="0.35">
      <c r="A1318">
        <v>3.9816699999999998</v>
      </c>
      <c r="B1318">
        <f t="shared" si="36"/>
        <v>3981.6699999999996</v>
      </c>
      <c r="C1318">
        <v>0.58860199999999996</v>
      </c>
      <c r="D1318">
        <f t="shared" si="37"/>
        <v>0.50031169999999991</v>
      </c>
    </row>
    <row r="1319" spans="1:4" x14ac:dyDescent="0.35">
      <c r="A1319">
        <v>3.9847299999999999</v>
      </c>
      <c r="B1319">
        <f t="shared" si="36"/>
        <v>3984.73</v>
      </c>
      <c r="C1319">
        <v>0.58872999999999998</v>
      </c>
      <c r="D1319">
        <f t="shared" si="37"/>
        <v>0.50042049999999993</v>
      </c>
    </row>
    <row r="1320" spans="1:4" x14ac:dyDescent="0.35">
      <c r="A1320">
        <v>3.9878</v>
      </c>
      <c r="B1320">
        <f t="shared" si="36"/>
        <v>3987.8</v>
      </c>
      <c r="C1320">
        <v>0.58880999999999994</v>
      </c>
      <c r="D1320">
        <f t="shared" si="37"/>
        <v>0.50048849999999989</v>
      </c>
    </row>
    <row r="1321" spans="1:4" x14ac:dyDescent="0.35">
      <c r="A1321">
        <v>3.9908700000000001</v>
      </c>
      <c r="B1321">
        <f t="shared" si="36"/>
        <v>3990.8700000000003</v>
      </c>
      <c r="C1321">
        <v>0.58879000000000004</v>
      </c>
      <c r="D1321">
        <f t="shared" si="37"/>
        <v>0.50047150000000007</v>
      </c>
    </row>
    <row r="1322" spans="1:4" x14ac:dyDescent="0.35">
      <c r="A1322">
        <v>3.9939399999999998</v>
      </c>
      <c r="B1322">
        <f t="shared" si="36"/>
        <v>3993.9399999999996</v>
      </c>
      <c r="C1322">
        <v>0.58873500000000001</v>
      </c>
      <c r="D1322">
        <f t="shared" si="37"/>
        <v>0.50042474999999997</v>
      </c>
    </row>
    <row r="1323" spans="1:4" x14ac:dyDescent="0.35">
      <c r="A1323">
        <v>3.99702</v>
      </c>
      <c r="B1323">
        <f t="shared" si="36"/>
        <v>3997.02</v>
      </c>
      <c r="C1323">
        <v>0.58887599999999996</v>
      </c>
      <c r="D1323">
        <f t="shared" si="37"/>
        <v>0.5005445999999999</v>
      </c>
    </row>
    <row r="1324" spans="1:4" x14ac:dyDescent="0.35">
      <c r="A1324">
        <v>4.0000999999999998</v>
      </c>
      <c r="B1324">
        <f t="shared" si="36"/>
        <v>4000.1</v>
      </c>
      <c r="C1324">
        <v>0.58890900000000002</v>
      </c>
      <c r="D1324">
        <f t="shared" si="37"/>
        <v>0.50057264999999995</v>
      </c>
    </row>
    <row r="1325" spans="1:4" x14ac:dyDescent="0.35">
      <c r="A1325">
        <v>4.00319</v>
      </c>
      <c r="B1325">
        <f t="shared" si="36"/>
        <v>4003.19</v>
      </c>
      <c r="C1325">
        <v>0.58888700000000005</v>
      </c>
      <c r="D1325">
        <f t="shared" si="37"/>
        <v>0.50055395000000003</v>
      </c>
    </row>
    <row r="1326" spans="1:4" x14ac:dyDescent="0.35">
      <c r="A1326">
        <v>4.0062899999999999</v>
      </c>
      <c r="B1326">
        <f t="shared" si="36"/>
        <v>4006.29</v>
      </c>
      <c r="C1326">
        <v>0.588696</v>
      </c>
      <c r="D1326">
        <f t="shared" si="37"/>
        <v>0.50039159999999994</v>
      </c>
    </row>
    <row r="1327" spans="1:4" x14ac:dyDescent="0.35">
      <c r="A1327">
        <v>4.0093899999999998</v>
      </c>
      <c r="B1327">
        <f t="shared" si="36"/>
        <v>4009.39</v>
      </c>
      <c r="C1327">
        <v>0.588727</v>
      </c>
      <c r="D1327">
        <f t="shared" si="37"/>
        <v>0.50041795</v>
      </c>
    </row>
    <row r="1328" spans="1:4" x14ac:dyDescent="0.35">
      <c r="A1328">
        <v>4.0124899999999997</v>
      </c>
      <c r="B1328">
        <f t="shared" si="36"/>
        <v>4012.49</v>
      </c>
      <c r="C1328">
        <v>0.58871799999999996</v>
      </c>
      <c r="D1328">
        <f t="shared" si="37"/>
        <v>0.50041029999999997</v>
      </c>
    </row>
    <row r="1329" spans="1:4" x14ac:dyDescent="0.35">
      <c r="A1329">
        <v>4.0156000000000001</v>
      </c>
      <c r="B1329">
        <f t="shared" si="36"/>
        <v>4015.6</v>
      </c>
      <c r="C1329">
        <v>0.58872199999999997</v>
      </c>
      <c r="D1329">
        <f t="shared" si="37"/>
        <v>0.50041369999999996</v>
      </c>
    </row>
    <row r="1330" spans="1:4" x14ac:dyDescent="0.35">
      <c r="A1330">
        <v>4.0187099999999996</v>
      </c>
      <c r="B1330">
        <f t="shared" si="36"/>
        <v>4018.7099999999996</v>
      </c>
      <c r="C1330">
        <v>0.58863699999999997</v>
      </c>
      <c r="D1330">
        <f t="shared" si="37"/>
        <v>0.50034144999999997</v>
      </c>
    </row>
    <row r="1331" spans="1:4" x14ac:dyDescent="0.35">
      <c r="A1331">
        <v>4.0218299999999996</v>
      </c>
      <c r="B1331">
        <f t="shared" si="36"/>
        <v>4021.8299999999995</v>
      </c>
      <c r="C1331">
        <v>0.58856799999999998</v>
      </c>
      <c r="D1331">
        <f t="shared" si="37"/>
        <v>0.50028279999999992</v>
      </c>
    </row>
    <row r="1332" spans="1:4" x14ac:dyDescent="0.35">
      <c r="A1332">
        <v>4.0249499999999996</v>
      </c>
      <c r="B1332">
        <f t="shared" si="36"/>
        <v>4024.9499999999994</v>
      </c>
      <c r="C1332">
        <v>0.588565</v>
      </c>
      <c r="D1332">
        <f t="shared" si="37"/>
        <v>0.50028024999999998</v>
      </c>
    </row>
    <row r="1333" spans="1:4" x14ac:dyDescent="0.35">
      <c r="A1333">
        <v>4.0280800000000001</v>
      </c>
      <c r="B1333">
        <f t="shared" si="36"/>
        <v>4028.08</v>
      </c>
      <c r="C1333">
        <v>0.58858299999999997</v>
      </c>
      <c r="D1333">
        <f t="shared" si="37"/>
        <v>0.50029554999999992</v>
      </c>
    </row>
    <row r="1334" spans="1:4" x14ac:dyDescent="0.35">
      <c r="A1334">
        <v>4.0312099999999997</v>
      </c>
      <c r="B1334">
        <f t="shared" si="36"/>
        <v>4031.2099999999996</v>
      </c>
      <c r="C1334">
        <v>0.58847400000000005</v>
      </c>
      <c r="D1334">
        <f t="shared" si="37"/>
        <v>0.50020290000000001</v>
      </c>
    </row>
    <row r="1335" spans="1:4" x14ac:dyDescent="0.35">
      <c r="A1335">
        <v>4.0343499999999999</v>
      </c>
      <c r="B1335">
        <f t="shared" si="36"/>
        <v>4034.35</v>
      </c>
      <c r="C1335">
        <v>0.58826199999999995</v>
      </c>
      <c r="D1335">
        <f t="shared" si="37"/>
        <v>0.50002269999999993</v>
      </c>
    </row>
    <row r="1336" spans="1:4" x14ac:dyDescent="0.35">
      <c r="A1336">
        <v>4.03749</v>
      </c>
      <c r="B1336">
        <f t="shared" si="36"/>
        <v>4037.4900000000002</v>
      </c>
      <c r="C1336">
        <v>0.58800799999999998</v>
      </c>
      <c r="D1336">
        <f t="shared" si="37"/>
        <v>0.49980679999999994</v>
      </c>
    </row>
    <row r="1337" spans="1:4" x14ac:dyDescent="0.35">
      <c r="A1337">
        <v>4.0406399999999998</v>
      </c>
      <c r="B1337">
        <f t="shared" si="36"/>
        <v>4040.64</v>
      </c>
      <c r="C1337">
        <v>0.58789400000000003</v>
      </c>
      <c r="D1337">
        <f t="shared" si="37"/>
        <v>0.49970989999999998</v>
      </c>
    </row>
    <row r="1338" spans="1:4" x14ac:dyDescent="0.35">
      <c r="A1338">
        <v>4.0437900000000004</v>
      </c>
      <c r="B1338">
        <f t="shared" si="36"/>
        <v>4043.7900000000004</v>
      </c>
      <c r="C1338">
        <v>0.58777000000000001</v>
      </c>
      <c r="D1338">
        <f t="shared" si="37"/>
        <v>0.49960450000000001</v>
      </c>
    </row>
    <row r="1339" spans="1:4" x14ac:dyDescent="0.35">
      <c r="A1339">
        <v>4.0469400000000002</v>
      </c>
      <c r="B1339">
        <f t="shared" si="36"/>
        <v>4046.94</v>
      </c>
      <c r="C1339">
        <v>0.58764700000000003</v>
      </c>
      <c r="D1339">
        <f t="shared" si="37"/>
        <v>0.49949995000000003</v>
      </c>
    </row>
    <row r="1340" spans="1:4" x14ac:dyDescent="0.35">
      <c r="A1340">
        <v>4.0501100000000001</v>
      </c>
      <c r="B1340">
        <f t="shared" si="36"/>
        <v>4050.11</v>
      </c>
      <c r="C1340">
        <v>0.58740199999999998</v>
      </c>
      <c r="D1340">
        <f t="shared" si="37"/>
        <v>0.49929169999999995</v>
      </c>
    </row>
    <row r="1341" spans="1:4" x14ac:dyDescent="0.35">
      <c r="A1341">
        <v>4.0532700000000004</v>
      </c>
      <c r="B1341">
        <f t="shared" si="36"/>
        <v>4053.2700000000004</v>
      </c>
      <c r="C1341">
        <v>0.58710600000000002</v>
      </c>
      <c r="D1341">
        <f t="shared" si="37"/>
        <v>0.49904009999999999</v>
      </c>
    </row>
    <row r="1342" spans="1:4" x14ac:dyDescent="0.35">
      <c r="A1342">
        <v>4.0564400000000003</v>
      </c>
      <c r="B1342">
        <f t="shared" si="36"/>
        <v>4056.44</v>
      </c>
      <c r="C1342">
        <v>0.58688099999999999</v>
      </c>
      <c r="D1342">
        <f t="shared" si="37"/>
        <v>0.49884884999999995</v>
      </c>
    </row>
    <row r="1343" spans="1:4" x14ac:dyDescent="0.35">
      <c r="A1343">
        <v>4.0596199999999998</v>
      </c>
      <c r="B1343">
        <f t="shared" si="36"/>
        <v>4059.62</v>
      </c>
      <c r="C1343">
        <v>0.586758</v>
      </c>
      <c r="D1343">
        <f t="shared" si="37"/>
        <v>0.49874429999999997</v>
      </c>
    </row>
    <row r="1344" spans="1:4" x14ac:dyDescent="0.35">
      <c r="A1344">
        <v>4.0628000000000002</v>
      </c>
      <c r="B1344">
        <f t="shared" si="36"/>
        <v>4062.8</v>
      </c>
      <c r="C1344">
        <v>0.58658100000000002</v>
      </c>
      <c r="D1344">
        <f t="shared" si="37"/>
        <v>0.49859385000000001</v>
      </c>
    </row>
    <row r="1345" spans="1:4" x14ac:dyDescent="0.35">
      <c r="A1345">
        <v>4.0659900000000002</v>
      </c>
      <c r="B1345">
        <f t="shared" si="36"/>
        <v>4065.9900000000002</v>
      </c>
      <c r="C1345">
        <v>0.58623099999999995</v>
      </c>
      <c r="D1345">
        <f t="shared" si="37"/>
        <v>0.49829634999999994</v>
      </c>
    </row>
    <row r="1346" spans="1:4" x14ac:dyDescent="0.35">
      <c r="A1346">
        <v>4.0691800000000002</v>
      </c>
      <c r="B1346">
        <f t="shared" si="36"/>
        <v>4069.1800000000003</v>
      </c>
      <c r="C1346">
        <v>0.58596099999999995</v>
      </c>
      <c r="D1346">
        <f t="shared" si="37"/>
        <v>0.49806684999999995</v>
      </c>
    </row>
    <row r="1347" spans="1:4" x14ac:dyDescent="0.35">
      <c r="A1347">
        <v>4.0723799999999999</v>
      </c>
      <c r="B1347">
        <f t="shared" si="36"/>
        <v>4072.38</v>
      </c>
      <c r="C1347">
        <v>0.58594599999999997</v>
      </c>
      <c r="D1347">
        <f t="shared" si="37"/>
        <v>0.49805409999999994</v>
      </c>
    </row>
    <row r="1348" spans="1:4" x14ac:dyDescent="0.35">
      <c r="A1348">
        <v>4.0755800000000004</v>
      </c>
      <c r="B1348">
        <f t="shared" si="36"/>
        <v>4075.5800000000004</v>
      </c>
      <c r="C1348">
        <v>0.58576600000000001</v>
      </c>
      <c r="D1348">
        <f t="shared" si="37"/>
        <v>0.49790109999999999</v>
      </c>
    </row>
    <row r="1349" spans="1:4" x14ac:dyDescent="0.35">
      <c r="A1349">
        <v>4.0787800000000001</v>
      </c>
      <c r="B1349">
        <f t="shared" si="36"/>
        <v>4078.78</v>
      </c>
      <c r="C1349">
        <v>0.58552499999999996</v>
      </c>
      <c r="D1349">
        <f t="shared" si="37"/>
        <v>0.49769624999999995</v>
      </c>
    </row>
    <row r="1350" spans="1:4" x14ac:dyDescent="0.35">
      <c r="A1350">
        <v>4.0819999999999999</v>
      </c>
      <c r="B1350">
        <f t="shared" si="36"/>
        <v>4082</v>
      </c>
      <c r="C1350">
        <v>0.585171</v>
      </c>
      <c r="D1350">
        <f t="shared" si="37"/>
        <v>0.49739534999999996</v>
      </c>
    </row>
    <row r="1351" spans="1:4" x14ac:dyDescent="0.35">
      <c r="A1351">
        <v>4.08521</v>
      </c>
      <c r="B1351">
        <f t="shared" si="36"/>
        <v>4085.21</v>
      </c>
      <c r="C1351">
        <v>0.58496300000000001</v>
      </c>
      <c r="D1351">
        <f t="shared" si="37"/>
        <v>0.49721854999999998</v>
      </c>
    </row>
    <row r="1352" spans="1:4" x14ac:dyDescent="0.35">
      <c r="A1352">
        <v>4.0884299999999998</v>
      </c>
      <c r="B1352">
        <f t="shared" si="36"/>
        <v>4088.43</v>
      </c>
      <c r="C1352">
        <v>0.58483399999999996</v>
      </c>
      <c r="D1352">
        <f t="shared" si="37"/>
        <v>0.49710889999999996</v>
      </c>
    </row>
    <row r="1353" spans="1:4" x14ac:dyDescent="0.35">
      <c r="A1353">
        <v>4.0916600000000001</v>
      </c>
      <c r="B1353">
        <f t="shared" si="36"/>
        <v>4091.66</v>
      </c>
      <c r="C1353">
        <v>0.58457800000000004</v>
      </c>
      <c r="D1353">
        <f t="shared" si="37"/>
        <v>0.49689130000000004</v>
      </c>
    </row>
    <row r="1354" spans="1:4" x14ac:dyDescent="0.35">
      <c r="A1354">
        <v>4.0948900000000004</v>
      </c>
      <c r="B1354">
        <f t="shared" si="36"/>
        <v>4094.8900000000003</v>
      </c>
      <c r="C1354">
        <v>0.58429299999999995</v>
      </c>
      <c r="D1354">
        <f t="shared" si="37"/>
        <v>0.49664904999999993</v>
      </c>
    </row>
    <row r="1355" spans="1:4" x14ac:dyDescent="0.35">
      <c r="A1355">
        <v>4.0981300000000003</v>
      </c>
      <c r="B1355">
        <f t="shared" ref="B1355:B1418" si="38">A1355*1000</f>
        <v>4098.13</v>
      </c>
      <c r="C1355">
        <v>0.58401499999999995</v>
      </c>
      <c r="D1355">
        <f t="shared" ref="D1355:D1418" si="39">C1355*$D$137</f>
        <v>0.49641274999999996</v>
      </c>
    </row>
    <row r="1356" spans="1:4" x14ac:dyDescent="0.35">
      <c r="A1356">
        <v>4.1013700000000002</v>
      </c>
      <c r="B1356">
        <f t="shared" si="38"/>
        <v>4101.37</v>
      </c>
      <c r="C1356">
        <v>0.58362899999999995</v>
      </c>
      <c r="D1356">
        <f t="shared" si="39"/>
        <v>0.49608464999999996</v>
      </c>
    </row>
    <row r="1357" spans="1:4" x14ac:dyDescent="0.35">
      <c r="A1357">
        <v>4.1046199999999997</v>
      </c>
      <c r="B1357">
        <f t="shared" si="38"/>
        <v>4104.62</v>
      </c>
      <c r="C1357">
        <v>0.58320000000000005</v>
      </c>
      <c r="D1357">
        <f t="shared" si="39"/>
        <v>0.49572000000000005</v>
      </c>
    </row>
    <row r="1358" spans="1:4" x14ac:dyDescent="0.35">
      <c r="A1358">
        <v>4.1078700000000001</v>
      </c>
      <c r="B1358">
        <f t="shared" si="38"/>
        <v>4107.87</v>
      </c>
      <c r="C1358">
        <v>0.58296999999999999</v>
      </c>
      <c r="D1358">
        <f t="shared" si="39"/>
        <v>0.49552449999999998</v>
      </c>
    </row>
    <row r="1359" spans="1:4" x14ac:dyDescent="0.35">
      <c r="A1359">
        <v>4.1111300000000002</v>
      </c>
      <c r="B1359">
        <f t="shared" si="38"/>
        <v>4111.13</v>
      </c>
      <c r="C1359">
        <v>0.58284100000000005</v>
      </c>
      <c r="D1359">
        <f t="shared" si="39"/>
        <v>0.49541485000000002</v>
      </c>
    </row>
    <row r="1360" spans="1:4" x14ac:dyDescent="0.35">
      <c r="A1360">
        <v>4.1143900000000002</v>
      </c>
      <c r="B1360">
        <f t="shared" si="38"/>
        <v>4114.3900000000003</v>
      </c>
      <c r="C1360">
        <v>0.582457</v>
      </c>
      <c r="D1360">
        <f t="shared" si="39"/>
        <v>0.49508845000000001</v>
      </c>
    </row>
    <row r="1361" spans="1:4" x14ac:dyDescent="0.35">
      <c r="A1361">
        <v>4.1176599999999999</v>
      </c>
      <c r="B1361">
        <f t="shared" si="38"/>
        <v>4117.66</v>
      </c>
      <c r="C1361">
        <v>0.58206000000000002</v>
      </c>
      <c r="D1361">
        <f t="shared" si="39"/>
        <v>0.494751</v>
      </c>
    </row>
    <row r="1362" spans="1:4" x14ac:dyDescent="0.35">
      <c r="A1362">
        <v>4.1209300000000004</v>
      </c>
      <c r="B1362">
        <f t="shared" si="38"/>
        <v>4120.93</v>
      </c>
      <c r="C1362">
        <v>0.58180600000000005</v>
      </c>
      <c r="D1362">
        <f t="shared" si="39"/>
        <v>0.49453510000000001</v>
      </c>
    </row>
    <row r="1363" spans="1:4" x14ac:dyDescent="0.35">
      <c r="A1363">
        <v>4.1242099999999997</v>
      </c>
      <c r="B1363">
        <f t="shared" si="38"/>
        <v>4124.21</v>
      </c>
      <c r="C1363">
        <v>0.58164400000000005</v>
      </c>
      <c r="D1363">
        <f t="shared" si="39"/>
        <v>0.49439740000000004</v>
      </c>
    </row>
    <row r="1364" spans="1:4" x14ac:dyDescent="0.35">
      <c r="A1364">
        <v>4.1275000000000004</v>
      </c>
      <c r="B1364">
        <f t="shared" si="38"/>
        <v>4127.5</v>
      </c>
      <c r="C1364">
        <v>0.58121999999999996</v>
      </c>
      <c r="D1364">
        <f t="shared" si="39"/>
        <v>0.49403699999999995</v>
      </c>
    </row>
    <row r="1365" spans="1:4" x14ac:dyDescent="0.35">
      <c r="A1365">
        <v>4.1307900000000002</v>
      </c>
      <c r="B1365">
        <f t="shared" si="38"/>
        <v>4130.79</v>
      </c>
      <c r="C1365">
        <v>0.58087999999999995</v>
      </c>
      <c r="D1365">
        <f t="shared" si="39"/>
        <v>0.49374799999999996</v>
      </c>
    </row>
    <row r="1366" spans="1:4" x14ac:dyDescent="0.35">
      <c r="A1366">
        <v>4.13408</v>
      </c>
      <c r="B1366">
        <f t="shared" si="38"/>
        <v>4134.08</v>
      </c>
      <c r="C1366">
        <v>0.58070299999999997</v>
      </c>
      <c r="D1366">
        <f t="shared" si="39"/>
        <v>0.49359754999999994</v>
      </c>
    </row>
    <row r="1367" spans="1:4" x14ac:dyDescent="0.35">
      <c r="A1367">
        <v>4.1373800000000003</v>
      </c>
      <c r="B1367">
        <f t="shared" si="38"/>
        <v>4137.38</v>
      </c>
      <c r="C1367">
        <v>0.58045199999999997</v>
      </c>
      <c r="D1367">
        <f t="shared" si="39"/>
        <v>0.49338419999999994</v>
      </c>
    </row>
    <row r="1368" spans="1:4" x14ac:dyDescent="0.35">
      <c r="A1368">
        <v>4.1406799999999997</v>
      </c>
      <c r="B1368">
        <f t="shared" si="38"/>
        <v>4140.6799999999994</v>
      </c>
      <c r="C1368">
        <v>0.58006400000000002</v>
      </c>
      <c r="D1368">
        <f t="shared" si="39"/>
        <v>0.4930544</v>
      </c>
    </row>
    <row r="1369" spans="1:4" x14ac:dyDescent="0.35">
      <c r="A1369">
        <v>4.1439899999999996</v>
      </c>
      <c r="B1369">
        <f t="shared" si="38"/>
        <v>4143.99</v>
      </c>
      <c r="C1369">
        <v>0.579654</v>
      </c>
      <c r="D1369">
        <f t="shared" si="39"/>
        <v>0.49270589999999997</v>
      </c>
    </row>
    <row r="1370" spans="1:4" x14ac:dyDescent="0.35">
      <c r="A1370">
        <v>4.1473100000000001</v>
      </c>
      <c r="B1370">
        <f t="shared" si="38"/>
        <v>4147.3100000000004</v>
      </c>
      <c r="C1370">
        <v>0.57921199999999995</v>
      </c>
      <c r="D1370">
        <f t="shared" si="39"/>
        <v>0.49233019999999994</v>
      </c>
    </row>
    <row r="1371" spans="1:4" x14ac:dyDescent="0.35">
      <c r="A1371">
        <v>4.1506299999999996</v>
      </c>
      <c r="B1371">
        <f t="shared" si="38"/>
        <v>4150.6299999999992</v>
      </c>
      <c r="C1371">
        <v>0.57899100000000003</v>
      </c>
      <c r="D1371">
        <f t="shared" si="39"/>
        <v>0.49214235000000001</v>
      </c>
    </row>
    <row r="1372" spans="1:4" x14ac:dyDescent="0.35">
      <c r="A1372">
        <v>4.15395</v>
      </c>
      <c r="B1372">
        <f t="shared" si="38"/>
        <v>4153.95</v>
      </c>
      <c r="C1372">
        <v>0.57874700000000001</v>
      </c>
      <c r="D1372">
        <f t="shared" si="39"/>
        <v>0.49193494999999998</v>
      </c>
    </row>
    <row r="1373" spans="1:4" x14ac:dyDescent="0.35">
      <c r="A1373">
        <v>4.1572899999999997</v>
      </c>
      <c r="B1373">
        <f t="shared" si="38"/>
        <v>4157.29</v>
      </c>
      <c r="C1373">
        <v>0.57853299999999996</v>
      </c>
      <c r="D1373">
        <f t="shared" si="39"/>
        <v>0.49175304999999997</v>
      </c>
    </row>
    <row r="1374" spans="1:4" x14ac:dyDescent="0.35">
      <c r="A1374">
        <v>4.1606199999999998</v>
      </c>
      <c r="B1374">
        <f t="shared" si="38"/>
        <v>4160.62</v>
      </c>
      <c r="C1374">
        <v>0.57832099999999997</v>
      </c>
      <c r="D1374">
        <f t="shared" si="39"/>
        <v>0.49157284999999995</v>
      </c>
    </row>
    <row r="1375" spans="1:4" x14ac:dyDescent="0.35">
      <c r="A1375">
        <v>4.1639600000000003</v>
      </c>
      <c r="B1375">
        <f t="shared" si="38"/>
        <v>4163.96</v>
      </c>
      <c r="C1375">
        <v>0.57800099999999999</v>
      </c>
      <c r="D1375">
        <f t="shared" si="39"/>
        <v>0.49130084999999996</v>
      </c>
    </row>
    <row r="1376" spans="1:4" x14ac:dyDescent="0.35">
      <c r="A1376">
        <v>4.1673099999999996</v>
      </c>
      <c r="B1376">
        <f t="shared" si="38"/>
        <v>4167.3099999999995</v>
      </c>
      <c r="C1376">
        <v>0.57762599999999997</v>
      </c>
      <c r="D1376">
        <f t="shared" si="39"/>
        <v>0.49098209999999998</v>
      </c>
    </row>
    <row r="1377" spans="1:4" x14ac:dyDescent="0.35">
      <c r="A1377">
        <v>4.1706599999999998</v>
      </c>
      <c r="B1377">
        <f t="shared" si="38"/>
        <v>4170.66</v>
      </c>
      <c r="C1377">
        <v>0.577318</v>
      </c>
      <c r="D1377">
        <f t="shared" si="39"/>
        <v>0.4907203</v>
      </c>
    </row>
    <row r="1378" spans="1:4" x14ac:dyDescent="0.35">
      <c r="A1378">
        <v>4.1740199999999996</v>
      </c>
      <c r="B1378">
        <f t="shared" si="38"/>
        <v>4174.0199999999995</v>
      </c>
      <c r="C1378">
        <v>0.57691700000000001</v>
      </c>
      <c r="D1378">
        <f t="shared" si="39"/>
        <v>0.49037944999999999</v>
      </c>
    </row>
    <row r="1379" spans="1:4" x14ac:dyDescent="0.35">
      <c r="A1379">
        <v>4.1773899999999999</v>
      </c>
      <c r="B1379">
        <f t="shared" si="38"/>
        <v>4177.3900000000003</v>
      </c>
      <c r="C1379">
        <v>0.57673700000000006</v>
      </c>
      <c r="D1379">
        <f t="shared" si="39"/>
        <v>0.49022645000000004</v>
      </c>
    </row>
    <row r="1380" spans="1:4" x14ac:dyDescent="0.35">
      <c r="A1380">
        <v>4.1807499999999997</v>
      </c>
      <c r="B1380">
        <f t="shared" si="38"/>
        <v>4180.75</v>
      </c>
      <c r="C1380">
        <v>0.57661799999999996</v>
      </c>
      <c r="D1380">
        <f t="shared" si="39"/>
        <v>0.49012529999999993</v>
      </c>
    </row>
    <row r="1381" spans="1:4" x14ac:dyDescent="0.35">
      <c r="A1381">
        <v>4.1841299999999997</v>
      </c>
      <c r="B1381">
        <f t="shared" si="38"/>
        <v>4184.13</v>
      </c>
      <c r="C1381">
        <v>0.57632399999999995</v>
      </c>
      <c r="D1381">
        <f t="shared" si="39"/>
        <v>0.48987539999999996</v>
      </c>
    </row>
    <row r="1382" spans="1:4" x14ac:dyDescent="0.35">
      <c r="A1382">
        <v>4.1875099999999996</v>
      </c>
      <c r="B1382">
        <f t="shared" si="38"/>
        <v>4187.5099999999993</v>
      </c>
      <c r="C1382">
        <v>0.57610600000000001</v>
      </c>
      <c r="D1382">
        <f t="shared" si="39"/>
        <v>0.48969010000000002</v>
      </c>
    </row>
    <row r="1383" spans="1:4" x14ac:dyDescent="0.35">
      <c r="A1383">
        <v>4.1908899999999996</v>
      </c>
      <c r="B1383">
        <f t="shared" si="38"/>
        <v>4190.8899999999994</v>
      </c>
      <c r="C1383">
        <v>0.57587200000000005</v>
      </c>
      <c r="D1383">
        <f t="shared" si="39"/>
        <v>0.48949120000000002</v>
      </c>
    </row>
    <row r="1384" spans="1:4" x14ac:dyDescent="0.35">
      <c r="A1384">
        <v>4.19428</v>
      </c>
      <c r="B1384">
        <f t="shared" si="38"/>
        <v>4194.28</v>
      </c>
      <c r="C1384">
        <v>0.575658</v>
      </c>
      <c r="D1384">
        <f t="shared" si="39"/>
        <v>0.4893093</v>
      </c>
    </row>
    <row r="1385" spans="1:4" x14ac:dyDescent="0.35">
      <c r="A1385">
        <v>4.1976800000000001</v>
      </c>
      <c r="B1385">
        <f t="shared" si="38"/>
        <v>4197.68</v>
      </c>
      <c r="C1385">
        <v>0.575573</v>
      </c>
      <c r="D1385">
        <f t="shared" si="39"/>
        <v>0.48923705000000001</v>
      </c>
    </row>
    <row r="1386" spans="1:4" x14ac:dyDescent="0.35">
      <c r="A1386">
        <v>4.2010800000000001</v>
      </c>
      <c r="B1386">
        <f t="shared" si="38"/>
        <v>4201.08</v>
      </c>
      <c r="C1386">
        <v>0.57548999999999995</v>
      </c>
      <c r="D1386">
        <f t="shared" si="39"/>
        <v>0.48916649999999995</v>
      </c>
    </row>
    <row r="1387" spans="1:4" x14ac:dyDescent="0.35">
      <c r="A1387">
        <v>4.2044899999999998</v>
      </c>
      <c r="B1387">
        <f t="shared" si="38"/>
        <v>4204.49</v>
      </c>
      <c r="C1387">
        <v>0.57530899999999996</v>
      </c>
      <c r="D1387">
        <f t="shared" si="39"/>
        <v>0.48901264999999994</v>
      </c>
    </row>
    <row r="1388" spans="1:4" x14ac:dyDescent="0.35">
      <c r="A1388">
        <v>4.2079000000000004</v>
      </c>
      <c r="B1388">
        <f t="shared" si="38"/>
        <v>4207.9000000000005</v>
      </c>
      <c r="C1388">
        <v>0.57530400000000004</v>
      </c>
      <c r="D1388">
        <f t="shared" si="39"/>
        <v>0.48900840000000001</v>
      </c>
    </row>
    <row r="1389" spans="1:4" x14ac:dyDescent="0.35">
      <c r="A1389">
        <v>4.2113199999999997</v>
      </c>
      <c r="B1389">
        <f t="shared" si="38"/>
        <v>4211.32</v>
      </c>
      <c r="C1389">
        <v>0.57545299999999999</v>
      </c>
      <c r="D1389">
        <f t="shared" si="39"/>
        <v>0.48913504999999996</v>
      </c>
    </row>
    <row r="1390" spans="1:4" x14ac:dyDescent="0.35">
      <c r="A1390">
        <v>4.2147399999999999</v>
      </c>
      <c r="B1390">
        <f t="shared" si="38"/>
        <v>4214.74</v>
      </c>
      <c r="C1390">
        <v>0.57532399999999995</v>
      </c>
      <c r="D1390">
        <f t="shared" si="39"/>
        <v>0.48902539999999994</v>
      </c>
    </row>
    <row r="1391" spans="1:4" x14ac:dyDescent="0.35">
      <c r="A1391">
        <v>4.2181699999999998</v>
      </c>
      <c r="B1391">
        <f t="shared" si="38"/>
        <v>4218.17</v>
      </c>
      <c r="C1391">
        <v>0.57557000000000003</v>
      </c>
      <c r="D1391">
        <f t="shared" si="39"/>
        <v>0.48923450000000002</v>
      </c>
    </row>
    <row r="1392" spans="1:4" x14ac:dyDescent="0.35">
      <c r="A1392">
        <v>4.2216100000000001</v>
      </c>
      <c r="B1392">
        <f t="shared" si="38"/>
        <v>4221.6099999999997</v>
      </c>
      <c r="C1392">
        <v>0.57571700000000003</v>
      </c>
      <c r="D1392">
        <f t="shared" si="39"/>
        <v>0.48935945000000003</v>
      </c>
    </row>
    <row r="1393" spans="1:4" x14ac:dyDescent="0.35">
      <c r="A1393">
        <v>4.2250500000000004</v>
      </c>
      <c r="B1393">
        <f t="shared" si="38"/>
        <v>4225.05</v>
      </c>
      <c r="C1393">
        <v>0.57576499999999997</v>
      </c>
      <c r="D1393">
        <f t="shared" si="39"/>
        <v>0.48940024999999998</v>
      </c>
    </row>
    <row r="1394" spans="1:4" x14ac:dyDescent="0.35">
      <c r="A1394">
        <v>4.2285000000000004</v>
      </c>
      <c r="B1394">
        <f t="shared" si="38"/>
        <v>4228.5</v>
      </c>
      <c r="C1394">
        <v>0.57582999999999995</v>
      </c>
      <c r="D1394">
        <f t="shared" si="39"/>
        <v>0.48945549999999993</v>
      </c>
    </row>
    <row r="1395" spans="1:4" x14ac:dyDescent="0.35">
      <c r="A1395">
        <v>4.2319500000000003</v>
      </c>
      <c r="B1395">
        <f t="shared" si="38"/>
        <v>4231.9500000000007</v>
      </c>
      <c r="C1395">
        <v>0.57569800000000004</v>
      </c>
      <c r="D1395">
        <f t="shared" si="39"/>
        <v>0.48934330000000004</v>
      </c>
    </row>
    <row r="1396" spans="1:4" x14ac:dyDescent="0.35">
      <c r="A1396">
        <v>4.2354000000000003</v>
      </c>
      <c r="B1396">
        <f t="shared" si="38"/>
        <v>4235.4000000000005</v>
      </c>
      <c r="C1396">
        <v>0.57542499999999996</v>
      </c>
      <c r="D1396">
        <f t="shared" si="39"/>
        <v>0.48911124999999994</v>
      </c>
    </row>
    <row r="1397" spans="1:4" x14ac:dyDescent="0.35">
      <c r="A1397">
        <v>4.2388700000000004</v>
      </c>
      <c r="B1397">
        <f t="shared" si="38"/>
        <v>4238.8700000000008</v>
      </c>
      <c r="C1397">
        <v>0.57503199999999999</v>
      </c>
      <c r="D1397">
        <f t="shared" si="39"/>
        <v>0.48877719999999997</v>
      </c>
    </row>
    <row r="1398" spans="1:4" x14ac:dyDescent="0.35">
      <c r="A1398">
        <v>4.2423400000000004</v>
      </c>
      <c r="B1398">
        <f t="shared" si="38"/>
        <v>4242.34</v>
      </c>
      <c r="C1398">
        <v>0.57434700000000005</v>
      </c>
      <c r="D1398">
        <f t="shared" si="39"/>
        <v>0.48819495000000002</v>
      </c>
    </row>
    <row r="1399" spans="1:4" x14ac:dyDescent="0.35">
      <c r="A1399">
        <v>4.2458099999999996</v>
      </c>
      <c r="B1399">
        <f t="shared" si="38"/>
        <v>4245.8099999999995</v>
      </c>
      <c r="C1399">
        <v>0.57330199999999998</v>
      </c>
      <c r="D1399">
        <f t="shared" si="39"/>
        <v>0.48730669999999998</v>
      </c>
    </row>
    <row r="1400" spans="1:4" x14ac:dyDescent="0.35">
      <c r="A1400">
        <v>4.2492900000000002</v>
      </c>
      <c r="B1400">
        <f t="shared" si="38"/>
        <v>4249.29</v>
      </c>
      <c r="C1400">
        <v>0.57164199999999998</v>
      </c>
      <c r="D1400">
        <f t="shared" si="39"/>
        <v>0.48589569999999999</v>
      </c>
    </row>
    <row r="1401" spans="1:4" x14ac:dyDescent="0.35">
      <c r="A1401">
        <v>4.2527799999999996</v>
      </c>
      <c r="B1401">
        <f t="shared" si="38"/>
        <v>4252.78</v>
      </c>
      <c r="C1401">
        <v>0.56929099999999999</v>
      </c>
      <c r="D1401">
        <f t="shared" si="39"/>
        <v>0.48389735</v>
      </c>
    </row>
    <row r="1402" spans="1:4" x14ac:dyDescent="0.35">
      <c r="A1402">
        <v>4.2562699999999998</v>
      </c>
      <c r="B1402">
        <f t="shared" si="38"/>
        <v>4256.2699999999995</v>
      </c>
      <c r="C1402">
        <v>0.56640900000000005</v>
      </c>
      <c r="D1402">
        <f t="shared" si="39"/>
        <v>0.48144765</v>
      </c>
    </row>
    <row r="1403" spans="1:4" x14ac:dyDescent="0.35">
      <c r="A1403">
        <v>4.2597699999999996</v>
      </c>
      <c r="B1403">
        <f t="shared" si="38"/>
        <v>4259.7699999999995</v>
      </c>
      <c r="C1403">
        <v>0.56294100000000002</v>
      </c>
      <c r="D1403">
        <f t="shared" si="39"/>
        <v>0.47849985</v>
      </c>
    </row>
    <row r="1404" spans="1:4" x14ac:dyDescent="0.35">
      <c r="A1404">
        <v>4.2632700000000003</v>
      </c>
      <c r="B1404">
        <f t="shared" si="38"/>
        <v>4263.2700000000004</v>
      </c>
      <c r="C1404">
        <v>0.55962100000000004</v>
      </c>
      <c r="D1404">
        <f t="shared" si="39"/>
        <v>0.47567785000000001</v>
      </c>
    </row>
    <row r="1405" spans="1:4" x14ac:dyDescent="0.35">
      <c r="A1405">
        <v>4.2667799999999998</v>
      </c>
      <c r="B1405">
        <f t="shared" si="38"/>
        <v>4266.78</v>
      </c>
      <c r="C1405">
        <v>0.55732999999999999</v>
      </c>
      <c r="D1405">
        <f t="shared" si="39"/>
        <v>0.4737305</v>
      </c>
    </row>
    <row r="1406" spans="1:4" x14ac:dyDescent="0.35">
      <c r="A1406">
        <v>4.2702900000000001</v>
      </c>
      <c r="B1406">
        <f t="shared" si="38"/>
        <v>4270.29</v>
      </c>
      <c r="C1406">
        <v>0.55658799999999997</v>
      </c>
      <c r="D1406">
        <f t="shared" si="39"/>
        <v>0.47309979999999996</v>
      </c>
    </row>
    <row r="1407" spans="1:4" x14ac:dyDescent="0.35">
      <c r="A1407">
        <v>4.2738100000000001</v>
      </c>
      <c r="B1407">
        <f t="shared" si="38"/>
        <v>4273.8100000000004</v>
      </c>
      <c r="C1407">
        <v>0.55772200000000005</v>
      </c>
      <c r="D1407">
        <f t="shared" si="39"/>
        <v>0.47406370000000003</v>
      </c>
    </row>
    <row r="1408" spans="1:4" x14ac:dyDescent="0.35">
      <c r="A1408">
        <v>4.2773399999999997</v>
      </c>
      <c r="B1408">
        <f t="shared" si="38"/>
        <v>4277.34</v>
      </c>
      <c r="C1408">
        <v>0.560222</v>
      </c>
      <c r="D1408">
        <f t="shared" si="39"/>
        <v>0.47618869999999996</v>
      </c>
    </row>
    <row r="1409" spans="1:4" x14ac:dyDescent="0.35">
      <c r="A1409">
        <v>4.2808700000000002</v>
      </c>
      <c r="B1409">
        <f t="shared" si="38"/>
        <v>4280.87</v>
      </c>
      <c r="C1409">
        <v>0.56294999999999995</v>
      </c>
      <c r="D1409">
        <f t="shared" si="39"/>
        <v>0.47850749999999992</v>
      </c>
    </row>
    <row r="1410" spans="1:4" x14ac:dyDescent="0.35">
      <c r="A1410">
        <v>4.2844100000000003</v>
      </c>
      <c r="B1410">
        <f t="shared" si="38"/>
        <v>4284.41</v>
      </c>
      <c r="C1410">
        <v>0.56510000000000005</v>
      </c>
      <c r="D1410">
        <f t="shared" si="39"/>
        <v>0.48033500000000001</v>
      </c>
    </row>
    <row r="1411" spans="1:4" x14ac:dyDescent="0.35">
      <c r="A1411">
        <v>4.2879500000000004</v>
      </c>
      <c r="B1411">
        <f t="shared" si="38"/>
        <v>4287.9500000000007</v>
      </c>
      <c r="C1411">
        <v>0.566635</v>
      </c>
      <c r="D1411">
        <f t="shared" si="39"/>
        <v>0.48163974999999998</v>
      </c>
    </row>
    <row r="1412" spans="1:4" x14ac:dyDescent="0.35">
      <c r="A1412">
        <v>4.2915000000000001</v>
      </c>
      <c r="B1412">
        <f t="shared" si="38"/>
        <v>4291.5</v>
      </c>
      <c r="C1412">
        <v>0.56749400000000005</v>
      </c>
      <c r="D1412">
        <f t="shared" si="39"/>
        <v>0.48236990000000002</v>
      </c>
    </row>
    <row r="1413" spans="1:4" x14ac:dyDescent="0.35">
      <c r="A1413">
        <v>4.2950600000000003</v>
      </c>
      <c r="B1413">
        <f t="shared" si="38"/>
        <v>4295.0600000000004</v>
      </c>
      <c r="C1413">
        <v>0.56801400000000002</v>
      </c>
      <c r="D1413">
        <f t="shared" si="39"/>
        <v>0.48281190000000002</v>
      </c>
    </row>
    <row r="1414" spans="1:4" x14ac:dyDescent="0.35">
      <c r="A1414">
        <v>4.2986199999999997</v>
      </c>
      <c r="B1414">
        <f t="shared" si="38"/>
        <v>4298.62</v>
      </c>
      <c r="C1414">
        <v>0.568164</v>
      </c>
      <c r="D1414">
        <f t="shared" si="39"/>
        <v>0.48293939999999996</v>
      </c>
    </row>
    <row r="1415" spans="1:4" x14ac:dyDescent="0.35">
      <c r="A1415">
        <v>4.3021900000000004</v>
      </c>
      <c r="B1415">
        <f t="shared" si="38"/>
        <v>4302.1900000000005</v>
      </c>
      <c r="C1415">
        <v>0.56823999999999997</v>
      </c>
      <c r="D1415">
        <f t="shared" si="39"/>
        <v>0.48300399999999993</v>
      </c>
    </row>
    <row r="1416" spans="1:4" x14ac:dyDescent="0.35">
      <c r="A1416">
        <v>4.3057600000000003</v>
      </c>
      <c r="B1416">
        <f t="shared" si="38"/>
        <v>4305.76</v>
      </c>
      <c r="C1416">
        <v>0.56798000000000004</v>
      </c>
      <c r="D1416">
        <f t="shared" si="39"/>
        <v>0.48278300000000002</v>
      </c>
    </row>
    <row r="1417" spans="1:4" x14ac:dyDescent="0.35">
      <c r="A1417">
        <v>4.3093399999999997</v>
      </c>
      <c r="B1417">
        <f t="shared" si="38"/>
        <v>4309.34</v>
      </c>
      <c r="C1417">
        <v>0.56774199999999997</v>
      </c>
      <c r="D1417">
        <f t="shared" si="39"/>
        <v>0.48258069999999997</v>
      </c>
    </row>
    <row r="1418" spans="1:4" x14ac:dyDescent="0.35">
      <c r="A1418">
        <v>4.3129200000000001</v>
      </c>
      <c r="B1418">
        <f t="shared" si="38"/>
        <v>4312.92</v>
      </c>
      <c r="C1418">
        <v>0.567442</v>
      </c>
      <c r="D1418">
        <f t="shared" si="39"/>
        <v>0.48232569999999997</v>
      </c>
    </row>
    <row r="1419" spans="1:4" x14ac:dyDescent="0.35">
      <c r="A1419">
        <v>4.3165199999999997</v>
      </c>
      <c r="B1419">
        <f t="shared" ref="B1419:B1482" si="40">A1419*1000</f>
        <v>4316.5199999999995</v>
      </c>
      <c r="C1419">
        <v>0.56710099999999997</v>
      </c>
      <c r="D1419">
        <f t="shared" ref="D1419:D1482" si="41">C1419*$D$137</f>
        <v>0.48203584999999993</v>
      </c>
    </row>
    <row r="1420" spans="1:4" x14ac:dyDescent="0.35">
      <c r="A1420">
        <v>4.3201099999999997</v>
      </c>
      <c r="B1420">
        <f t="shared" si="40"/>
        <v>4320.1099999999997</v>
      </c>
      <c r="C1420">
        <v>0.56665900000000002</v>
      </c>
      <c r="D1420">
        <f t="shared" si="41"/>
        <v>0.48166015000000001</v>
      </c>
    </row>
    <row r="1421" spans="1:4" x14ac:dyDescent="0.35">
      <c r="A1421">
        <v>4.3237199999999998</v>
      </c>
      <c r="B1421">
        <f t="shared" si="40"/>
        <v>4323.7199999999993</v>
      </c>
      <c r="C1421">
        <v>0.56611900000000004</v>
      </c>
      <c r="D1421">
        <f t="shared" si="41"/>
        <v>0.48120115000000002</v>
      </c>
    </row>
    <row r="1422" spans="1:4" x14ac:dyDescent="0.35">
      <c r="A1422">
        <v>4.3273200000000003</v>
      </c>
      <c r="B1422">
        <f t="shared" si="40"/>
        <v>4327.3200000000006</v>
      </c>
      <c r="C1422">
        <v>0.56546099999999999</v>
      </c>
      <c r="D1422">
        <f t="shared" si="41"/>
        <v>0.48064184999999998</v>
      </c>
    </row>
    <row r="1423" spans="1:4" x14ac:dyDescent="0.35">
      <c r="A1423">
        <v>4.33094</v>
      </c>
      <c r="B1423">
        <f t="shared" si="40"/>
        <v>4330.9399999999996</v>
      </c>
      <c r="C1423">
        <v>0.56487100000000001</v>
      </c>
      <c r="D1423">
        <f t="shared" si="41"/>
        <v>0.48014034999999999</v>
      </c>
    </row>
    <row r="1424" spans="1:4" x14ac:dyDescent="0.35">
      <c r="A1424">
        <v>4.3345599999999997</v>
      </c>
      <c r="B1424">
        <f t="shared" si="40"/>
        <v>4334.5599999999995</v>
      </c>
      <c r="C1424">
        <v>0.564357</v>
      </c>
      <c r="D1424">
        <f t="shared" si="41"/>
        <v>0.47970344999999998</v>
      </c>
    </row>
    <row r="1425" spans="1:4" x14ac:dyDescent="0.35">
      <c r="A1425">
        <v>4.33819</v>
      </c>
      <c r="B1425">
        <f t="shared" si="40"/>
        <v>4338.1899999999996</v>
      </c>
      <c r="C1425">
        <v>0.56387200000000004</v>
      </c>
      <c r="D1425">
        <f t="shared" si="41"/>
        <v>0.47929120000000003</v>
      </c>
    </row>
    <row r="1426" spans="1:4" x14ac:dyDescent="0.35">
      <c r="A1426">
        <v>4.3418200000000002</v>
      </c>
      <c r="B1426">
        <f t="shared" si="40"/>
        <v>4341.8200000000006</v>
      </c>
      <c r="C1426">
        <v>0.56329899999999999</v>
      </c>
      <c r="D1426">
        <f t="shared" si="41"/>
        <v>0.47880414999999998</v>
      </c>
    </row>
    <row r="1427" spans="1:4" x14ac:dyDescent="0.35">
      <c r="A1427">
        <v>4.3454600000000001</v>
      </c>
      <c r="B1427">
        <f t="shared" si="40"/>
        <v>4345.46</v>
      </c>
      <c r="C1427">
        <v>0.562805</v>
      </c>
      <c r="D1427">
        <f t="shared" si="41"/>
        <v>0.47838425000000001</v>
      </c>
    </row>
    <row r="1428" spans="1:4" x14ac:dyDescent="0.35">
      <c r="A1428">
        <v>4.3491099999999996</v>
      </c>
      <c r="B1428">
        <f t="shared" si="40"/>
        <v>4349.1099999999997</v>
      </c>
      <c r="C1428">
        <v>0.56222899999999998</v>
      </c>
      <c r="D1428">
        <f t="shared" si="41"/>
        <v>0.47789464999999998</v>
      </c>
    </row>
    <row r="1429" spans="1:4" x14ac:dyDescent="0.35">
      <c r="A1429">
        <v>4.35276</v>
      </c>
      <c r="B1429">
        <f t="shared" si="40"/>
        <v>4352.76</v>
      </c>
      <c r="C1429">
        <v>0.56181099999999995</v>
      </c>
      <c r="D1429">
        <f t="shared" si="41"/>
        <v>0.47753934999999992</v>
      </c>
    </row>
    <row r="1430" spans="1:4" x14ac:dyDescent="0.35">
      <c r="A1430">
        <v>4.35642</v>
      </c>
      <c r="B1430">
        <f t="shared" si="40"/>
        <v>4356.42</v>
      </c>
      <c r="C1430">
        <v>0.56138600000000005</v>
      </c>
      <c r="D1430">
        <f t="shared" si="41"/>
        <v>0.47717810000000005</v>
      </c>
    </row>
    <row r="1431" spans="1:4" x14ac:dyDescent="0.35">
      <c r="A1431">
        <v>4.36008</v>
      </c>
      <c r="B1431">
        <f t="shared" si="40"/>
        <v>4360.08</v>
      </c>
      <c r="C1431">
        <v>0.56079500000000004</v>
      </c>
      <c r="D1431">
        <f t="shared" si="41"/>
        <v>0.47667575000000001</v>
      </c>
    </row>
    <row r="1432" spans="1:4" x14ac:dyDescent="0.35">
      <c r="A1432">
        <v>4.3637499999999996</v>
      </c>
      <c r="B1432">
        <f t="shared" si="40"/>
        <v>4363.75</v>
      </c>
      <c r="C1432">
        <v>0.56026900000000002</v>
      </c>
      <c r="D1432">
        <f t="shared" si="41"/>
        <v>0.47622864999999998</v>
      </c>
    </row>
    <row r="1433" spans="1:4" x14ac:dyDescent="0.35">
      <c r="A1433">
        <v>4.3674299999999997</v>
      </c>
      <c r="B1433">
        <f t="shared" si="40"/>
        <v>4367.4299999999994</v>
      </c>
      <c r="C1433">
        <v>0.55986499999999995</v>
      </c>
      <c r="D1433">
        <f t="shared" si="41"/>
        <v>0.47588524999999993</v>
      </c>
    </row>
    <row r="1434" spans="1:4" x14ac:dyDescent="0.35">
      <c r="A1434">
        <v>4.3711099999999998</v>
      </c>
      <c r="B1434">
        <f t="shared" si="40"/>
        <v>4371.1099999999997</v>
      </c>
      <c r="C1434">
        <v>0.55944799999999995</v>
      </c>
      <c r="D1434">
        <f t="shared" si="41"/>
        <v>0.47553079999999992</v>
      </c>
    </row>
    <row r="1435" spans="1:4" x14ac:dyDescent="0.35">
      <c r="A1435">
        <v>4.3747999999999996</v>
      </c>
      <c r="B1435">
        <f t="shared" si="40"/>
        <v>4374.7999999999993</v>
      </c>
      <c r="C1435">
        <v>0.55902700000000005</v>
      </c>
      <c r="D1435">
        <f t="shared" si="41"/>
        <v>0.47517295000000004</v>
      </c>
    </row>
    <row r="1436" spans="1:4" x14ac:dyDescent="0.35">
      <c r="A1436">
        <v>4.3784900000000002</v>
      </c>
      <c r="B1436">
        <f t="shared" si="40"/>
        <v>4378.49</v>
      </c>
      <c r="C1436">
        <v>0.55863499999999999</v>
      </c>
      <c r="D1436">
        <f t="shared" si="41"/>
        <v>0.47483975</v>
      </c>
    </row>
    <row r="1437" spans="1:4" x14ac:dyDescent="0.35">
      <c r="A1437">
        <v>4.3821899999999996</v>
      </c>
      <c r="B1437">
        <f t="shared" si="40"/>
        <v>4382.1899999999996</v>
      </c>
      <c r="C1437">
        <v>0.55845699999999998</v>
      </c>
      <c r="D1437">
        <f t="shared" si="41"/>
        <v>0.47468844999999998</v>
      </c>
    </row>
    <row r="1438" spans="1:4" x14ac:dyDescent="0.35">
      <c r="A1438">
        <v>4.3859000000000004</v>
      </c>
      <c r="B1438">
        <f t="shared" si="40"/>
        <v>4385.9000000000005</v>
      </c>
      <c r="C1438">
        <v>0.55807200000000001</v>
      </c>
      <c r="D1438">
        <f t="shared" si="41"/>
        <v>0.47436119999999998</v>
      </c>
    </row>
    <row r="1439" spans="1:4" x14ac:dyDescent="0.35">
      <c r="A1439">
        <v>4.3896100000000002</v>
      </c>
      <c r="B1439">
        <f t="shared" si="40"/>
        <v>4389.6100000000006</v>
      </c>
      <c r="C1439">
        <v>0.557558</v>
      </c>
      <c r="D1439">
        <f t="shared" si="41"/>
        <v>0.47392429999999997</v>
      </c>
    </row>
    <row r="1440" spans="1:4" x14ac:dyDescent="0.35">
      <c r="A1440">
        <v>4.3933299999999997</v>
      </c>
      <c r="B1440">
        <f t="shared" si="40"/>
        <v>4393.33</v>
      </c>
      <c r="C1440">
        <v>0.55721699999999996</v>
      </c>
      <c r="D1440">
        <f t="shared" si="41"/>
        <v>0.47363444999999993</v>
      </c>
    </row>
    <row r="1441" spans="1:4" x14ac:dyDescent="0.35">
      <c r="A1441">
        <v>4.3970599999999997</v>
      </c>
      <c r="B1441">
        <f t="shared" si="40"/>
        <v>4397.0599999999995</v>
      </c>
      <c r="C1441">
        <v>0.556867</v>
      </c>
      <c r="D1441">
        <f t="shared" si="41"/>
        <v>0.47333694999999998</v>
      </c>
    </row>
    <row r="1442" spans="1:4" x14ac:dyDescent="0.35">
      <c r="A1442">
        <v>4.4007899999999998</v>
      </c>
      <c r="B1442">
        <f t="shared" si="40"/>
        <v>4400.79</v>
      </c>
      <c r="C1442">
        <v>0.55644300000000002</v>
      </c>
      <c r="D1442">
        <f t="shared" si="41"/>
        <v>0.47297655</v>
      </c>
    </row>
    <row r="1443" spans="1:4" x14ac:dyDescent="0.35">
      <c r="A1443">
        <v>4.4045300000000003</v>
      </c>
      <c r="B1443">
        <f t="shared" si="40"/>
        <v>4404.5300000000007</v>
      </c>
      <c r="C1443">
        <v>0.55593899999999996</v>
      </c>
      <c r="D1443">
        <f t="shared" si="41"/>
        <v>0.47254814999999994</v>
      </c>
    </row>
    <row r="1444" spans="1:4" x14ac:dyDescent="0.35">
      <c r="A1444">
        <v>4.4082800000000004</v>
      </c>
      <c r="B1444">
        <f t="shared" si="40"/>
        <v>4408.2800000000007</v>
      </c>
      <c r="C1444">
        <v>0.55555500000000002</v>
      </c>
      <c r="D1444">
        <f t="shared" si="41"/>
        <v>0.47222175</v>
      </c>
    </row>
    <row r="1445" spans="1:4" x14ac:dyDescent="0.35">
      <c r="A1445">
        <v>4.4120299999999997</v>
      </c>
      <c r="B1445">
        <f t="shared" si="40"/>
        <v>4412.03</v>
      </c>
      <c r="C1445">
        <v>0.55516299999999996</v>
      </c>
      <c r="D1445">
        <f t="shared" si="41"/>
        <v>0.47188854999999996</v>
      </c>
    </row>
    <row r="1446" spans="1:4" x14ac:dyDescent="0.35">
      <c r="A1446">
        <v>4.4157900000000003</v>
      </c>
      <c r="B1446">
        <f t="shared" si="40"/>
        <v>4415.79</v>
      </c>
      <c r="C1446">
        <v>0.55451700000000004</v>
      </c>
      <c r="D1446">
        <f t="shared" si="41"/>
        <v>0.47133944999999999</v>
      </c>
    </row>
    <row r="1447" spans="1:4" x14ac:dyDescent="0.35">
      <c r="A1447">
        <v>4.4195500000000001</v>
      </c>
      <c r="B1447">
        <f t="shared" si="40"/>
        <v>4419.55</v>
      </c>
      <c r="C1447">
        <v>0.55410899999999996</v>
      </c>
      <c r="D1447">
        <f t="shared" si="41"/>
        <v>0.47099264999999996</v>
      </c>
    </row>
    <row r="1448" spans="1:4" x14ac:dyDescent="0.35">
      <c r="A1448">
        <v>4.4233200000000004</v>
      </c>
      <c r="B1448">
        <f t="shared" si="40"/>
        <v>4423.3200000000006</v>
      </c>
      <c r="C1448">
        <v>0.55379500000000004</v>
      </c>
      <c r="D1448">
        <f t="shared" si="41"/>
        <v>0.47072575</v>
      </c>
    </row>
    <row r="1449" spans="1:4" x14ac:dyDescent="0.35">
      <c r="A1449">
        <v>4.4271000000000003</v>
      </c>
      <c r="B1449">
        <f t="shared" si="40"/>
        <v>4427.1000000000004</v>
      </c>
      <c r="C1449">
        <v>0.55335599999999996</v>
      </c>
      <c r="D1449">
        <f t="shared" si="41"/>
        <v>0.47035259999999995</v>
      </c>
    </row>
    <row r="1450" spans="1:4" x14ac:dyDescent="0.35">
      <c r="A1450">
        <v>4.4308800000000002</v>
      </c>
      <c r="B1450">
        <f t="shared" si="40"/>
        <v>4430.88</v>
      </c>
      <c r="C1450">
        <v>0.55282100000000001</v>
      </c>
      <c r="D1450">
        <f t="shared" si="41"/>
        <v>0.46989785000000001</v>
      </c>
    </row>
    <row r="1451" spans="1:4" x14ac:dyDescent="0.35">
      <c r="A1451">
        <v>4.4346800000000002</v>
      </c>
      <c r="B1451">
        <f t="shared" si="40"/>
        <v>4434.68</v>
      </c>
      <c r="C1451">
        <v>0.55234899999999998</v>
      </c>
      <c r="D1451">
        <f t="shared" si="41"/>
        <v>0.46949664999999996</v>
      </c>
    </row>
    <row r="1452" spans="1:4" x14ac:dyDescent="0.35">
      <c r="A1452">
        <v>4.4384699999999997</v>
      </c>
      <c r="B1452">
        <f t="shared" si="40"/>
        <v>4438.4699999999993</v>
      </c>
      <c r="C1452">
        <v>0.55207399999999995</v>
      </c>
      <c r="D1452">
        <f t="shared" si="41"/>
        <v>0.46926289999999993</v>
      </c>
    </row>
    <row r="1453" spans="1:4" x14ac:dyDescent="0.35">
      <c r="A1453">
        <v>4.4422800000000002</v>
      </c>
      <c r="B1453">
        <f t="shared" si="40"/>
        <v>4442.2800000000007</v>
      </c>
      <c r="C1453">
        <v>0.55174500000000004</v>
      </c>
      <c r="D1453">
        <f t="shared" si="41"/>
        <v>0.46898325000000002</v>
      </c>
    </row>
    <row r="1454" spans="1:4" x14ac:dyDescent="0.35">
      <c r="A1454">
        <v>4.4460800000000003</v>
      </c>
      <c r="B1454">
        <f t="shared" si="40"/>
        <v>4446.08</v>
      </c>
      <c r="C1454">
        <v>0.55127300000000001</v>
      </c>
      <c r="D1454">
        <f t="shared" si="41"/>
        <v>0.46858204999999997</v>
      </c>
    </row>
    <row r="1455" spans="1:4" x14ac:dyDescent="0.35">
      <c r="A1455">
        <v>4.4499000000000004</v>
      </c>
      <c r="B1455">
        <f t="shared" si="40"/>
        <v>4449.9000000000005</v>
      </c>
      <c r="C1455">
        <v>0.55090399999999995</v>
      </c>
      <c r="D1455">
        <f t="shared" si="41"/>
        <v>0.46826839999999992</v>
      </c>
    </row>
    <row r="1456" spans="1:4" x14ac:dyDescent="0.35">
      <c r="A1456">
        <v>4.4537199999999997</v>
      </c>
      <c r="B1456">
        <f t="shared" si="40"/>
        <v>4453.7199999999993</v>
      </c>
      <c r="C1456">
        <v>0.55032099999999995</v>
      </c>
      <c r="D1456">
        <f t="shared" si="41"/>
        <v>0.46777284999999996</v>
      </c>
    </row>
    <row r="1457" spans="1:4" x14ac:dyDescent="0.35">
      <c r="A1457">
        <v>4.4575500000000003</v>
      </c>
      <c r="B1457">
        <f t="shared" si="40"/>
        <v>4457.55</v>
      </c>
      <c r="C1457">
        <v>0.54979800000000001</v>
      </c>
      <c r="D1457">
        <f t="shared" si="41"/>
        <v>0.46732829999999997</v>
      </c>
    </row>
    <row r="1458" spans="1:4" x14ac:dyDescent="0.35">
      <c r="A1458">
        <v>4.4613899999999997</v>
      </c>
      <c r="B1458">
        <f t="shared" si="40"/>
        <v>4461.3899999999994</v>
      </c>
      <c r="C1458">
        <v>0.54912300000000003</v>
      </c>
      <c r="D1458">
        <f t="shared" si="41"/>
        <v>0.46675454999999999</v>
      </c>
    </row>
    <row r="1459" spans="1:4" x14ac:dyDescent="0.35">
      <c r="A1459">
        <v>4.46523</v>
      </c>
      <c r="B1459">
        <f t="shared" si="40"/>
        <v>4465.2300000000005</v>
      </c>
      <c r="C1459">
        <v>0.54817499999999997</v>
      </c>
      <c r="D1459">
        <f t="shared" si="41"/>
        <v>0.46594874999999997</v>
      </c>
    </row>
    <row r="1460" spans="1:4" x14ac:dyDescent="0.35">
      <c r="A1460">
        <v>4.4690799999999999</v>
      </c>
      <c r="B1460">
        <f t="shared" si="40"/>
        <v>4469.08</v>
      </c>
      <c r="C1460">
        <v>0.54720000000000002</v>
      </c>
      <c r="D1460">
        <f t="shared" si="41"/>
        <v>0.46511999999999998</v>
      </c>
    </row>
    <row r="1461" spans="1:4" x14ac:dyDescent="0.35">
      <c r="A1461">
        <v>4.4729400000000004</v>
      </c>
      <c r="B1461">
        <f t="shared" si="40"/>
        <v>4472.9400000000005</v>
      </c>
      <c r="C1461">
        <v>0.54605700000000001</v>
      </c>
      <c r="D1461">
        <f t="shared" si="41"/>
        <v>0.46414844999999999</v>
      </c>
    </row>
    <row r="1462" spans="1:4" x14ac:dyDescent="0.35">
      <c r="A1462">
        <v>4.4767999999999999</v>
      </c>
      <c r="B1462">
        <f t="shared" si="40"/>
        <v>4476.8</v>
      </c>
      <c r="C1462">
        <v>0.54475099999999999</v>
      </c>
      <c r="D1462">
        <f t="shared" si="41"/>
        <v>0.46303834999999999</v>
      </c>
    </row>
    <row r="1463" spans="1:4" x14ac:dyDescent="0.35">
      <c r="A1463">
        <v>4.4806699999999999</v>
      </c>
      <c r="B1463">
        <f t="shared" si="40"/>
        <v>4480.67</v>
      </c>
      <c r="C1463">
        <v>0.54343200000000003</v>
      </c>
      <c r="D1463">
        <f t="shared" si="41"/>
        <v>0.46191720000000003</v>
      </c>
    </row>
    <row r="1464" spans="1:4" x14ac:dyDescent="0.35">
      <c r="A1464">
        <v>4.4845499999999996</v>
      </c>
      <c r="B1464">
        <f t="shared" si="40"/>
        <v>4484.5499999999993</v>
      </c>
      <c r="C1464">
        <v>0.54214799999999996</v>
      </c>
      <c r="D1464">
        <f t="shared" si="41"/>
        <v>0.46082579999999995</v>
      </c>
    </row>
    <row r="1465" spans="1:4" x14ac:dyDescent="0.35">
      <c r="A1465">
        <v>4.4884300000000001</v>
      </c>
      <c r="B1465">
        <f t="shared" si="40"/>
        <v>4488.43</v>
      </c>
      <c r="C1465">
        <v>0.54099399999999997</v>
      </c>
      <c r="D1465">
        <f t="shared" si="41"/>
        <v>0.45984489999999995</v>
      </c>
    </row>
    <row r="1466" spans="1:4" x14ac:dyDescent="0.35">
      <c r="A1466">
        <v>4.4923200000000003</v>
      </c>
      <c r="B1466">
        <f t="shared" si="40"/>
        <v>4492.3200000000006</v>
      </c>
      <c r="C1466">
        <v>0.53999799999999998</v>
      </c>
      <c r="D1466">
        <f t="shared" si="41"/>
        <v>0.45899829999999997</v>
      </c>
    </row>
    <row r="1467" spans="1:4" x14ac:dyDescent="0.35">
      <c r="A1467">
        <v>4.4962099999999996</v>
      </c>
      <c r="B1467">
        <f t="shared" si="40"/>
        <v>4496.21</v>
      </c>
      <c r="C1467">
        <v>0.53900000000000003</v>
      </c>
      <c r="D1467">
        <f t="shared" si="41"/>
        <v>0.45815</v>
      </c>
    </row>
    <row r="1468" spans="1:4" x14ac:dyDescent="0.35">
      <c r="A1468">
        <v>4.5001199999999999</v>
      </c>
      <c r="B1468">
        <f t="shared" si="40"/>
        <v>4500.12</v>
      </c>
      <c r="C1468">
        <v>0.53801100000000002</v>
      </c>
      <c r="D1468">
        <f t="shared" si="41"/>
        <v>0.45730935</v>
      </c>
    </row>
    <row r="1469" spans="1:4" x14ac:dyDescent="0.35">
      <c r="A1469">
        <v>4.5040300000000002</v>
      </c>
      <c r="B1469">
        <f t="shared" si="40"/>
        <v>4504.0300000000007</v>
      </c>
      <c r="C1469">
        <v>0.53733699999999995</v>
      </c>
      <c r="D1469">
        <f t="shared" si="41"/>
        <v>0.45673644999999996</v>
      </c>
    </row>
    <row r="1470" spans="1:4" x14ac:dyDescent="0.35">
      <c r="A1470">
        <v>4.5079399999999996</v>
      </c>
      <c r="B1470">
        <f t="shared" si="40"/>
        <v>4507.9399999999996</v>
      </c>
      <c r="C1470">
        <v>0.536744</v>
      </c>
      <c r="D1470">
        <f t="shared" si="41"/>
        <v>0.45623239999999998</v>
      </c>
    </row>
    <row r="1471" spans="1:4" x14ac:dyDescent="0.35">
      <c r="A1471">
        <v>4.51187</v>
      </c>
      <c r="B1471">
        <f t="shared" si="40"/>
        <v>4511.87</v>
      </c>
      <c r="C1471">
        <v>0.53624400000000005</v>
      </c>
      <c r="D1471">
        <f t="shared" si="41"/>
        <v>0.45580740000000003</v>
      </c>
    </row>
    <row r="1472" spans="1:4" x14ac:dyDescent="0.35">
      <c r="A1472">
        <v>4.5157999999999996</v>
      </c>
      <c r="B1472">
        <f t="shared" si="40"/>
        <v>4515.7999999999993</v>
      </c>
      <c r="C1472">
        <v>0.53584399999999999</v>
      </c>
      <c r="D1472">
        <f t="shared" si="41"/>
        <v>0.45546739999999997</v>
      </c>
    </row>
    <row r="1473" spans="1:4" x14ac:dyDescent="0.35">
      <c r="A1473">
        <v>4.51973</v>
      </c>
      <c r="B1473">
        <f t="shared" si="40"/>
        <v>4519.7300000000005</v>
      </c>
      <c r="C1473">
        <v>0.53556700000000002</v>
      </c>
      <c r="D1473">
        <f t="shared" si="41"/>
        <v>0.45523195</v>
      </c>
    </row>
    <row r="1474" spans="1:4" x14ac:dyDescent="0.35">
      <c r="A1474">
        <v>4.5236799999999997</v>
      </c>
      <c r="B1474">
        <f t="shared" si="40"/>
        <v>4523.6799999999994</v>
      </c>
      <c r="C1474">
        <v>0.53512999999999999</v>
      </c>
      <c r="D1474">
        <f t="shared" si="41"/>
        <v>0.4548605</v>
      </c>
    </row>
    <row r="1475" spans="1:4" x14ac:dyDescent="0.35">
      <c r="A1475">
        <v>4.5276300000000003</v>
      </c>
      <c r="B1475">
        <f t="shared" si="40"/>
        <v>4527.63</v>
      </c>
      <c r="C1475">
        <v>0.53478499999999995</v>
      </c>
      <c r="D1475">
        <f t="shared" si="41"/>
        <v>0.45456724999999992</v>
      </c>
    </row>
    <row r="1476" spans="1:4" x14ac:dyDescent="0.35">
      <c r="A1476">
        <v>4.5315899999999996</v>
      </c>
      <c r="B1476">
        <f t="shared" si="40"/>
        <v>4531.5899999999992</v>
      </c>
      <c r="C1476">
        <v>0.53449400000000002</v>
      </c>
      <c r="D1476">
        <f t="shared" si="41"/>
        <v>0.4543199</v>
      </c>
    </row>
    <row r="1477" spans="1:4" x14ac:dyDescent="0.35">
      <c r="A1477">
        <v>4.5355499999999997</v>
      </c>
      <c r="B1477">
        <f t="shared" si="40"/>
        <v>4535.55</v>
      </c>
      <c r="C1477">
        <v>0.53416399999999997</v>
      </c>
      <c r="D1477">
        <f t="shared" si="41"/>
        <v>0.45403939999999998</v>
      </c>
    </row>
    <row r="1478" spans="1:4" x14ac:dyDescent="0.35">
      <c r="A1478">
        <v>4.5395200000000004</v>
      </c>
      <c r="B1478">
        <f t="shared" si="40"/>
        <v>4539.5200000000004</v>
      </c>
      <c r="C1478">
        <v>0.53382700000000005</v>
      </c>
      <c r="D1478">
        <f t="shared" si="41"/>
        <v>0.45375295000000004</v>
      </c>
    </row>
    <row r="1479" spans="1:4" x14ac:dyDescent="0.35">
      <c r="A1479">
        <v>4.5434999999999999</v>
      </c>
      <c r="B1479">
        <f t="shared" si="40"/>
        <v>4543.5</v>
      </c>
      <c r="C1479">
        <v>0.53337599999999996</v>
      </c>
      <c r="D1479">
        <f t="shared" si="41"/>
        <v>0.45336959999999993</v>
      </c>
    </row>
    <row r="1480" spans="1:4" x14ac:dyDescent="0.35">
      <c r="A1480">
        <v>4.5474899999999998</v>
      </c>
      <c r="B1480">
        <f t="shared" si="40"/>
        <v>4547.49</v>
      </c>
      <c r="C1480">
        <v>0.53281000000000001</v>
      </c>
      <c r="D1480">
        <f t="shared" si="41"/>
        <v>0.45288849999999997</v>
      </c>
    </row>
    <row r="1481" spans="1:4" x14ac:dyDescent="0.35">
      <c r="A1481">
        <v>4.5514799999999997</v>
      </c>
      <c r="B1481">
        <f t="shared" si="40"/>
        <v>4551.4799999999996</v>
      </c>
      <c r="C1481">
        <v>0.53220900000000004</v>
      </c>
      <c r="D1481">
        <f t="shared" si="41"/>
        <v>0.45237765000000002</v>
      </c>
    </row>
    <row r="1482" spans="1:4" x14ac:dyDescent="0.35">
      <c r="A1482">
        <v>4.5554800000000002</v>
      </c>
      <c r="B1482">
        <f t="shared" si="40"/>
        <v>4555.4800000000005</v>
      </c>
      <c r="C1482">
        <v>0.53123900000000002</v>
      </c>
      <c r="D1482">
        <f t="shared" si="41"/>
        <v>0.45155315000000001</v>
      </c>
    </row>
    <row r="1483" spans="1:4" x14ac:dyDescent="0.35">
      <c r="A1483">
        <v>4.5594900000000003</v>
      </c>
      <c r="B1483">
        <f t="shared" ref="B1483:B1546" si="42">A1483*1000</f>
        <v>4559.4900000000007</v>
      </c>
      <c r="C1483">
        <v>0.53012499999999996</v>
      </c>
      <c r="D1483">
        <f t="shared" ref="D1483:D1546" si="43">C1483*$D$137</f>
        <v>0.45060624999999993</v>
      </c>
    </row>
    <row r="1484" spans="1:4" x14ac:dyDescent="0.35">
      <c r="A1484">
        <v>4.5635000000000003</v>
      </c>
      <c r="B1484">
        <f t="shared" si="42"/>
        <v>4563.5</v>
      </c>
      <c r="C1484">
        <v>0.52893699999999999</v>
      </c>
      <c r="D1484">
        <f t="shared" si="43"/>
        <v>0.44959644999999998</v>
      </c>
    </row>
    <row r="1485" spans="1:4" x14ac:dyDescent="0.35">
      <c r="A1485">
        <v>4.56752</v>
      </c>
      <c r="B1485">
        <f t="shared" si="42"/>
        <v>4567.5200000000004</v>
      </c>
      <c r="C1485">
        <v>0.52768099999999996</v>
      </c>
      <c r="D1485">
        <f t="shared" si="43"/>
        <v>0.44852884999999992</v>
      </c>
    </row>
    <row r="1486" spans="1:4" x14ac:dyDescent="0.35">
      <c r="A1486">
        <v>4.5715500000000002</v>
      </c>
      <c r="B1486">
        <f t="shared" si="42"/>
        <v>4571.55</v>
      </c>
      <c r="C1486">
        <v>0.52622800000000003</v>
      </c>
      <c r="D1486">
        <f t="shared" si="43"/>
        <v>0.44729380000000002</v>
      </c>
    </row>
    <row r="1487" spans="1:4" x14ac:dyDescent="0.35">
      <c r="A1487">
        <v>4.5755800000000004</v>
      </c>
      <c r="B1487">
        <f t="shared" si="42"/>
        <v>4575.5800000000008</v>
      </c>
      <c r="C1487">
        <v>0.52479699999999996</v>
      </c>
      <c r="D1487">
        <f t="shared" si="43"/>
        <v>0.44607744999999993</v>
      </c>
    </row>
    <row r="1488" spans="1:4" x14ac:dyDescent="0.35">
      <c r="A1488">
        <v>4.5796299999999999</v>
      </c>
      <c r="B1488">
        <f t="shared" si="42"/>
        <v>4579.63</v>
      </c>
      <c r="C1488">
        <v>0.52332999999999996</v>
      </c>
      <c r="D1488">
        <f t="shared" si="43"/>
        <v>0.44483049999999996</v>
      </c>
    </row>
    <row r="1489" spans="1:4" x14ac:dyDescent="0.35">
      <c r="A1489">
        <v>4.5836699999999997</v>
      </c>
      <c r="B1489">
        <f t="shared" si="42"/>
        <v>4583.67</v>
      </c>
      <c r="C1489">
        <v>0.521729</v>
      </c>
      <c r="D1489">
        <f t="shared" si="43"/>
        <v>0.44346964999999999</v>
      </c>
    </row>
    <row r="1490" spans="1:4" x14ac:dyDescent="0.35">
      <c r="A1490">
        <v>4.5877299999999996</v>
      </c>
      <c r="B1490">
        <f t="shared" si="42"/>
        <v>4587.7299999999996</v>
      </c>
      <c r="C1490">
        <v>0.519895</v>
      </c>
      <c r="D1490">
        <f t="shared" si="43"/>
        <v>0.44191074999999996</v>
      </c>
    </row>
    <row r="1491" spans="1:4" x14ac:dyDescent="0.35">
      <c r="A1491">
        <v>4.5917899999999996</v>
      </c>
      <c r="B1491">
        <f t="shared" si="42"/>
        <v>4591.79</v>
      </c>
      <c r="C1491">
        <v>0.51809899999999998</v>
      </c>
      <c r="D1491">
        <f t="shared" si="43"/>
        <v>0.44038414999999997</v>
      </c>
    </row>
    <row r="1492" spans="1:4" x14ac:dyDescent="0.35">
      <c r="A1492">
        <v>4.5958600000000001</v>
      </c>
      <c r="B1492">
        <f t="shared" si="42"/>
        <v>4595.8599999999997</v>
      </c>
      <c r="C1492">
        <v>0.51641199999999998</v>
      </c>
      <c r="D1492">
        <f t="shared" si="43"/>
        <v>0.43895019999999996</v>
      </c>
    </row>
    <row r="1493" spans="1:4" x14ac:dyDescent="0.35">
      <c r="A1493">
        <v>4.5999400000000001</v>
      </c>
      <c r="B1493">
        <f t="shared" si="42"/>
        <v>4599.9400000000005</v>
      </c>
      <c r="C1493">
        <v>0.51453199999999999</v>
      </c>
      <c r="D1493">
        <f t="shared" si="43"/>
        <v>0.43735219999999997</v>
      </c>
    </row>
    <row r="1494" spans="1:4" x14ac:dyDescent="0.35">
      <c r="A1494">
        <v>4.6040299999999998</v>
      </c>
      <c r="B1494">
        <f t="shared" si="42"/>
        <v>4604.03</v>
      </c>
      <c r="C1494">
        <v>0.51244000000000001</v>
      </c>
      <c r="D1494">
        <f t="shared" si="43"/>
        <v>0.43557400000000002</v>
      </c>
    </row>
    <row r="1495" spans="1:4" x14ac:dyDescent="0.35">
      <c r="A1495">
        <v>4.6081200000000004</v>
      </c>
      <c r="B1495">
        <f t="shared" si="42"/>
        <v>4608.1200000000008</v>
      </c>
      <c r="C1495">
        <v>0.51015500000000003</v>
      </c>
      <c r="D1495">
        <f t="shared" si="43"/>
        <v>0.43363174999999998</v>
      </c>
    </row>
    <row r="1496" spans="1:4" x14ac:dyDescent="0.35">
      <c r="A1496">
        <v>4.6122199999999998</v>
      </c>
      <c r="B1496">
        <f t="shared" si="42"/>
        <v>4612.2199999999993</v>
      </c>
      <c r="C1496">
        <v>0.50779600000000003</v>
      </c>
      <c r="D1496">
        <f t="shared" si="43"/>
        <v>0.43162660000000003</v>
      </c>
    </row>
    <row r="1497" spans="1:4" x14ac:dyDescent="0.35">
      <c r="A1497">
        <v>4.6163299999999996</v>
      </c>
      <c r="B1497">
        <f t="shared" si="42"/>
        <v>4616.33</v>
      </c>
      <c r="C1497">
        <v>0.50527200000000005</v>
      </c>
      <c r="D1497">
        <f t="shared" si="43"/>
        <v>0.42948120000000001</v>
      </c>
    </row>
    <row r="1498" spans="1:4" x14ac:dyDescent="0.35">
      <c r="A1498">
        <v>4.6204400000000003</v>
      </c>
      <c r="B1498">
        <f t="shared" si="42"/>
        <v>4620.4400000000005</v>
      </c>
      <c r="C1498">
        <v>0.50250099999999998</v>
      </c>
      <c r="D1498">
        <f t="shared" si="43"/>
        <v>0.42712584999999997</v>
      </c>
    </row>
    <row r="1499" spans="1:4" x14ac:dyDescent="0.35">
      <c r="A1499">
        <v>4.6245599999999998</v>
      </c>
      <c r="B1499">
        <f t="shared" si="42"/>
        <v>4624.5599999999995</v>
      </c>
      <c r="C1499">
        <v>0.49965900000000002</v>
      </c>
      <c r="D1499">
        <f t="shared" si="43"/>
        <v>0.42471015000000001</v>
      </c>
    </row>
    <row r="1500" spans="1:4" x14ac:dyDescent="0.35">
      <c r="A1500">
        <v>4.6286899999999997</v>
      </c>
      <c r="B1500">
        <f t="shared" si="42"/>
        <v>4628.6899999999996</v>
      </c>
      <c r="C1500">
        <v>0.496975</v>
      </c>
      <c r="D1500">
        <f t="shared" si="43"/>
        <v>0.42242874999999996</v>
      </c>
    </row>
    <row r="1501" spans="1:4" x14ac:dyDescent="0.35">
      <c r="A1501">
        <v>4.6328300000000002</v>
      </c>
      <c r="B1501">
        <f t="shared" si="42"/>
        <v>4632.83</v>
      </c>
      <c r="C1501">
        <v>0.49418800000000002</v>
      </c>
      <c r="D1501">
        <f t="shared" si="43"/>
        <v>0.42005979999999998</v>
      </c>
    </row>
    <row r="1502" spans="1:4" x14ac:dyDescent="0.35">
      <c r="A1502">
        <v>4.6369699999999998</v>
      </c>
      <c r="B1502">
        <f t="shared" si="42"/>
        <v>4636.97</v>
      </c>
      <c r="C1502">
        <v>0.49121399999999998</v>
      </c>
      <c r="D1502">
        <f t="shared" si="43"/>
        <v>0.41753189999999996</v>
      </c>
    </row>
    <row r="1503" spans="1:4" x14ac:dyDescent="0.35">
      <c r="A1503">
        <v>4.6411199999999999</v>
      </c>
      <c r="B1503">
        <f t="shared" si="42"/>
        <v>4641.12</v>
      </c>
      <c r="C1503">
        <v>0.48830800000000002</v>
      </c>
      <c r="D1503">
        <f t="shared" si="43"/>
        <v>0.41506179999999998</v>
      </c>
    </row>
    <row r="1504" spans="1:4" x14ac:dyDescent="0.35">
      <c r="A1504">
        <v>4.6452799999999996</v>
      </c>
      <c r="B1504">
        <f t="shared" si="42"/>
        <v>4645.28</v>
      </c>
      <c r="C1504">
        <v>0.48556500000000002</v>
      </c>
      <c r="D1504">
        <f t="shared" si="43"/>
        <v>0.41273025000000002</v>
      </c>
    </row>
    <row r="1505" spans="1:4" x14ac:dyDescent="0.35">
      <c r="A1505">
        <v>4.6494499999999999</v>
      </c>
      <c r="B1505">
        <f t="shared" si="42"/>
        <v>4649.45</v>
      </c>
      <c r="C1505">
        <v>0.48297400000000001</v>
      </c>
      <c r="D1505">
        <f t="shared" si="43"/>
        <v>0.4105279</v>
      </c>
    </row>
    <row r="1506" spans="1:4" x14ac:dyDescent="0.35">
      <c r="A1506">
        <v>4.6536200000000001</v>
      </c>
      <c r="B1506">
        <f t="shared" si="42"/>
        <v>4653.62</v>
      </c>
      <c r="C1506">
        <v>0.48042200000000002</v>
      </c>
      <c r="D1506">
        <f t="shared" si="43"/>
        <v>0.40835870000000002</v>
      </c>
    </row>
    <row r="1507" spans="1:4" x14ac:dyDescent="0.35">
      <c r="A1507">
        <v>4.6577999999999999</v>
      </c>
      <c r="B1507">
        <f t="shared" si="42"/>
        <v>4657.8</v>
      </c>
      <c r="C1507">
        <v>0.47813099999999997</v>
      </c>
      <c r="D1507">
        <f t="shared" si="43"/>
        <v>0.40641134999999995</v>
      </c>
    </row>
    <row r="1508" spans="1:4" x14ac:dyDescent="0.35">
      <c r="A1508">
        <v>4.6619900000000003</v>
      </c>
      <c r="B1508">
        <f t="shared" si="42"/>
        <v>4661.9900000000007</v>
      </c>
      <c r="C1508">
        <v>0.47586699999999998</v>
      </c>
      <c r="D1508">
        <f t="shared" si="43"/>
        <v>0.40448694999999996</v>
      </c>
    </row>
    <row r="1509" spans="1:4" x14ac:dyDescent="0.35">
      <c r="A1509">
        <v>4.6661900000000003</v>
      </c>
      <c r="B1509">
        <f t="shared" si="42"/>
        <v>4666.1900000000005</v>
      </c>
      <c r="C1509">
        <v>0.47389100000000001</v>
      </c>
      <c r="D1509">
        <f t="shared" si="43"/>
        <v>0.40280735000000001</v>
      </c>
    </row>
    <row r="1510" spans="1:4" x14ac:dyDescent="0.35">
      <c r="A1510">
        <v>4.6703900000000003</v>
      </c>
      <c r="B1510">
        <f t="shared" si="42"/>
        <v>4670.3900000000003</v>
      </c>
      <c r="C1510">
        <v>0.472223</v>
      </c>
      <c r="D1510">
        <f t="shared" si="43"/>
        <v>0.40138954999999998</v>
      </c>
    </row>
    <row r="1511" spans="1:4" x14ac:dyDescent="0.35">
      <c r="A1511">
        <v>4.6745999999999999</v>
      </c>
      <c r="B1511">
        <f t="shared" si="42"/>
        <v>4674.5999999999995</v>
      </c>
      <c r="C1511">
        <v>0.47079199999999999</v>
      </c>
      <c r="D1511">
        <f t="shared" si="43"/>
        <v>0.40017320000000001</v>
      </c>
    </row>
    <row r="1512" spans="1:4" x14ac:dyDescent="0.35">
      <c r="A1512">
        <v>4.67882</v>
      </c>
      <c r="B1512">
        <f t="shared" si="42"/>
        <v>4678.82</v>
      </c>
      <c r="C1512">
        <v>0.46959800000000002</v>
      </c>
      <c r="D1512">
        <f t="shared" si="43"/>
        <v>0.39915830000000002</v>
      </c>
    </row>
    <row r="1513" spans="1:4" x14ac:dyDescent="0.35">
      <c r="A1513">
        <v>4.6830499999999997</v>
      </c>
      <c r="B1513">
        <f t="shared" si="42"/>
        <v>4683.0499999999993</v>
      </c>
      <c r="C1513">
        <v>0.46876800000000002</v>
      </c>
      <c r="D1513">
        <f t="shared" si="43"/>
        <v>0.3984528</v>
      </c>
    </row>
    <row r="1514" spans="1:4" x14ac:dyDescent="0.35">
      <c r="A1514">
        <v>4.6872800000000003</v>
      </c>
      <c r="B1514">
        <f t="shared" si="42"/>
        <v>4687.2800000000007</v>
      </c>
      <c r="C1514">
        <v>0.468136</v>
      </c>
      <c r="D1514">
        <f t="shared" si="43"/>
        <v>0.39791559999999998</v>
      </c>
    </row>
    <row r="1515" spans="1:4" x14ac:dyDescent="0.35">
      <c r="A1515">
        <v>4.6915199999999997</v>
      </c>
      <c r="B1515">
        <f t="shared" si="42"/>
        <v>4691.5199999999995</v>
      </c>
      <c r="C1515">
        <v>0.46768100000000001</v>
      </c>
      <c r="D1515">
        <f t="shared" si="43"/>
        <v>0.39752884999999999</v>
      </c>
    </row>
    <row r="1516" spans="1:4" x14ac:dyDescent="0.35">
      <c r="A1516">
        <v>4.6957700000000004</v>
      </c>
      <c r="B1516">
        <f t="shared" si="42"/>
        <v>4695.7700000000004</v>
      </c>
      <c r="C1516">
        <v>0.46739700000000001</v>
      </c>
      <c r="D1516">
        <f t="shared" si="43"/>
        <v>0.39728744999999999</v>
      </c>
    </row>
    <row r="1517" spans="1:4" x14ac:dyDescent="0.35">
      <c r="A1517">
        <v>4.7000299999999999</v>
      </c>
      <c r="B1517">
        <f t="shared" si="42"/>
        <v>4700.03</v>
      </c>
      <c r="C1517">
        <v>0.46726099999999998</v>
      </c>
      <c r="D1517">
        <f t="shared" si="43"/>
        <v>0.39717184999999999</v>
      </c>
    </row>
    <row r="1518" spans="1:4" x14ac:dyDescent="0.35">
      <c r="A1518">
        <v>4.7042999999999999</v>
      </c>
      <c r="B1518">
        <f t="shared" si="42"/>
        <v>4704.3</v>
      </c>
      <c r="C1518">
        <v>0.46711599999999998</v>
      </c>
      <c r="D1518">
        <f t="shared" si="43"/>
        <v>0.39704859999999997</v>
      </c>
    </row>
    <row r="1519" spans="1:4" x14ac:dyDescent="0.35">
      <c r="A1519">
        <v>4.7085699999999999</v>
      </c>
      <c r="B1519">
        <f t="shared" si="42"/>
        <v>4708.57</v>
      </c>
      <c r="C1519">
        <v>0.46701700000000002</v>
      </c>
      <c r="D1519">
        <f t="shared" si="43"/>
        <v>0.39696445000000002</v>
      </c>
    </row>
    <row r="1520" spans="1:4" x14ac:dyDescent="0.35">
      <c r="A1520">
        <v>4.7128500000000004</v>
      </c>
      <c r="B1520">
        <f t="shared" si="42"/>
        <v>4712.8500000000004</v>
      </c>
      <c r="C1520">
        <v>0.46695799999999998</v>
      </c>
      <c r="D1520">
        <f t="shared" si="43"/>
        <v>0.3969143</v>
      </c>
    </row>
    <row r="1521" spans="1:4" x14ac:dyDescent="0.35">
      <c r="A1521">
        <v>4.7171399999999997</v>
      </c>
      <c r="B1521">
        <f t="shared" si="42"/>
        <v>4717.1399999999994</v>
      </c>
      <c r="C1521">
        <v>0.46706999999999999</v>
      </c>
      <c r="D1521">
        <f t="shared" si="43"/>
        <v>0.39700949999999996</v>
      </c>
    </row>
    <row r="1522" spans="1:4" x14ac:dyDescent="0.35">
      <c r="A1522">
        <v>4.7214299999999998</v>
      </c>
      <c r="B1522">
        <f t="shared" si="42"/>
        <v>4721.4299999999994</v>
      </c>
      <c r="C1522">
        <v>0.46712100000000001</v>
      </c>
      <c r="D1522">
        <f t="shared" si="43"/>
        <v>0.39705285000000001</v>
      </c>
    </row>
    <row r="1523" spans="1:4" x14ac:dyDescent="0.35">
      <c r="A1523">
        <v>4.7257400000000001</v>
      </c>
      <c r="B1523">
        <f t="shared" si="42"/>
        <v>4725.74</v>
      </c>
      <c r="C1523">
        <v>0.46710600000000002</v>
      </c>
      <c r="D1523">
        <f t="shared" si="43"/>
        <v>0.39704010000000001</v>
      </c>
    </row>
    <row r="1524" spans="1:4" x14ac:dyDescent="0.35">
      <c r="A1524">
        <v>4.7300500000000003</v>
      </c>
      <c r="B1524">
        <f t="shared" si="42"/>
        <v>4730.05</v>
      </c>
      <c r="C1524">
        <v>0.46699000000000002</v>
      </c>
      <c r="D1524">
        <f t="shared" si="43"/>
        <v>0.3969415</v>
      </c>
    </row>
    <row r="1525" spans="1:4" x14ac:dyDescent="0.35">
      <c r="A1525">
        <v>4.7343700000000002</v>
      </c>
      <c r="B1525">
        <f t="shared" si="42"/>
        <v>4734.37</v>
      </c>
      <c r="C1525">
        <v>0.46698000000000001</v>
      </c>
      <c r="D1525">
        <f t="shared" si="43"/>
        <v>0.39693299999999998</v>
      </c>
    </row>
    <row r="1526" spans="1:4" x14ac:dyDescent="0.35">
      <c r="A1526">
        <v>4.7386999999999997</v>
      </c>
      <c r="B1526">
        <f t="shared" si="42"/>
        <v>4738.7</v>
      </c>
      <c r="C1526">
        <v>0.46679599999999999</v>
      </c>
      <c r="D1526">
        <f t="shared" si="43"/>
        <v>0.39677659999999998</v>
      </c>
    </row>
    <row r="1527" spans="1:4" x14ac:dyDescent="0.35">
      <c r="A1527">
        <v>4.7430300000000001</v>
      </c>
      <c r="B1527">
        <f t="shared" si="42"/>
        <v>4743.03</v>
      </c>
      <c r="C1527">
        <v>0.46659800000000001</v>
      </c>
      <c r="D1527">
        <f t="shared" si="43"/>
        <v>0.39660830000000002</v>
      </c>
    </row>
    <row r="1528" spans="1:4" x14ac:dyDescent="0.35">
      <c r="A1528">
        <v>4.7473799999999997</v>
      </c>
      <c r="B1528">
        <f t="shared" si="42"/>
        <v>4747.38</v>
      </c>
      <c r="C1528">
        <v>0.46645900000000001</v>
      </c>
      <c r="D1528">
        <f t="shared" si="43"/>
        <v>0.39649014999999999</v>
      </c>
    </row>
    <row r="1529" spans="1:4" x14ac:dyDescent="0.35">
      <c r="A1529">
        <v>4.7517300000000002</v>
      </c>
      <c r="B1529">
        <f t="shared" si="42"/>
        <v>4751.7300000000005</v>
      </c>
      <c r="C1529">
        <v>0.46620299999999998</v>
      </c>
      <c r="D1529">
        <f t="shared" si="43"/>
        <v>0.39627254999999995</v>
      </c>
    </row>
    <row r="1530" spans="1:4" x14ac:dyDescent="0.35">
      <c r="A1530">
        <v>4.7560900000000004</v>
      </c>
      <c r="B1530">
        <f t="shared" si="42"/>
        <v>4756.09</v>
      </c>
      <c r="C1530">
        <v>0.46585900000000002</v>
      </c>
      <c r="D1530">
        <f t="shared" si="43"/>
        <v>0.39598015000000003</v>
      </c>
    </row>
    <row r="1531" spans="1:4" x14ac:dyDescent="0.35">
      <c r="A1531">
        <v>4.7604499999999996</v>
      </c>
      <c r="B1531">
        <f t="shared" si="42"/>
        <v>4760.45</v>
      </c>
      <c r="C1531">
        <v>0.46537600000000001</v>
      </c>
      <c r="D1531">
        <f t="shared" si="43"/>
        <v>0.39556960000000002</v>
      </c>
    </row>
    <row r="1532" spans="1:4" x14ac:dyDescent="0.35">
      <c r="A1532">
        <v>4.7648299999999999</v>
      </c>
      <c r="B1532">
        <f t="shared" si="42"/>
        <v>4764.83</v>
      </c>
      <c r="C1532">
        <v>0.46468399999999999</v>
      </c>
      <c r="D1532">
        <f t="shared" si="43"/>
        <v>0.39498139999999998</v>
      </c>
    </row>
    <row r="1533" spans="1:4" x14ac:dyDescent="0.35">
      <c r="A1533">
        <v>4.7692100000000002</v>
      </c>
      <c r="B1533">
        <f t="shared" si="42"/>
        <v>4769.21</v>
      </c>
      <c r="C1533">
        <v>0.46399600000000002</v>
      </c>
      <c r="D1533">
        <f t="shared" si="43"/>
        <v>0.39439659999999999</v>
      </c>
    </row>
    <row r="1534" spans="1:4" x14ac:dyDescent="0.35">
      <c r="A1534">
        <v>4.7736000000000001</v>
      </c>
      <c r="B1534">
        <f t="shared" si="42"/>
        <v>4773.6000000000004</v>
      </c>
      <c r="C1534">
        <v>0.46315600000000001</v>
      </c>
      <c r="D1534">
        <f t="shared" si="43"/>
        <v>0.39368259999999999</v>
      </c>
    </row>
    <row r="1535" spans="1:4" x14ac:dyDescent="0.35">
      <c r="A1535">
        <v>4.7779999999999996</v>
      </c>
      <c r="B1535">
        <f t="shared" si="42"/>
        <v>4778</v>
      </c>
      <c r="C1535">
        <v>0.46224599999999999</v>
      </c>
      <c r="D1535">
        <f t="shared" si="43"/>
        <v>0.39290909999999996</v>
      </c>
    </row>
    <row r="1536" spans="1:4" x14ac:dyDescent="0.35">
      <c r="A1536">
        <v>4.7824099999999996</v>
      </c>
      <c r="B1536">
        <f t="shared" si="42"/>
        <v>4782.41</v>
      </c>
      <c r="C1536">
        <v>0.461063</v>
      </c>
      <c r="D1536">
        <f t="shared" si="43"/>
        <v>0.39190354999999999</v>
      </c>
    </row>
    <row r="1537" spans="1:4" x14ac:dyDescent="0.35">
      <c r="A1537">
        <v>4.7868300000000001</v>
      </c>
      <c r="B1537">
        <f t="shared" si="42"/>
        <v>4786.83</v>
      </c>
      <c r="C1537">
        <v>0.45976800000000001</v>
      </c>
      <c r="D1537">
        <f t="shared" si="43"/>
        <v>0.39080280000000001</v>
      </c>
    </row>
    <row r="1538" spans="1:4" x14ac:dyDescent="0.35">
      <c r="A1538">
        <v>4.7912499999999998</v>
      </c>
      <c r="B1538">
        <f t="shared" si="42"/>
        <v>4791.25</v>
      </c>
      <c r="C1538">
        <v>0.45844499999999999</v>
      </c>
      <c r="D1538">
        <f t="shared" si="43"/>
        <v>0.38967825</v>
      </c>
    </row>
    <row r="1539" spans="1:4" x14ac:dyDescent="0.35">
      <c r="A1539">
        <v>4.7956799999999999</v>
      </c>
      <c r="B1539">
        <f t="shared" si="42"/>
        <v>4795.68</v>
      </c>
      <c r="C1539">
        <v>0.45693099999999998</v>
      </c>
      <c r="D1539">
        <f t="shared" si="43"/>
        <v>0.38839134999999997</v>
      </c>
    </row>
    <row r="1540" spans="1:4" x14ac:dyDescent="0.35">
      <c r="A1540">
        <v>4.8001300000000002</v>
      </c>
      <c r="B1540">
        <f t="shared" si="42"/>
        <v>4800.13</v>
      </c>
      <c r="C1540">
        <v>0.45515600000000001</v>
      </c>
      <c r="D1540">
        <f t="shared" si="43"/>
        <v>0.38688260000000002</v>
      </c>
    </row>
    <row r="1541" spans="1:4" x14ac:dyDescent="0.35">
      <c r="A1541">
        <v>4.80457</v>
      </c>
      <c r="B1541">
        <f t="shared" si="42"/>
        <v>4804.57</v>
      </c>
      <c r="C1541">
        <v>0.45332899999999998</v>
      </c>
      <c r="D1541">
        <f t="shared" si="43"/>
        <v>0.38532964999999997</v>
      </c>
    </row>
    <row r="1542" spans="1:4" x14ac:dyDescent="0.35">
      <c r="A1542">
        <v>4.8090299999999999</v>
      </c>
      <c r="B1542">
        <f t="shared" si="42"/>
        <v>4809.03</v>
      </c>
      <c r="C1542">
        <v>0.45147500000000002</v>
      </c>
      <c r="D1542">
        <f t="shared" si="43"/>
        <v>0.38375375</v>
      </c>
    </row>
    <row r="1543" spans="1:4" x14ac:dyDescent="0.35">
      <c r="A1543">
        <v>4.8135000000000003</v>
      </c>
      <c r="B1543">
        <f t="shared" si="42"/>
        <v>4813.5</v>
      </c>
      <c r="C1543">
        <v>0.4496</v>
      </c>
      <c r="D1543">
        <f t="shared" si="43"/>
        <v>0.38216</v>
      </c>
    </row>
    <row r="1544" spans="1:4" x14ac:dyDescent="0.35">
      <c r="A1544">
        <v>4.8179699999999999</v>
      </c>
      <c r="B1544">
        <f t="shared" si="42"/>
        <v>4817.97</v>
      </c>
      <c r="C1544">
        <v>0.44753700000000002</v>
      </c>
      <c r="D1544">
        <f t="shared" si="43"/>
        <v>0.38040645000000001</v>
      </c>
    </row>
    <row r="1545" spans="1:4" x14ac:dyDescent="0.35">
      <c r="A1545">
        <v>4.8224499999999999</v>
      </c>
      <c r="B1545">
        <f t="shared" si="42"/>
        <v>4822.45</v>
      </c>
      <c r="C1545">
        <v>0.44528899999999999</v>
      </c>
      <c r="D1545">
        <f t="shared" si="43"/>
        <v>0.37849564999999996</v>
      </c>
    </row>
    <row r="1546" spans="1:4" x14ac:dyDescent="0.35">
      <c r="A1546">
        <v>4.8269399999999996</v>
      </c>
      <c r="B1546">
        <f t="shared" si="42"/>
        <v>4826.9399999999996</v>
      </c>
      <c r="C1546">
        <v>0.44301499999999999</v>
      </c>
      <c r="D1546">
        <f t="shared" si="43"/>
        <v>0.37656275</v>
      </c>
    </row>
    <row r="1547" spans="1:4" x14ac:dyDescent="0.35">
      <c r="A1547">
        <v>4.8314399999999997</v>
      </c>
      <c r="B1547">
        <f t="shared" ref="B1547:B1610" si="44">A1547*1000</f>
        <v>4831.4399999999996</v>
      </c>
      <c r="C1547">
        <v>0.44090200000000002</v>
      </c>
      <c r="D1547">
        <f t="shared" ref="D1547:D1610" si="45">C1547*$D$137</f>
        <v>0.37476670000000001</v>
      </c>
    </row>
    <row r="1548" spans="1:4" x14ac:dyDescent="0.35">
      <c r="A1548">
        <v>4.8359500000000004</v>
      </c>
      <c r="B1548">
        <f t="shared" si="44"/>
        <v>4835.9500000000007</v>
      </c>
      <c r="C1548">
        <v>0.43884600000000001</v>
      </c>
      <c r="D1548">
        <f t="shared" si="45"/>
        <v>0.37301909999999999</v>
      </c>
    </row>
    <row r="1549" spans="1:4" x14ac:dyDescent="0.35">
      <c r="A1549">
        <v>4.8404600000000002</v>
      </c>
      <c r="B1549">
        <f t="shared" si="44"/>
        <v>4840.46</v>
      </c>
      <c r="C1549">
        <v>0.43665799999999999</v>
      </c>
      <c r="D1549">
        <f t="shared" si="45"/>
        <v>0.37115929999999997</v>
      </c>
    </row>
    <row r="1550" spans="1:4" x14ac:dyDescent="0.35">
      <c r="A1550">
        <v>4.8449900000000001</v>
      </c>
      <c r="B1550">
        <f t="shared" si="44"/>
        <v>4844.99</v>
      </c>
      <c r="C1550">
        <v>0.43457400000000002</v>
      </c>
      <c r="D1550">
        <f t="shared" si="45"/>
        <v>0.36938789999999999</v>
      </c>
    </row>
    <row r="1551" spans="1:4" x14ac:dyDescent="0.35">
      <c r="A1551">
        <v>4.8495200000000001</v>
      </c>
      <c r="B1551">
        <f t="shared" si="44"/>
        <v>4849.5200000000004</v>
      </c>
      <c r="C1551">
        <v>0.43254500000000001</v>
      </c>
      <c r="D1551">
        <f t="shared" si="45"/>
        <v>0.36766325</v>
      </c>
    </row>
    <row r="1552" spans="1:4" x14ac:dyDescent="0.35">
      <c r="A1552">
        <v>4.8540599999999996</v>
      </c>
      <c r="B1552">
        <f t="shared" si="44"/>
        <v>4854.0599999999995</v>
      </c>
      <c r="C1552">
        <v>0.430591</v>
      </c>
      <c r="D1552">
        <f t="shared" si="45"/>
        <v>0.36600234999999998</v>
      </c>
    </row>
    <row r="1553" spans="1:4" x14ac:dyDescent="0.35">
      <c r="A1553">
        <v>4.8586099999999997</v>
      </c>
      <c r="B1553">
        <f t="shared" si="44"/>
        <v>4858.6099999999997</v>
      </c>
      <c r="C1553">
        <v>0.428622</v>
      </c>
      <c r="D1553">
        <f t="shared" si="45"/>
        <v>0.36432870000000001</v>
      </c>
    </row>
    <row r="1554" spans="1:4" x14ac:dyDescent="0.35">
      <c r="A1554">
        <v>4.8631700000000002</v>
      </c>
      <c r="B1554">
        <f t="shared" si="44"/>
        <v>4863.17</v>
      </c>
      <c r="C1554">
        <v>0.426624</v>
      </c>
      <c r="D1554">
        <f t="shared" si="45"/>
        <v>0.36263040000000002</v>
      </c>
    </row>
    <row r="1555" spans="1:4" x14ac:dyDescent="0.35">
      <c r="A1555">
        <v>4.8677299999999999</v>
      </c>
      <c r="B1555">
        <f t="shared" si="44"/>
        <v>4867.7299999999996</v>
      </c>
      <c r="C1555">
        <v>0.42465199999999997</v>
      </c>
      <c r="D1555">
        <f t="shared" si="45"/>
        <v>0.36095419999999995</v>
      </c>
    </row>
    <row r="1556" spans="1:4" x14ac:dyDescent="0.35">
      <c r="A1556">
        <v>4.8723099999999997</v>
      </c>
      <c r="B1556">
        <f t="shared" si="44"/>
        <v>4872.3099999999995</v>
      </c>
      <c r="C1556">
        <v>0.42256300000000002</v>
      </c>
      <c r="D1556">
        <f t="shared" si="45"/>
        <v>0.35917854999999999</v>
      </c>
    </row>
    <row r="1557" spans="1:4" x14ac:dyDescent="0.35">
      <c r="A1557">
        <v>4.8768900000000004</v>
      </c>
      <c r="B1557">
        <f t="shared" si="44"/>
        <v>4876.8900000000003</v>
      </c>
      <c r="C1557">
        <v>0.42053400000000002</v>
      </c>
      <c r="D1557">
        <f t="shared" si="45"/>
        <v>0.35745389999999999</v>
      </c>
    </row>
    <row r="1558" spans="1:4" x14ac:dyDescent="0.35">
      <c r="A1558">
        <v>4.8814799999999998</v>
      </c>
      <c r="B1558">
        <f t="shared" si="44"/>
        <v>4881.4799999999996</v>
      </c>
      <c r="C1558">
        <v>0.41847400000000001</v>
      </c>
      <c r="D1558">
        <f t="shared" si="45"/>
        <v>0.35570289999999999</v>
      </c>
    </row>
    <row r="1559" spans="1:4" x14ac:dyDescent="0.35">
      <c r="A1559">
        <v>4.8860799999999998</v>
      </c>
      <c r="B1559">
        <f t="shared" si="44"/>
        <v>4886.08</v>
      </c>
      <c r="C1559">
        <v>0.41629100000000002</v>
      </c>
      <c r="D1559">
        <f t="shared" si="45"/>
        <v>0.35384735</v>
      </c>
    </row>
    <row r="1560" spans="1:4" x14ac:dyDescent="0.35">
      <c r="A1560">
        <v>4.8906900000000002</v>
      </c>
      <c r="B1560">
        <f t="shared" si="44"/>
        <v>4890.6900000000005</v>
      </c>
      <c r="C1560">
        <v>0.41439399999999998</v>
      </c>
      <c r="D1560">
        <f t="shared" si="45"/>
        <v>0.35223489999999996</v>
      </c>
    </row>
    <row r="1561" spans="1:4" x14ac:dyDescent="0.35">
      <c r="A1561">
        <v>4.8953100000000003</v>
      </c>
      <c r="B1561">
        <f t="shared" si="44"/>
        <v>4895.3100000000004</v>
      </c>
      <c r="C1561">
        <v>0.41261599999999998</v>
      </c>
      <c r="D1561">
        <f t="shared" si="45"/>
        <v>0.35072359999999997</v>
      </c>
    </row>
    <row r="1562" spans="1:4" x14ac:dyDescent="0.35">
      <c r="A1562">
        <v>4.89994</v>
      </c>
      <c r="B1562">
        <f t="shared" si="44"/>
        <v>4899.9399999999996</v>
      </c>
      <c r="C1562">
        <v>0.41071999999999997</v>
      </c>
      <c r="D1562">
        <f t="shared" si="45"/>
        <v>0.34911199999999998</v>
      </c>
    </row>
    <row r="1563" spans="1:4" x14ac:dyDescent="0.35">
      <c r="A1563">
        <v>4.9045699999999997</v>
      </c>
      <c r="B1563">
        <f t="shared" si="44"/>
        <v>4904.57</v>
      </c>
      <c r="C1563">
        <v>0.40881800000000001</v>
      </c>
      <c r="D1563">
        <f t="shared" si="45"/>
        <v>0.34749530000000001</v>
      </c>
    </row>
    <row r="1564" spans="1:4" x14ac:dyDescent="0.35">
      <c r="A1564">
        <v>4.9092200000000004</v>
      </c>
      <c r="B1564">
        <f t="shared" si="44"/>
        <v>4909.22</v>
      </c>
      <c r="C1564">
        <v>0.407138</v>
      </c>
      <c r="D1564">
        <f t="shared" si="45"/>
        <v>0.34606729999999997</v>
      </c>
    </row>
    <row r="1565" spans="1:4" x14ac:dyDescent="0.35">
      <c r="A1565">
        <v>4.9138700000000002</v>
      </c>
      <c r="B1565">
        <f t="shared" si="44"/>
        <v>4913.87</v>
      </c>
      <c r="C1565">
        <v>0.40572999999999998</v>
      </c>
      <c r="D1565">
        <f t="shared" si="45"/>
        <v>0.34487049999999997</v>
      </c>
    </row>
    <row r="1566" spans="1:4" x14ac:dyDescent="0.35">
      <c r="A1566">
        <v>4.9185299999999996</v>
      </c>
      <c r="B1566">
        <f t="shared" si="44"/>
        <v>4918.53</v>
      </c>
      <c r="C1566">
        <v>0.40438000000000002</v>
      </c>
      <c r="D1566">
        <f t="shared" si="45"/>
        <v>0.343723</v>
      </c>
    </row>
    <row r="1567" spans="1:4" x14ac:dyDescent="0.35">
      <c r="A1567">
        <v>4.9232100000000001</v>
      </c>
      <c r="B1567">
        <f t="shared" si="44"/>
        <v>4923.21</v>
      </c>
      <c r="C1567">
        <v>0.40296599999999999</v>
      </c>
      <c r="D1567">
        <f t="shared" si="45"/>
        <v>0.34252109999999997</v>
      </c>
    </row>
    <row r="1568" spans="1:4" x14ac:dyDescent="0.35">
      <c r="A1568">
        <v>4.92788</v>
      </c>
      <c r="B1568">
        <f t="shared" si="44"/>
        <v>4927.88</v>
      </c>
      <c r="C1568">
        <v>0.40177200000000002</v>
      </c>
      <c r="D1568">
        <f t="shared" si="45"/>
        <v>0.34150619999999998</v>
      </c>
    </row>
    <row r="1569" spans="1:4" x14ac:dyDescent="0.35">
      <c r="A1569">
        <v>4.9325700000000001</v>
      </c>
      <c r="B1569">
        <f t="shared" si="44"/>
        <v>4932.57</v>
      </c>
      <c r="C1569">
        <v>0.40061600000000003</v>
      </c>
      <c r="D1569">
        <f t="shared" si="45"/>
        <v>0.34052360000000004</v>
      </c>
    </row>
    <row r="1570" spans="1:4" x14ac:dyDescent="0.35">
      <c r="A1570">
        <v>4.9372699999999998</v>
      </c>
      <c r="B1570">
        <f t="shared" si="44"/>
        <v>4937.2699999999995</v>
      </c>
      <c r="C1570">
        <v>0.39924999999999999</v>
      </c>
      <c r="D1570">
        <f t="shared" si="45"/>
        <v>0.33936250000000001</v>
      </c>
    </row>
    <row r="1571" spans="1:4" x14ac:dyDescent="0.35">
      <c r="A1571">
        <v>4.94198</v>
      </c>
      <c r="B1571">
        <f t="shared" si="44"/>
        <v>4941.9800000000005</v>
      </c>
      <c r="C1571">
        <v>0.39786100000000002</v>
      </c>
      <c r="D1571">
        <f t="shared" si="45"/>
        <v>0.33818185000000001</v>
      </c>
    </row>
    <row r="1572" spans="1:4" x14ac:dyDescent="0.35">
      <c r="A1572">
        <v>4.9466900000000003</v>
      </c>
      <c r="B1572">
        <f t="shared" si="44"/>
        <v>4946.6900000000005</v>
      </c>
      <c r="C1572">
        <v>0.39635799999999999</v>
      </c>
      <c r="D1572">
        <f t="shared" si="45"/>
        <v>0.33690429999999999</v>
      </c>
    </row>
    <row r="1573" spans="1:4" x14ac:dyDescent="0.35">
      <c r="A1573">
        <v>4.9514199999999997</v>
      </c>
      <c r="B1573">
        <f t="shared" si="44"/>
        <v>4951.42</v>
      </c>
      <c r="C1573">
        <v>0.39464900000000003</v>
      </c>
      <c r="D1573">
        <f t="shared" si="45"/>
        <v>0.33545164999999999</v>
      </c>
    </row>
    <row r="1574" spans="1:4" x14ac:dyDescent="0.35">
      <c r="A1574">
        <v>4.9561500000000001</v>
      </c>
      <c r="B1574">
        <f t="shared" si="44"/>
        <v>4956.1499999999996</v>
      </c>
      <c r="C1574">
        <v>0.39276800000000001</v>
      </c>
      <c r="D1574">
        <f t="shared" si="45"/>
        <v>0.33385280000000001</v>
      </c>
    </row>
    <row r="1575" spans="1:4" x14ac:dyDescent="0.35">
      <c r="A1575">
        <v>4.9608999999999996</v>
      </c>
      <c r="B1575">
        <f t="shared" si="44"/>
        <v>4960.8999999999996</v>
      </c>
      <c r="C1575">
        <v>0.39075300000000002</v>
      </c>
      <c r="D1575">
        <f t="shared" si="45"/>
        <v>0.33214005000000002</v>
      </c>
    </row>
    <row r="1576" spans="1:4" x14ac:dyDescent="0.35">
      <c r="A1576">
        <v>4.9656500000000001</v>
      </c>
      <c r="B1576">
        <f t="shared" si="44"/>
        <v>4965.6500000000005</v>
      </c>
      <c r="C1576">
        <v>0.38849699999999998</v>
      </c>
      <c r="D1576">
        <f t="shared" si="45"/>
        <v>0.33022245</v>
      </c>
    </row>
    <row r="1577" spans="1:4" x14ac:dyDescent="0.35">
      <c r="A1577">
        <v>4.9704100000000002</v>
      </c>
      <c r="B1577">
        <f t="shared" si="44"/>
        <v>4970.41</v>
      </c>
      <c r="C1577">
        <v>0.38591300000000001</v>
      </c>
      <c r="D1577">
        <f t="shared" si="45"/>
        <v>0.32802605000000001</v>
      </c>
    </row>
    <row r="1578" spans="1:4" x14ac:dyDescent="0.35">
      <c r="A1578">
        <v>4.9751799999999999</v>
      </c>
      <c r="B1578">
        <f t="shared" si="44"/>
        <v>4975.18</v>
      </c>
      <c r="C1578">
        <v>0.38324200000000003</v>
      </c>
      <c r="D1578">
        <f t="shared" si="45"/>
        <v>0.32575570000000004</v>
      </c>
    </row>
    <row r="1579" spans="1:4" x14ac:dyDescent="0.35">
      <c r="A1579">
        <v>4.9799600000000002</v>
      </c>
      <c r="B1579">
        <f t="shared" si="44"/>
        <v>4979.96</v>
      </c>
      <c r="C1579">
        <v>0.38051699999999999</v>
      </c>
      <c r="D1579">
        <f t="shared" si="45"/>
        <v>0.32343944999999996</v>
      </c>
    </row>
    <row r="1580" spans="1:4" x14ac:dyDescent="0.35">
      <c r="A1580">
        <v>4.98475</v>
      </c>
      <c r="B1580">
        <f t="shared" si="44"/>
        <v>4984.75</v>
      </c>
      <c r="C1580">
        <v>0.37769000000000003</v>
      </c>
      <c r="D1580">
        <f t="shared" si="45"/>
        <v>0.3210365</v>
      </c>
    </row>
    <row r="1581" spans="1:4" x14ac:dyDescent="0.35">
      <c r="A1581">
        <v>4.9895399999999999</v>
      </c>
      <c r="B1581">
        <f t="shared" si="44"/>
        <v>4989.54</v>
      </c>
      <c r="C1581">
        <v>0.374859</v>
      </c>
      <c r="D1581">
        <f t="shared" si="45"/>
        <v>0.31863015</v>
      </c>
    </row>
    <row r="1582" spans="1:4" x14ac:dyDescent="0.35">
      <c r="A1582">
        <v>4.9943499999999998</v>
      </c>
      <c r="B1582">
        <f t="shared" si="44"/>
        <v>4994.3499999999995</v>
      </c>
      <c r="C1582">
        <v>0.37202200000000002</v>
      </c>
      <c r="D1582">
        <f t="shared" si="45"/>
        <v>0.31621870000000002</v>
      </c>
    </row>
    <row r="1583" spans="1:4" x14ac:dyDescent="0.35">
      <c r="A1583">
        <v>4.9991700000000003</v>
      </c>
      <c r="B1583">
        <f t="shared" si="44"/>
        <v>4999.17</v>
      </c>
      <c r="C1583">
        <v>0.36923699999999998</v>
      </c>
      <c r="D1583">
        <f t="shared" si="45"/>
        <v>0.31385144999999998</v>
      </c>
    </row>
    <row r="1584" spans="1:4" x14ac:dyDescent="0.35">
      <c r="A1584">
        <v>5.0039899999999999</v>
      </c>
      <c r="B1584">
        <f t="shared" si="44"/>
        <v>5003.99</v>
      </c>
      <c r="C1584">
        <v>0.36625400000000002</v>
      </c>
      <c r="D1584">
        <f t="shared" si="45"/>
        <v>0.31131590000000003</v>
      </c>
    </row>
    <row r="1585" spans="1:4" x14ac:dyDescent="0.35">
      <c r="A1585">
        <v>5.0088299999999997</v>
      </c>
      <c r="B1585">
        <f t="shared" si="44"/>
        <v>5008.83</v>
      </c>
      <c r="C1585">
        <v>0.36327100000000001</v>
      </c>
      <c r="D1585">
        <f t="shared" si="45"/>
        <v>0.30878034999999998</v>
      </c>
    </row>
    <row r="1586" spans="1:4" x14ac:dyDescent="0.35">
      <c r="A1586">
        <v>5.0136700000000003</v>
      </c>
      <c r="B1586">
        <f t="shared" si="44"/>
        <v>5013.67</v>
      </c>
      <c r="C1586">
        <v>0.360406</v>
      </c>
      <c r="D1586">
        <f t="shared" si="45"/>
        <v>0.30634509999999998</v>
      </c>
    </row>
    <row r="1587" spans="1:4" x14ac:dyDescent="0.35">
      <c r="A1587">
        <v>5.0185199999999996</v>
      </c>
      <c r="B1587">
        <f t="shared" si="44"/>
        <v>5018.5199999999995</v>
      </c>
      <c r="C1587">
        <v>0.357352</v>
      </c>
      <c r="D1587">
        <f t="shared" si="45"/>
        <v>0.3037492</v>
      </c>
    </row>
    <row r="1588" spans="1:4" x14ac:dyDescent="0.35">
      <c r="A1588">
        <v>5.02339</v>
      </c>
      <c r="B1588">
        <f t="shared" si="44"/>
        <v>5023.3900000000003</v>
      </c>
      <c r="C1588">
        <v>0.35413099999999997</v>
      </c>
      <c r="D1588">
        <f t="shared" si="45"/>
        <v>0.30101134999999996</v>
      </c>
    </row>
    <row r="1589" spans="1:4" x14ac:dyDescent="0.35">
      <c r="A1589">
        <v>5.0282600000000004</v>
      </c>
      <c r="B1589">
        <f t="shared" si="44"/>
        <v>5028.26</v>
      </c>
      <c r="C1589">
        <v>0.35087499999999999</v>
      </c>
      <c r="D1589">
        <f t="shared" si="45"/>
        <v>0.29824374999999997</v>
      </c>
    </row>
    <row r="1590" spans="1:4" x14ac:dyDescent="0.35">
      <c r="A1590">
        <v>5.0331400000000004</v>
      </c>
      <c r="B1590">
        <f t="shared" si="44"/>
        <v>5033.1400000000003</v>
      </c>
      <c r="C1590">
        <v>0.34731499999999998</v>
      </c>
      <c r="D1590">
        <f t="shared" si="45"/>
        <v>0.29521775</v>
      </c>
    </row>
    <row r="1591" spans="1:4" x14ac:dyDescent="0.35">
      <c r="A1591">
        <v>5.03803</v>
      </c>
      <c r="B1591">
        <f t="shared" si="44"/>
        <v>5038.03</v>
      </c>
      <c r="C1591">
        <v>0.343559</v>
      </c>
      <c r="D1591">
        <f t="shared" si="45"/>
        <v>0.29202515000000001</v>
      </c>
    </row>
    <row r="1592" spans="1:4" x14ac:dyDescent="0.35">
      <c r="A1592">
        <v>5.0429300000000001</v>
      </c>
      <c r="B1592">
        <f t="shared" si="44"/>
        <v>5042.93</v>
      </c>
      <c r="C1592">
        <v>0.33966499999999999</v>
      </c>
      <c r="D1592">
        <f t="shared" si="45"/>
        <v>0.28871524999999998</v>
      </c>
    </row>
    <row r="1593" spans="1:4" x14ac:dyDescent="0.35">
      <c r="A1593">
        <v>5.0478399999999999</v>
      </c>
      <c r="B1593">
        <f t="shared" si="44"/>
        <v>5047.84</v>
      </c>
      <c r="C1593">
        <v>0.33564300000000002</v>
      </c>
      <c r="D1593">
        <f t="shared" si="45"/>
        <v>0.28529655000000004</v>
      </c>
    </row>
    <row r="1594" spans="1:4" x14ac:dyDescent="0.35">
      <c r="A1594">
        <v>5.0527600000000001</v>
      </c>
      <c r="B1594">
        <f t="shared" si="44"/>
        <v>5052.76</v>
      </c>
      <c r="C1594">
        <v>0.33140999999999998</v>
      </c>
      <c r="D1594">
        <f t="shared" si="45"/>
        <v>0.28169849999999996</v>
      </c>
    </row>
    <row r="1595" spans="1:4" x14ac:dyDescent="0.35">
      <c r="A1595">
        <v>5.05769</v>
      </c>
      <c r="B1595">
        <f t="shared" si="44"/>
        <v>5057.6899999999996</v>
      </c>
      <c r="C1595">
        <v>0.32719199999999998</v>
      </c>
      <c r="D1595">
        <f t="shared" si="45"/>
        <v>0.2781132</v>
      </c>
    </row>
    <row r="1596" spans="1:4" x14ac:dyDescent="0.35">
      <c r="A1596">
        <v>5.0626300000000004</v>
      </c>
      <c r="B1596">
        <f t="shared" si="44"/>
        <v>5062.63</v>
      </c>
      <c r="C1596">
        <v>0.32278899999999999</v>
      </c>
      <c r="D1596">
        <f t="shared" si="45"/>
        <v>0.27437064999999999</v>
      </c>
    </row>
    <row r="1597" spans="1:4" x14ac:dyDescent="0.35">
      <c r="A1597">
        <v>5.0675800000000004</v>
      </c>
      <c r="B1597">
        <f t="shared" si="44"/>
        <v>5067.5800000000008</v>
      </c>
      <c r="C1597">
        <v>0.31819500000000001</v>
      </c>
      <c r="D1597">
        <f t="shared" si="45"/>
        <v>0.27046575</v>
      </c>
    </row>
    <row r="1598" spans="1:4" x14ac:dyDescent="0.35">
      <c r="A1598">
        <v>5.07254</v>
      </c>
      <c r="B1598">
        <f t="shared" si="44"/>
        <v>5072.54</v>
      </c>
      <c r="C1598">
        <v>0.31363200000000002</v>
      </c>
      <c r="D1598">
        <f t="shared" si="45"/>
        <v>0.26658720000000002</v>
      </c>
    </row>
    <row r="1599" spans="1:4" x14ac:dyDescent="0.35">
      <c r="A1599">
        <v>5.0775100000000002</v>
      </c>
      <c r="B1599">
        <f t="shared" si="44"/>
        <v>5077.51</v>
      </c>
      <c r="C1599">
        <v>0.30915900000000002</v>
      </c>
      <c r="D1599">
        <f t="shared" si="45"/>
        <v>0.26278515000000002</v>
      </c>
    </row>
    <row r="1600" spans="1:4" x14ac:dyDescent="0.35">
      <c r="A1600">
        <v>5.08249</v>
      </c>
      <c r="B1600">
        <f t="shared" si="44"/>
        <v>5082.49</v>
      </c>
      <c r="C1600">
        <v>0.30470399999999997</v>
      </c>
      <c r="D1600">
        <f t="shared" si="45"/>
        <v>0.25899839999999996</v>
      </c>
    </row>
    <row r="1601" spans="1:4" x14ac:dyDescent="0.35">
      <c r="A1601">
        <v>5.0874699999999997</v>
      </c>
      <c r="B1601">
        <f t="shared" si="44"/>
        <v>5087.4699999999993</v>
      </c>
      <c r="C1601">
        <v>0.300147</v>
      </c>
      <c r="D1601">
        <f t="shared" si="45"/>
        <v>0.25512495000000002</v>
      </c>
    </row>
    <row r="1602" spans="1:4" x14ac:dyDescent="0.35">
      <c r="A1602">
        <v>5.0924699999999996</v>
      </c>
      <c r="B1602">
        <f t="shared" si="44"/>
        <v>5092.4699999999993</v>
      </c>
      <c r="C1602">
        <v>0.29552499999999998</v>
      </c>
      <c r="D1602">
        <f t="shared" si="45"/>
        <v>0.25119624999999995</v>
      </c>
    </row>
    <row r="1603" spans="1:4" x14ac:dyDescent="0.35">
      <c r="A1603">
        <v>5.09748</v>
      </c>
      <c r="B1603">
        <f t="shared" si="44"/>
        <v>5097.4799999999996</v>
      </c>
      <c r="C1603">
        <v>0.29107699999999997</v>
      </c>
      <c r="D1603">
        <f t="shared" si="45"/>
        <v>0.24741544999999998</v>
      </c>
    </row>
    <row r="1604" spans="1:4" x14ac:dyDescent="0.35">
      <c r="A1604">
        <v>5.1025</v>
      </c>
      <c r="B1604">
        <f t="shared" si="44"/>
        <v>5102.5</v>
      </c>
      <c r="C1604">
        <v>0.28682299999999999</v>
      </c>
      <c r="D1604">
        <f t="shared" si="45"/>
        <v>0.24379954999999998</v>
      </c>
    </row>
    <row r="1605" spans="1:4" x14ac:dyDescent="0.35">
      <c r="A1605">
        <v>5.1075200000000001</v>
      </c>
      <c r="B1605">
        <f t="shared" si="44"/>
        <v>5107.5200000000004</v>
      </c>
      <c r="C1605">
        <v>0.28260400000000002</v>
      </c>
      <c r="D1605">
        <f t="shared" si="45"/>
        <v>0.24021340000000002</v>
      </c>
    </row>
    <row r="1606" spans="1:4" x14ac:dyDescent="0.35">
      <c r="A1606">
        <v>5.1125600000000002</v>
      </c>
      <c r="B1606">
        <f t="shared" si="44"/>
        <v>5112.5600000000004</v>
      </c>
      <c r="C1606">
        <v>0.27839799999999998</v>
      </c>
      <c r="D1606">
        <f t="shared" si="45"/>
        <v>0.23663829999999997</v>
      </c>
    </row>
    <row r="1607" spans="1:4" x14ac:dyDescent="0.35">
      <c r="A1607">
        <v>5.11761</v>
      </c>
      <c r="B1607">
        <f t="shared" si="44"/>
        <v>5117.6099999999997</v>
      </c>
      <c r="C1607">
        <v>0.27427299999999999</v>
      </c>
      <c r="D1607">
        <f t="shared" si="45"/>
        <v>0.23313204999999998</v>
      </c>
    </row>
    <row r="1608" spans="1:4" x14ac:dyDescent="0.35">
      <c r="A1608">
        <v>5.1226599999999998</v>
      </c>
      <c r="B1608">
        <f t="shared" si="44"/>
        <v>5122.66</v>
      </c>
      <c r="C1608">
        <v>0.27047100000000002</v>
      </c>
      <c r="D1608">
        <f t="shared" si="45"/>
        <v>0.22990035</v>
      </c>
    </row>
    <row r="1609" spans="1:4" x14ac:dyDescent="0.35">
      <c r="A1609">
        <v>5.1277299999999997</v>
      </c>
      <c r="B1609">
        <f t="shared" si="44"/>
        <v>5127.7299999999996</v>
      </c>
      <c r="C1609">
        <v>0.26689800000000002</v>
      </c>
      <c r="D1609">
        <f t="shared" si="45"/>
        <v>0.22686330000000002</v>
      </c>
    </row>
    <row r="1610" spans="1:4" x14ac:dyDescent="0.35">
      <c r="A1610">
        <v>5.1328100000000001</v>
      </c>
      <c r="B1610">
        <f t="shared" si="44"/>
        <v>5132.8100000000004</v>
      </c>
      <c r="C1610">
        <v>0.26348100000000002</v>
      </c>
      <c r="D1610">
        <f t="shared" si="45"/>
        <v>0.22395885000000001</v>
      </c>
    </row>
    <row r="1611" spans="1:4" x14ac:dyDescent="0.35">
      <c r="A1611">
        <v>5.1378899999999996</v>
      </c>
      <c r="B1611">
        <f t="shared" ref="B1611:B1674" si="46">A1611*1000</f>
        <v>5137.8899999999994</v>
      </c>
      <c r="C1611">
        <v>0.26023099999999999</v>
      </c>
      <c r="D1611">
        <f t="shared" ref="D1611:D1674" si="47">C1611*$D$137</f>
        <v>0.22119634999999999</v>
      </c>
    </row>
    <row r="1612" spans="1:4" x14ac:dyDescent="0.35">
      <c r="A1612">
        <v>5.1429900000000002</v>
      </c>
      <c r="B1612">
        <f t="shared" si="46"/>
        <v>5142.99</v>
      </c>
      <c r="C1612">
        <v>0.25731599999999999</v>
      </c>
      <c r="D1612">
        <f t="shared" si="47"/>
        <v>0.21871859999999999</v>
      </c>
    </row>
    <row r="1613" spans="1:4" x14ac:dyDescent="0.35">
      <c r="A1613">
        <v>5.1481000000000003</v>
      </c>
      <c r="B1613">
        <f t="shared" si="46"/>
        <v>5148.1000000000004</v>
      </c>
      <c r="C1613">
        <v>0.254689</v>
      </c>
      <c r="D1613">
        <f t="shared" si="47"/>
        <v>0.21648565</v>
      </c>
    </row>
    <row r="1614" spans="1:4" x14ac:dyDescent="0.35">
      <c r="A1614">
        <v>5.1532200000000001</v>
      </c>
      <c r="B1614">
        <f t="shared" si="46"/>
        <v>5153.22</v>
      </c>
      <c r="C1614">
        <v>0.25237500000000002</v>
      </c>
      <c r="D1614">
        <f t="shared" si="47"/>
        <v>0.21451875000000001</v>
      </c>
    </row>
    <row r="1615" spans="1:4" x14ac:dyDescent="0.35">
      <c r="A1615">
        <v>5.1583399999999999</v>
      </c>
      <c r="B1615">
        <f t="shared" si="46"/>
        <v>5158.34</v>
      </c>
      <c r="C1615">
        <v>0.25036199999999997</v>
      </c>
      <c r="D1615">
        <f t="shared" si="47"/>
        <v>0.21280769999999996</v>
      </c>
    </row>
    <row r="1616" spans="1:4" x14ac:dyDescent="0.35">
      <c r="A1616">
        <v>5.1634799999999998</v>
      </c>
      <c r="B1616">
        <f t="shared" si="46"/>
        <v>5163.4799999999996</v>
      </c>
      <c r="C1616">
        <v>0.248473</v>
      </c>
      <c r="D1616">
        <f t="shared" si="47"/>
        <v>0.21120205</v>
      </c>
    </row>
    <row r="1617" spans="1:4" x14ac:dyDescent="0.35">
      <c r="A1617">
        <v>5.1686300000000003</v>
      </c>
      <c r="B1617">
        <f t="shared" si="46"/>
        <v>5168.63</v>
      </c>
      <c r="C1617">
        <v>0.246695</v>
      </c>
      <c r="D1617">
        <f t="shared" si="47"/>
        <v>0.20969074999999998</v>
      </c>
    </row>
    <row r="1618" spans="1:4" x14ac:dyDescent="0.35">
      <c r="A1618">
        <v>5.1737900000000003</v>
      </c>
      <c r="B1618">
        <f t="shared" si="46"/>
        <v>5173.79</v>
      </c>
      <c r="C1618">
        <v>0.245225</v>
      </c>
      <c r="D1618">
        <f t="shared" si="47"/>
        <v>0.20844124999999999</v>
      </c>
    </row>
    <row r="1619" spans="1:4" x14ac:dyDescent="0.35">
      <c r="A1619">
        <v>5.17896</v>
      </c>
      <c r="B1619">
        <f t="shared" si="46"/>
        <v>5178.96</v>
      </c>
      <c r="C1619">
        <v>0.24404200000000001</v>
      </c>
      <c r="D1619">
        <f t="shared" si="47"/>
        <v>0.2074357</v>
      </c>
    </row>
    <row r="1620" spans="1:4" x14ac:dyDescent="0.35">
      <c r="A1620">
        <v>5.1841299999999997</v>
      </c>
      <c r="B1620">
        <f t="shared" si="46"/>
        <v>5184.13</v>
      </c>
      <c r="C1620">
        <v>0.24313899999999999</v>
      </c>
      <c r="D1620">
        <f t="shared" si="47"/>
        <v>0.20666814999999999</v>
      </c>
    </row>
    <row r="1621" spans="1:4" x14ac:dyDescent="0.35">
      <c r="A1621">
        <v>5.1893200000000004</v>
      </c>
      <c r="B1621">
        <f t="shared" si="46"/>
        <v>5189.3200000000006</v>
      </c>
      <c r="C1621">
        <v>0.242586</v>
      </c>
      <c r="D1621">
        <f t="shared" si="47"/>
        <v>0.2061981</v>
      </c>
    </row>
    <row r="1622" spans="1:4" x14ac:dyDescent="0.35">
      <c r="A1622">
        <v>5.1945199999999998</v>
      </c>
      <c r="B1622">
        <f t="shared" si="46"/>
        <v>5194.5199999999995</v>
      </c>
      <c r="C1622">
        <v>0.24228</v>
      </c>
      <c r="D1622">
        <f t="shared" si="47"/>
        <v>0.20593799999999998</v>
      </c>
    </row>
    <row r="1623" spans="1:4" x14ac:dyDescent="0.35">
      <c r="A1623">
        <v>5.1997299999999997</v>
      </c>
      <c r="B1623">
        <f t="shared" si="46"/>
        <v>5199.7299999999996</v>
      </c>
      <c r="C1623">
        <v>0.24222399999999999</v>
      </c>
      <c r="D1623">
        <f t="shared" si="47"/>
        <v>0.2058904</v>
      </c>
    </row>
    <row r="1624" spans="1:4" x14ac:dyDescent="0.35">
      <c r="A1624">
        <v>5.2049599999999998</v>
      </c>
      <c r="B1624">
        <f t="shared" si="46"/>
        <v>5204.96</v>
      </c>
      <c r="C1624">
        <v>0.242455</v>
      </c>
      <c r="D1624">
        <f t="shared" si="47"/>
        <v>0.20608674999999999</v>
      </c>
    </row>
    <row r="1625" spans="1:4" x14ac:dyDescent="0.35">
      <c r="A1625">
        <v>5.2101899999999999</v>
      </c>
      <c r="B1625">
        <f t="shared" si="46"/>
        <v>5210.1899999999996</v>
      </c>
      <c r="C1625">
        <v>0.242927</v>
      </c>
      <c r="D1625">
        <f t="shared" si="47"/>
        <v>0.20648795</v>
      </c>
    </row>
    <row r="1626" spans="1:4" x14ac:dyDescent="0.35">
      <c r="A1626">
        <v>5.2154299999999996</v>
      </c>
      <c r="B1626">
        <f t="shared" si="46"/>
        <v>5215.4299999999994</v>
      </c>
      <c r="C1626">
        <v>0.24337800000000001</v>
      </c>
      <c r="D1626">
        <f t="shared" si="47"/>
        <v>0.20687130000000001</v>
      </c>
    </row>
    <row r="1627" spans="1:4" x14ac:dyDescent="0.35">
      <c r="A1627">
        <v>5.2206799999999998</v>
      </c>
      <c r="B1627">
        <f t="shared" si="46"/>
        <v>5220.6799999999994</v>
      </c>
      <c r="C1627">
        <v>0.24401100000000001</v>
      </c>
      <c r="D1627">
        <f t="shared" si="47"/>
        <v>0.20740934999999999</v>
      </c>
    </row>
    <row r="1628" spans="1:4" x14ac:dyDescent="0.35">
      <c r="A1628">
        <v>5.2259399999999996</v>
      </c>
      <c r="B1628">
        <f t="shared" si="46"/>
        <v>5225.9399999999996</v>
      </c>
      <c r="C1628">
        <v>0.24488099999999999</v>
      </c>
      <c r="D1628">
        <f t="shared" si="47"/>
        <v>0.20814885</v>
      </c>
    </row>
    <row r="1629" spans="1:4" x14ac:dyDescent="0.35">
      <c r="A1629">
        <v>5.2312200000000004</v>
      </c>
      <c r="B1629">
        <f t="shared" si="46"/>
        <v>5231.22</v>
      </c>
      <c r="C1629">
        <v>0.245697</v>
      </c>
      <c r="D1629">
        <f t="shared" si="47"/>
        <v>0.20884244999999999</v>
      </c>
    </row>
    <row r="1630" spans="1:4" x14ac:dyDescent="0.35">
      <c r="A1630">
        <v>5.2365000000000004</v>
      </c>
      <c r="B1630">
        <f t="shared" si="46"/>
        <v>5236.5</v>
      </c>
      <c r="C1630">
        <v>0.24654899999999999</v>
      </c>
      <c r="D1630">
        <f t="shared" si="47"/>
        <v>0.20956664999999999</v>
      </c>
    </row>
    <row r="1631" spans="1:4" x14ac:dyDescent="0.35">
      <c r="A1631">
        <v>5.2417899999999999</v>
      </c>
      <c r="B1631">
        <f t="shared" si="46"/>
        <v>5241.79</v>
      </c>
      <c r="C1631">
        <v>0.247583</v>
      </c>
      <c r="D1631">
        <f t="shared" si="47"/>
        <v>0.21044554999999998</v>
      </c>
    </row>
    <row r="1632" spans="1:4" x14ac:dyDescent="0.35">
      <c r="A1632">
        <v>5.2470999999999997</v>
      </c>
      <c r="B1632">
        <f t="shared" si="46"/>
        <v>5247.0999999999995</v>
      </c>
      <c r="C1632">
        <v>0.24886</v>
      </c>
      <c r="D1632">
        <f t="shared" si="47"/>
        <v>0.211531</v>
      </c>
    </row>
    <row r="1633" spans="1:4" x14ac:dyDescent="0.35">
      <c r="A1633">
        <v>5.2524199999999999</v>
      </c>
      <c r="B1633">
        <f t="shared" si="46"/>
        <v>5252.42</v>
      </c>
      <c r="C1633">
        <v>0.25009300000000001</v>
      </c>
      <c r="D1633">
        <f t="shared" si="47"/>
        <v>0.21257904999999999</v>
      </c>
    </row>
    <row r="1634" spans="1:4" x14ac:dyDescent="0.35">
      <c r="A1634">
        <v>5.2577400000000001</v>
      </c>
      <c r="B1634">
        <f t="shared" si="46"/>
        <v>5257.74</v>
      </c>
      <c r="C1634">
        <v>0.25127699999999997</v>
      </c>
      <c r="D1634">
        <f t="shared" si="47"/>
        <v>0.21358544999999998</v>
      </c>
    </row>
    <row r="1635" spans="1:4" x14ac:dyDescent="0.35">
      <c r="A1635">
        <v>5.2630800000000004</v>
      </c>
      <c r="B1635">
        <f t="shared" si="46"/>
        <v>5263.0800000000008</v>
      </c>
      <c r="C1635">
        <v>0.25262800000000002</v>
      </c>
      <c r="D1635">
        <f t="shared" si="47"/>
        <v>0.2147338</v>
      </c>
    </row>
    <row r="1636" spans="1:4" x14ac:dyDescent="0.35">
      <c r="A1636">
        <v>5.2684300000000004</v>
      </c>
      <c r="B1636">
        <f t="shared" si="46"/>
        <v>5268.43</v>
      </c>
      <c r="C1636">
        <v>0.25396600000000003</v>
      </c>
      <c r="D1636">
        <f t="shared" si="47"/>
        <v>0.21587110000000001</v>
      </c>
    </row>
    <row r="1637" spans="1:4" x14ac:dyDescent="0.35">
      <c r="A1637">
        <v>5.27379</v>
      </c>
      <c r="B1637">
        <f t="shared" si="46"/>
        <v>5273.79</v>
      </c>
      <c r="C1637">
        <v>0.25523699999999999</v>
      </c>
      <c r="D1637">
        <f t="shared" si="47"/>
        <v>0.21695144999999999</v>
      </c>
    </row>
    <row r="1638" spans="1:4" x14ac:dyDescent="0.35">
      <c r="A1638">
        <v>5.2791600000000001</v>
      </c>
      <c r="B1638">
        <f t="shared" si="46"/>
        <v>5279.16</v>
      </c>
      <c r="C1638">
        <v>0.25648700000000002</v>
      </c>
      <c r="D1638">
        <f t="shared" si="47"/>
        <v>0.21801395000000001</v>
      </c>
    </row>
    <row r="1639" spans="1:4" x14ac:dyDescent="0.35">
      <c r="A1639">
        <v>5.2845399999999998</v>
      </c>
      <c r="B1639">
        <f t="shared" si="46"/>
        <v>5284.54</v>
      </c>
      <c r="C1639">
        <v>0.25759799999999999</v>
      </c>
      <c r="D1639">
        <f t="shared" si="47"/>
        <v>0.21895829999999999</v>
      </c>
    </row>
    <row r="1640" spans="1:4" x14ac:dyDescent="0.35">
      <c r="A1640">
        <v>5.28993</v>
      </c>
      <c r="B1640">
        <f t="shared" si="46"/>
        <v>5289.93</v>
      </c>
      <c r="C1640">
        <v>0.25848700000000002</v>
      </c>
      <c r="D1640">
        <f t="shared" si="47"/>
        <v>0.21971395000000002</v>
      </c>
    </row>
    <row r="1641" spans="1:4" x14ac:dyDescent="0.35">
      <c r="A1641">
        <v>5.2953400000000004</v>
      </c>
      <c r="B1641">
        <f t="shared" si="46"/>
        <v>5295.34</v>
      </c>
      <c r="C1641">
        <v>0.25905600000000001</v>
      </c>
      <c r="D1641">
        <f t="shared" si="47"/>
        <v>0.22019759999999999</v>
      </c>
    </row>
    <row r="1642" spans="1:4" x14ac:dyDescent="0.35">
      <c r="A1642">
        <v>5.3007499999999999</v>
      </c>
      <c r="B1642">
        <f t="shared" si="46"/>
        <v>5300.75</v>
      </c>
      <c r="C1642">
        <v>0.25955</v>
      </c>
      <c r="D1642">
        <f t="shared" si="47"/>
        <v>0.22061749999999999</v>
      </c>
    </row>
    <row r="1643" spans="1:4" x14ac:dyDescent="0.35">
      <c r="A1643">
        <v>5.3061800000000003</v>
      </c>
      <c r="B1643">
        <f t="shared" si="46"/>
        <v>5306.18</v>
      </c>
      <c r="C1643">
        <v>0.259876</v>
      </c>
      <c r="D1643">
        <f t="shared" si="47"/>
        <v>0.2208946</v>
      </c>
    </row>
    <row r="1644" spans="1:4" x14ac:dyDescent="0.35">
      <c r="A1644">
        <v>5.3116099999999999</v>
      </c>
      <c r="B1644">
        <f t="shared" si="46"/>
        <v>5311.61</v>
      </c>
      <c r="C1644">
        <v>0.25985599999999998</v>
      </c>
      <c r="D1644">
        <f t="shared" si="47"/>
        <v>0.22087759999999998</v>
      </c>
    </row>
    <row r="1645" spans="1:4" x14ac:dyDescent="0.35">
      <c r="A1645">
        <v>5.3170599999999997</v>
      </c>
      <c r="B1645">
        <f t="shared" si="46"/>
        <v>5317.0599999999995</v>
      </c>
      <c r="C1645">
        <v>0.25954300000000002</v>
      </c>
      <c r="D1645">
        <f t="shared" si="47"/>
        <v>0.22061155000000002</v>
      </c>
    </row>
    <row r="1646" spans="1:4" x14ac:dyDescent="0.35">
      <c r="A1646">
        <v>5.3225199999999999</v>
      </c>
      <c r="B1646">
        <f t="shared" si="46"/>
        <v>5322.5199999999995</v>
      </c>
      <c r="C1646">
        <v>0.25901800000000003</v>
      </c>
      <c r="D1646">
        <f t="shared" si="47"/>
        <v>0.22016530000000001</v>
      </c>
    </row>
    <row r="1647" spans="1:4" x14ac:dyDescent="0.35">
      <c r="A1647">
        <v>5.3279899999999998</v>
      </c>
      <c r="B1647">
        <f t="shared" si="46"/>
        <v>5327.99</v>
      </c>
      <c r="C1647">
        <v>0.25821</v>
      </c>
      <c r="D1647">
        <f t="shared" si="47"/>
        <v>0.21947849999999999</v>
      </c>
    </row>
    <row r="1648" spans="1:4" x14ac:dyDescent="0.35">
      <c r="A1648">
        <v>5.3334700000000002</v>
      </c>
      <c r="B1648">
        <f t="shared" si="46"/>
        <v>5333.47</v>
      </c>
      <c r="C1648">
        <v>0.25718400000000002</v>
      </c>
      <c r="D1648">
        <f t="shared" si="47"/>
        <v>0.21860640000000001</v>
      </c>
    </row>
    <row r="1649" spans="1:4" x14ac:dyDescent="0.35">
      <c r="A1649">
        <v>5.3389600000000002</v>
      </c>
      <c r="B1649">
        <f t="shared" si="46"/>
        <v>5338.96</v>
      </c>
      <c r="C1649">
        <v>0.25598300000000002</v>
      </c>
      <c r="D1649">
        <f t="shared" si="47"/>
        <v>0.21758555000000002</v>
      </c>
    </row>
    <row r="1650" spans="1:4" x14ac:dyDescent="0.35">
      <c r="A1650">
        <v>5.3444700000000003</v>
      </c>
      <c r="B1650">
        <f t="shared" si="46"/>
        <v>5344.47</v>
      </c>
      <c r="C1650">
        <v>0.25469599999999998</v>
      </c>
      <c r="D1650">
        <f t="shared" si="47"/>
        <v>0.21649159999999998</v>
      </c>
    </row>
    <row r="1651" spans="1:4" x14ac:dyDescent="0.35">
      <c r="A1651">
        <v>5.3499800000000004</v>
      </c>
      <c r="B1651">
        <f t="shared" si="46"/>
        <v>5349.9800000000005</v>
      </c>
      <c r="C1651">
        <v>0.253052</v>
      </c>
      <c r="D1651">
        <f t="shared" si="47"/>
        <v>0.21509419999999999</v>
      </c>
    </row>
    <row r="1652" spans="1:4" x14ac:dyDescent="0.35">
      <c r="A1652">
        <v>5.3555099999999998</v>
      </c>
      <c r="B1652">
        <f t="shared" si="46"/>
        <v>5355.51</v>
      </c>
      <c r="C1652">
        <v>0.25121500000000002</v>
      </c>
      <c r="D1652">
        <f t="shared" si="47"/>
        <v>0.21353275000000002</v>
      </c>
    </row>
    <row r="1653" spans="1:4" x14ac:dyDescent="0.35">
      <c r="A1653">
        <v>5.3610499999999996</v>
      </c>
      <c r="B1653">
        <f t="shared" si="46"/>
        <v>5361.0499999999993</v>
      </c>
      <c r="C1653">
        <v>0.24926300000000001</v>
      </c>
      <c r="D1653">
        <f t="shared" si="47"/>
        <v>0.21187354999999999</v>
      </c>
    </row>
    <row r="1654" spans="1:4" x14ac:dyDescent="0.35">
      <c r="A1654">
        <v>5.3666</v>
      </c>
      <c r="B1654">
        <f t="shared" si="46"/>
        <v>5366.6</v>
      </c>
      <c r="C1654">
        <v>0.24727099999999999</v>
      </c>
      <c r="D1654">
        <f t="shared" si="47"/>
        <v>0.21018034999999999</v>
      </c>
    </row>
    <row r="1655" spans="1:4" x14ac:dyDescent="0.35">
      <c r="A1655">
        <v>5.37216</v>
      </c>
      <c r="B1655">
        <f t="shared" si="46"/>
        <v>5372.16</v>
      </c>
      <c r="C1655">
        <v>0.245059</v>
      </c>
      <c r="D1655">
        <f t="shared" si="47"/>
        <v>0.20830014999999999</v>
      </c>
    </row>
    <row r="1656" spans="1:4" x14ac:dyDescent="0.35">
      <c r="A1656">
        <v>5.3777299999999997</v>
      </c>
      <c r="B1656">
        <f t="shared" si="46"/>
        <v>5377.73</v>
      </c>
      <c r="C1656">
        <v>0.24263199999999999</v>
      </c>
      <c r="D1656">
        <f t="shared" si="47"/>
        <v>0.20623719999999998</v>
      </c>
    </row>
    <row r="1657" spans="1:4" x14ac:dyDescent="0.35">
      <c r="A1657">
        <v>5.3833200000000003</v>
      </c>
      <c r="B1657">
        <f t="shared" si="46"/>
        <v>5383.3200000000006</v>
      </c>
      <c r="C1657">
        <v>0.240012</v>
      </c>
      <c r="D1657">
        <f t="shared" si="47"/>
        <v>0.2040102</v>
      </c>
    </row>
    <row r="1658" spans="1:4" x14ac:dyDescent="0.35">
      <c r="A1658">
        <v>5.3889100000000001</v>
      </c>
      <c r="B1658">
        <f t="shared" si="46"/>
        <v>5388.91</v>
      </c>
      <c r="C1658">
        <v>0.23735300000000001</v>
      </c>
      <c r="D1658">
        <f t="shared" si="47"/>
        <v>0.20175005000000001</v>
      </c>
    </row>
    <row r="1659" spans="1:4" x14ac:dyDescent="0.35">
      <c r="A1659">
        <v>5.39452</v>
      </c>
      <c r="B1659">
        <f t="shared" si="46"/>
        <v>5394.52</v>
      </c>
      <c r="C1659">
        <v>0.23464499999999999</v>
      </c>
      <c r="D1659">
        <f t="shared" si="47"/>
        <v>0.19944824999999999</v>
      </c>
    </row>
    <row r="1660" spans="1:4" x14ac:dyDescent="0.35">
      <c r="A1660">
        <v>5.4001400000000004</v>
      </c>
      <c r="B1660">
        <f t="shared" si="46"/>
        <v>5400.14</v>
      </c>
      <c r="C1660">
        <v>0.231991</v>
      </c>
      <c r="D1660">
        <f t="shared" si="47"/>
        <v>0.19719234999999999</v>
      </c>
    </row>
    <row r="1661" spans="1:4" x14ac:dyDescent="0.35">
      <c r="A1661">
        <v>5.4057700000000004</v>
      </c>
      <c r="B1661">
        <f t="shared" si="46"/>
        <v>5405.77</v>
      </c>
      <c r="C1661">
        <v>0.2293</v>
      </c>
      <c r="D1661">
        <f t="shared" si="47"/>
        <v>0.19490499999999999</v>
      </c>
    </row>
    <row r="1662" spans="1:4" x14ac:dyDescent="0.35">
      <c r="A1662">
        <v>5.4114100000000001</v>
      </c>
      <c r="B1662">
        <f t="shared" si="46"/>
        <v>5411.41</v>
      </c>
      <c r="C1662">
        <v>0.22666700000000001</v>
      </c>
      <c r="D1662">
        <f t="shared" si="47"/>
        <v>0.19266695</v>
      </c>
    </row>
    <row r="1663" spans="1:4" x14ac:dyDescent="0.35">
      <c r="A1663">
        <v>5.4170699999999998</v>
      </c>
      <c r="B1663">
        <f t="shared" si="46"/>
        <v>5417.07</v>
      </c>
      <c r="C1663">
        <v>0.224052</v>
      </c>
      <c r="D1663">
        <f t="shared" si="47"/>
        <v>0.19044420000000001</v>
      </c>
    </row>
    <row r="1664" spans="1:4" x14ac:dyDescent="0.35">
      <c r="A1664">
        <v>5.4227400000000001</v>
      </c>
      <c r="B1664">
        <f t="shared" si="46"/>
        <v>5422.74</v>
      </c>
      <c r="C1664">
        <v>0.22142899999999999</v>
      </c>
      <c r="D1664">
        <f t="shared" si="47"/>
        <v>0.18821464999999998</v>
      </c>
    </row>
    <row r="1665" spans="1:4" x14ac:dyDescent="0.35">
      <c r="A1665">
        <v>5.4284100000000004</v>
      </c>
      <c r="B1665">
        <f t="shared" si="46"/>
        <v>5428.4100000000008</v>
      </c>
      <c r="C1665">
        <v>0.21881300000000001</v>
      </c>
      <c r="D1665">
        <f t="shared" si="47"/>
        <v>0.18599104999999999</v>
      </c>
    </row>
    <row r="1666" spans="1:4" x14ac:dyDescent="0.35">
      <c r="A1666">
        <v>5.4340999999999999</v>
      </c>
      <c r="B1666">
        <f t="shared" si="46"/>
        <v>5434.1</v>
      </c>
      <c r="C1666">
        <v>0.216475</v>
      </c>
      <c r="D1666">
        <f t="shared" si="47"/>
        <v>0.18400374999999999</v>
      </c>
    </row>
    <row r="1667" spans="1:4" x14ac:dyDescent="0.35">
      <c r="A1667">
        <v>5.4398099999999996</v>
      </c>
      <c r="B1667">
        <f t="shared" si="46"/>
        <v>5439.8099999999995</v>
      </c>
      <c r="C1667">
        <v>0.214119</v>
      </c>
      <c r="D1667">
        <f t="shared" si="47"/>
        <v>0.18200115</v>
      </c>
    </row>
    <row r="1668" spans="1:4" x14ac:dyDescent="0.35">
      <c r="A1668">
        <v>5.4455200000000001</v>
      </c>
      <c r="B1668">
        <f t="shared" si="46"/>
        <v>5445.52</v>
      </c>
      <c r="C1668">
        <v>0.21162400000000001</v>
      </c>
      <c r="D1668">
        <f t="shared" si="47"/>
        <v>0.1798804</v>
      </c>
    </row>
    <row r="1669" spans="1:4" x14ac:dyDescent="0.35">
      <c r="A1669">
        <v>5.4512499999999999</v>
      </c>
      <c r="B1669">
        <f t="shared" si="46"/>
        <v>5451.25</v>
      </c>
      <c r="C1669">
        <v>0.20899499999999999</v>
      </c>
      <c r="D1669">
        <f t="shared" si="47"/>
        <v>0.17764574999999999</v>
      </c>
    </row>
    <row r="1670" spans="1:4" x14ac:dyDescent="0.35">
      <c r="A1670">
        <v>5.4569799999999997</v>
      </c>
      <c r="B1670">
        <f t="shared" si="46"/>
        <v>5456.98</v>
      </c>
      <c r="C1670">
        <v>0.20630799999999999</v>
      </c>
      <c r="D1670">
        <f t="shared" si="47"/>
        <v>0.17536179999999998</v>
      </c>
    </row>
    <row r="1671" spans="1:4" x14ac:dyDescent="0.35">
      <c r="A1671">
        <v>5.4627299999999996</v>
      </c>
      <c r="B1671">
        <f t="shared" si="46"/>
        <v>5462.73</v>
      </c>
      <c r="C1671">
        <v>0.20343900000000001</v>
      </c>
      <c r="D1671">
        <f t="shared" si="47"/>
        <v>0.17292315</v>
      </c>
    </row>
    <row r="1672" spans="1:4" x14ac:dyDescent="0.35">
      <c r="A1672">
        <v>5.4684999999999997</v>
      </c>
      <c r="B1672">
        <f t="shared" si="46"/>
        <v>5468.5</v>
      </c>
      <c r="C1672">
        <v>0.200516</v>
      </c>
      <c r="D1672">
        <f t="shared" si="47"/>
        <v>0.1704386</v>
      </c>
    </row>
    <row r="1673" spans="1:4" x14ac:dyDescent="0.35">
      <c r="A1673">
        <v>5.4742699999999997</v>
      </c>
      <c r="B1673">
        <f t="shared" si="46"/>
        <v>5474.2699999999995</v>
      </c>
      <c r="C1673">
        <v>0.197765</v>
      </c>
      <c r="D1673">
        <f t="shared" si="47"/>
        <v>0.16810024999999998</v>
      </c>
    </row>
    <row r="1674" spans="1:4" x14ac:dyDescent="0.35">
      <c r="A1674">
        <v>5.4800599999999999</v>
      </c>
      <c r="B1674">
        <f t="shared" si="46"/>
        <v>5480.0599999999995</v>
      </c>
      <c r="C1674">
        <v>0.19544400000000001</v>
      </c>
      <c r="D1674">
        <f t="shared" si="47"/>
        <v>0.16612740000000001</v>
      </c>
    </row>
    <row r="1675" spans="1:4" x14ac:dyDescent="0.35">
      <c r="A1675">
        <v>5.4858599999999997</v>
      </c>
      <c r="B1675">
        <f t="shared" ref="B1675:B1738" si="48">A1675*1000</f>
        <v>5485.86</v>
      </c>
      <c r="C1675">
        <v>0.193527</v>
      </c>
      <c r="D1675">
        <f t="shared" ref="D1675:D1738" si="49">C1675*$D$137</f>
        <v>0.16449795</v>
      </c>
    </row>
    <row r="1676" spans="1:4" x14ac:dyDescent="0.35">
      <c r="A1676">
        <v>5.4916700000000001</v>
      </c>
      <c r="B1676">
        <f t="shared" si="48"/>
        <v>5491.67</v>
      </c>
      <c r="C1676">
        <v>0.19241800000000001</v>
      </c>
      <c r="D1676">
        <f t="shared" si="49"/>
        <v>0.16355529999999999</v>
      </c>
    </row>
    <row r="1677" spans="1:4" x14ac:dyDescent="0.35">
      <c r="A1677">
        <v>5.49749</v>
      </c>
      <c r="B1677">
        <f t="shared" si="48"/>
        <v>5497.49</v>
      </c>
      <c r="C1677">
        <v>0.19228300000000001</v>
      </c>
      <c r="D1677">
        <f t="shared" si="49"/>
        <v>0.16344054999999999</v>
      </c>
    </row>
    <row r="1678" spans="1:4" x14ac:dyDescent="0.35">
      <c r="A1678">
        <v>5.5033300000000001</v>
      </c>
      <c r="B1678">
        <f t="shared" si="48"/>
        <v>5503.33</v>
      </c>
      <c r="C1678">
        <v>0.19307199999999999</v>
      </c>
      <c r="D1678">
        <f t="shared" si="49"/>
        <v>0.16411119999999998</v>
      </c>
    </row>
    <row r="1679" spans="1:4" x14ac:dyDescent="0.35">
      <c r="A1679">
        <v>5.5091799999999997</v>
      </c>
      <c r="B1679">
        <f t="shared" si="48"/>
        <v>5509.1799999999994</v>
      </c>
      <c r="C1679">
        <v>0.19481399999999999</v>
      </c>
      <c r="D1679">
        <f t="shared" si="49"/>
        <v>0.16559189999999999</v>
      </c>
    </row>
    <row r="1680" spans="1:4" x14ac:dyDescent="0.35">
      <c r="A1680">
        <v>5.5150399999999999</v>
      </c>
      <c r="B1680">
        <f t="shared" si="48"/>
        <v>5515.04</v>
      </c>
      <c r="C1680">
        <v>0.19762299999999999</v>
      </c>
      <c r="D1680">
        <f t="shared" si="49"/>
        <v>0.16797954999999998</v>
      </c>
    </row>
    <row r="1681" spans="1:4" x14ac:dyDescent="0.35">
      <c r="A1681">
        <v>5.5209099999999998</v>
      </c>
      <c r="B1681">
        <f t="shared" si="48"/>
        <v>5520.91</v>
      </c>
      <c r="C1681">
        <v>0.201068</v>
      </c>
      <c r="D1681">
        <f t="shared" si="49"/>
        <v>0.1709078</v>
      </c>
    </row>
    <row r="1682" spans="1:4" x14ac:dyDescent="0.35">
      <c r="A1682">
        <v>5.5267999999999997</v>
      </c>
      <c r="B1682">
        <f t="shared" si="48"/>
        <v>5526.7999999999993</v>
      </c>
      <c r="C1682">
        <v>0.20497399999999999</v>
      </c>
      <c r="D1682">
        <f t="shared" si="49"/>
        <v>0.17422789999999999</v>
      </c>
    </row>
    <row r="1683" spans="1:4" x14ac:dyDescent="0.35">
      <c r="A1683">
        <v>5.5326899999999997</v>
      </c>
      <c r="B1683">
        <f t="shared" si="48"/>
        <v>5532.69</v>
      </c>
      <c r="C1683">
        <v>0.209087</v>
      </c>
      <c r="D1683">
        <f t="shared" si="49"/>
        <v>0.17772394999999999</v>
      </c>
    </row>
    <row r="1684" spans="1:4" x14ac:dyDescent="0.35">
      <c r="A1684">
        <v>5.5386100000000003</v>
      </c>
      <c r="B1684">
        <f t="shared" si="48"/>
        <v>5538.6100000000006</v>
      </c>
      <c r="C1684">
        <v>0.21346100000000001</v>
      </c>
      <c r="D1684">
        <f t="shared" si="49"/>
        <v>0.18144185000000002</v>
      </c>
    </row>
    <row r="1685" spans="1:4" x14ac:dyDescent="0.35">
      <c r="A1685">
        <v>5.54453</v>
      </c>
      <c r="B1685">
        <f t="shared" si="48"/>
        <v>5544.53</v>
      </c>
      <c r="C1685">
        <v>0.217969</v>
      </c>
      <c r="D1685">
        <f t="shared" si="49"/>
        <v>0.18527364999999998</v>
      </c>
    </row>
    <row r="1686" spans="1:4" x14ac:dyDescent="0.35">
      <c r="A1686">
        <v>5.5504699999999998</v>
      </c>
      <c r="B1686">
        <f t="shared" si="48"/>
        <v>5550.4699999999993</v>
      </c>
      <c r="C1686">
        <v>0.22226899999999999</v>
      </c>
      <c r="D1686">
        <f t="shared" si="49"/>
        <v>0.18892865</v>
      </c>
    </row>
    <row r="1687" spans="1:4" x14ac:dyDescent="0.35">
      <c r="A1687">
        <v>5.5564099999999996</v>
      </c>
      <c r="B1687">
        <f t="shared" si="48"/>
        <v>5556.41</v>
      </c>
      <c r="C1687">
        <v>0.22628699999999999</v>
      </c>
      <c r="D1687">
        <f t="shared" si="49"/>
        <v>0.19234394999999999</v>
      </c>
    </row>
    <row r="1688" spans="1:4" x14ac:dyDescent="0.35">
      <c r="A1688">
        <v>5.5623800000000001</v>
      </c>
      <c r="B1688">
        <f t="shared" si="48"/>
        <v>5562.38</v>
      </c>
      <c r="C1688">
        <v>0.22994600000000001</v>
      </c>
      <c r="D1688">
        <f t="shared" si="49"/>
        <v>0.19545409999999999</v>
      </c>
    </row>
    <row r="1689" spans="1:4" x14ac:dyDescent="0.35">
      <c r="A1689">
        <v>5.5683499999999997</v>
      </c>
      <c r="B1689">
        <f t="shared" si="48"/>
        <v>5568.3499999999995</v>
      </c>
      <c r="C1689">
        <v>0.23328699999999999</v>
      </c>
      <c r="D1689">
        <f t="shared" si="49"/>
        <v>0.19829395</v>
      </c>
    </row>
    <row r="1690" spans="1:4" x14ac:dyDescent="0.35">
      <c r="A1690">
        <v>5.5743400000000003</v>
      </c>
      <c r="B1690">
        <f t="shared" si="48"/>
        <v>5574.34</v>
      </c>
      <c r="C1690">
        <v>0.23629800000000001</v>
      </c>
      <c r="D1690">
        <f t="shared" si="49"/>
        <v>0.20085330000000001</v>
      </c>
    </row>
    <row r="1691" spans="1:4" x14ac:dyDescent="0.35">
      <c r="A1691">
        <v>5.5803399999999996</v>
      </c>
      <c r="B1691">
        <f t="shared" si="48"/>
        <v>5580.3399999999992</v>
      </c>
      <c r="C1691">
        <v>0.23868400000000001</v>
      </c>
      <c r="D1691">
        <f t="shared" si="49"/>
        <v>0.20288139999999999</v>
      </c>
    </row>
    <row r="1692" spans="1:4" x14ac:dyDescent="0.35">
      <c r="A1692">
        <v>5.5863500000000004</v>
      </c>
      <c r="B1692">
        <f t="shared" si="48"/>
        <v>5586.35</v>
      </c>
      <c r="C1692">
        <v>0.24077699999999999</v>
      </c>
      <c r="D1692">
        <f t="shared" si="49"/>
        <v>0.20466044999999999</v>
      </c>
    </row>
    <row r="1693" spans="1:4" x14ac:dyDescent="0.35">
      <c r="A1693">
        <v>5.5923800000000004</v>
      </c>
      <c r="B1693">
        <f t="shared" si="48"/>
        <v>5592.38</v>
      </c>
      <c r="C1693">
        <v>0.242615</v>
      </c>
      <c r="D1693">
        <f t="shared" si="49"/>
        <v>0.20622274999999998</v>
      </c>
    </row>
    <row r="1694" spans="1:4" x14ac:dyDescent="0.35">
      <c r="A1694">
        <v>5.59842</v>
      </c>
      <c r="B1694">
        <f t="shared" si="48"/>
        <v>5598.42</v>
      </c>
      <c r="C1694">
        <v>0.24384700000000001</v>
      </c>
      <c r="D1694">
        <f t="shared" si="49"/>
        <v>0.20726995000000001</v>
      </c>
    </row>
    <row r="1695" spans="1:4" x14ac:dyDescent="0.35">
      <c r="A1695">
        <v>5.6044700000000001</v>
      </c>
      <c r="B1695">
        <f t="shared" si="48"/>
        <v>5604.47</v>
      </c>
      <c r="C1695">
        <v>0.24474000000000001</v>
      </c>
      <c r="D1695">
        <f t="shared" si="49"/>
        <v>0.20802900000000002</v>
      </c>
    </row>
    <row r="1696" spans="1:4" x14ac:dyDescent="0.35">
      <c r="A1696">
        <v>5.6105400000000003</v>
      </c>
      <c r="B1696">
        <f t="shared" si="48"/>
        <v>5610.54</v>
      </c>
      <c r="C1696">
        <v>0.245282</v>
      </c>
      <c r="D1696">
        <f t="shared" si="49"/>
        <v>0.2084897</v>
      </c>
    </row>
    <row r="1697" spans="1:4" x14ac:dyDescent="0.35">
      <c r="A1697">
        <v>5.6166099999999997</v>
      </c>
      <c r="B1697">
        <f t="shared" si="48"/>
        <v>5616.61</v>
      </c>
      <c r="C1697">
        <v>0.24540999999999999</v>
      </c>
      <c r="D1697">
        <f t="shared" si="49"/>
        <v>0.20859849999999999</v>
      </c>
    </row>
    <row r="1698" spans="1:4" x14ac:dyDescent="0.35">
      <c r="A1698">
        <v>5.6227099999999997</v>
      </c>
      <c r="B1698">
        <f t="shared" si="48"/>
        <v>5622.71</v>
      </c>
      <c r="C1698">
        <v>0.245223</v>
      </c>
      <c r="D1698">
        <f t="shared" si="49"/>
        <v>0.20843955</v>
      </c>
    </row>
    <row r="1699" spans="1:4" x14ac:dyDescent="0.35">
      <c r="A1699">
        <v>5.6288099999999996</v>
      </c>
      <c r="B1699">
        <f t="shared" si="48"/>
        <v>5628.8099999999995</v>
      </c>
      <c r="C1699">
        <v>0.244806</v>
      </c>
      <c r="D1699">
        <f t="shared" si="49"/>
        <v>0.2080851</v>
      </c>
    </row>
    <row r="1700" spans="1:4" x14ac:dyDescent="0.35">
      <c r="A1700">
        <v>5.6349299999999998</v>
      </c>
      <c r="B1700">
        <f t="shared" si="48"/>
        <v>5634.9299999999994</v>
      </c>
      <c r="C1700">
        <v>0.244091</v>
      </c>
      <c r="D1700">
        <f t="shared" si="49"/>
        <v>0.20747735</v>
      </c>
    </row>
    <row r="1701" spans="1:4" x14ac:dyDescent="0.35">
      <c r="A1701">
        <v>5.6410600000000004</v>
      </c>
      <c r="B1701">
        <f t="shared" si="48"/>
        <v>5641.06</v>
      </c>
      <c r="C1701">
        <v>0.24318699999999999</v>
      </c>
      <c r="D1701">
        <f t="shared" si="49"/>
        <v>0.20670894999999997</v>
      </c>
    </row>
    <row r="1702" spans="1:4" x14ac:dyDescent="0.35">
      <c r="A1702">
        <v>5.6472100000000003</v>
      </c>
      <c r="B1702">
        <f t="shared" si="48"/>
        <v>5647.21</v>
      </c>
      <c r="C1702">
        <v>0.242176</v>
      </c>
      <c r="D1702">
        <f t="shared" si="49"/>
        <v>0.20584959999999999</v>
      </c>
    </row>
    <row r="1703" spans="1:4" x14ac:dyDescent="0.35">
      <c r="A1703">
        <v>5.6533600000000002</v>
      </c>
      <c r="B1703">
        <f t="shared" si="48"/>
        <v>5653.3600000000006</v>
      </c>
      <c r="C1703">
        <v>0.24112900000000001</v>
      </c>
      <c r="D1703">
        <f t="shared" si="49"/>
        <v>0.20495964999999999</v>
      </c>
    </row>
    <row r="1704" spans="1:4" x14ac:dyDescent="0.35">
      <c r="A1704">
        <v>5.6595399999999998</v>
      </c>
      <c r="B1704">
        <f t="shared" si="48"/>
        <v>5659.54</v>
      </c>
      <c r="C1704">
        <v>0.239978</v>
      </c>
      <c r="D1704">
        <f t="shared" si="49"/>
        <v>0.2039813</v>
      </c>
    </row>
    <row r="1705" spans="1:4" x14ac:dyDescent="0.35">
      <c r="A1705">
        <v>5.6657200000000003</v>
      </c>
      <c r="B1705">
        <f t="shared" si="48"/>
        <v>5665.72</v>
      </c>
      <c r="C1705">
        <v>0.23883599999999999</v>
      </c>
      <c r="D1705">
        <f t="shared" si="49"/>
        <v>0.20301059999999999</v>
      </c>
    </row>
    <row r="1706" spans="1:4" x14ac:dyDescent="0.35">
      <c r="A1706">
        <v>5.6719200000000001</v>
      </c>
      <c r="B1706">
        <f t="shared" si="48"/>
        <v>5671.92</v>
      </c>
      <c r="C1706">
        <v>0.23760999999999999</v>
      </c>
      <c r="D1706">
        <f t="shared" si="49"/>
        <v>0.2019685</v>
      </c>
    </row>
    <row r="1707" spans="1:4" x14ac:dyDescent="0.35">
      <c r="A1707">
        <v>5.6781300000000003</v>
      </c>
      <c r="B1707">
        <f t="shared" si="48"/>
        <v>5678.13</v>
      </c>
      <c r="C1707">
        <v>0.236425</v>
      </c>
      <c r="D1707">
        <f t="shared" si="49"/>
        <v>0.20096124999999998</v>
      </c>
    </row>
    <row r="1708" spans="1:4" x14ac:dyDescent="0.35">
      <c r="A1708">
        <v>5.6843599999999999</v>
      </c>
      <c r="B1708">
        <f t="shared" si="48"/>
        <v>5684.36</v>
      </c>
      <c r="C1708">
        <v>0.23549300000000001</v>
      </c>
      <c r="D1708">
        <f t="shared" si="49"/>
        <v>0.20016905000000002</v>
      </c>
    </row>
    <row r="1709" spans="1:4" x14ac:dyDescent="0.35">
      <c r="A1709">
        <v>5.6905999999999999</v>
      </c>
      <c r="B1709">
        <f t="shared" si="48"/>
        <v>5690.5999999999995</v>
      </c>
      <c r="C1709">
        <v>0.23463500000000001</v>
      </c>
      <c r="D1709">
        <f t="shared" si="49"/>
        <v>0.19943975</v>
      </c>
    </row>
    <row r="1710" spans="1:4" x14ac:dyDescent="0.35">
      <c r="A1710">
        <v>5.6968500000000004</v>
      </c>
      <c r="B1710">
        <f t="shared" si="48"/>
        <v>5696.85</v>
      </c>
      <c r="C1710">
        <v>0.23394699999999999</v>
      </c>
      <c r="D1710">
        <f t="shared" si="49"/>
        <v>0.19885494999999997</v>
      </c>
    </row>
    <row r="1711" spans="1:4" x14ac:dyDescent="0.35">
      <c r="A1711">
        <v>5.7031200000000002</v>
      </c>
      <c r="B1711">
        <f t="shared" si="48"/>
        <v>5703.12</v>
      </c>
      <c r="C1711">
        <v>0.23342299999999999</v>
      </c>
      <c r="D1711">
        <f t="shared" si="49"/>
        <v>0.19840954999999999</v>
      </c>
    </row>
    <row r="1712" spans="1:4" x14ac:dyDescent="0.35">
      <c r="A1712">
        <v>5.7093999999999996</v>
      </c>
      <c r="B1712">
        <f t="shared" si="48"/>
        <v>5709.4</v>
      </c>
      <c r="C1712">
        <v>0.23296500000000001</v>
      </c>
      <c r="D1712">
        <f t="shared" si="49"/>
        <v>0.19802025000000001</v>
      </c>
    </row>
    <row r="1713" spans="1:4" x14ac:dyDescent="0.35">
      <c r="A1713">
        <v>5.7156900000000004</v>
      </c>
      <c r="B1713">
        <f t="shared" si="48"/>
        <v>5715.6900000000005</v>
      </c>
      <c r="C1713">
        <v>0.232623</v>
      </c>
      <c r="D1713">
        <f t="shared" si="49"/>
        <v>0.19772955</v>
      </c>
    </row>
    <row r="1714" spans="1:4" x14ac:dyDescent="0.35">
      <c r="A1714">
        <v>5.7220000000000004</v>
      </c>
      <c r="B1714">
        <f t="shared" si="48"/>
        <v>5722</v>
      </c>
      <c r="C1714">
        <v>0.232485</v>
      </c>
      <c r="D1714">
        <f t="shared" si="49"/>
        <v>0.19761224999999999</v>
      </c>
    </row>
    <row r="1715" spans="1:4" x14ac:dyDescent="0.35">
      <c r="A1715">
        <v>5.7283299999999997</v>
      </c>
      <c r="B1715">
        <f t="shared" si="48"/>
        <v>5728.33</v>
      </c>
      <c r="C1715">
        <v>0.23257900000000001</v>
      </c>
      <c r="D1715">
        <f t="shared" si="49"/>
        <v>0.19769215000000001</v>
      </c>
    </row>
    <row r="1716" spans="1:4" x14ac:dyDescent="0.35">
      <c r="A1716">
        <v>5.7346599999999999</v>
      </c>
      <c r="B1716">
        <f t="shared" si="48"/>
        <v>5734.66</v>
      </c>
      <c r="C1716">
        <v>0.23271500000000001</v>
      </c>
      <c r="D1716">
        <f t="shared" si="49"/>
        <v>0.19780775</v>
      </c>
    </row>
    <row r="1717" spans="1:4" x14ac:dyDescent="0.35">
      <c r="A1717">
        <v>5.7410100000000002</v>
      </c>
      <c r="B1717">
        <f t="shared" si="48"/>
        <v>5741.01</v>
      </c>
      <c r="C1717">
        <v>0.23261699999999999</v>
      </c>
      <c r="D1717">
        <f t="shared" si="49"/>
        <v>0.19772445</v>
      </c>
    </row>
    <row r="1718" spans="1:4" x14ac:dyDescent="0.35">
      <c r="A1718">
        <v>5.7473799999999997</v>
      </c>
      <c r="B1718">
        <f t="shared" si="48"/>
        <v>5747.38</v>
      </c>
      <c r="C1718">
        <v>0.232401</v>
      </c>
      <c r="D1718">
        <f t="shared" si="49"/>
        <v>0.19754084999999999</v>
      </c>
    </row>
    <row r="1719" spans="1:4" x14ac:dyDescent="0.35">
      <c r="A1719">
        <v>5.7537599999999998</v>
      </c>
      <c r="B1719">
        <f t="shared" si="48"/>
        <v>5753.76</v>
      </c>
      <c r="C1719">
        <v>0.23210500000000001</v>
      </c>
      <c r="D1719">
        <f t="shared" si="49"/>
        <v>0.19728925</v>
      </c>
    </row>
    <row r="1720" spans="1:4" x14ac:dyDescent="0.35">
      <c r="A1720">
        <v>5.7601500000000003</v>
      </c>
      <c r="B1720">
        <f t="shared" si="48"/>
        <v>5760.1500000000005</v>
      </c>
      <c r="C1720">
        <v>0.23161200000000001</v>
      </c>
      <c r="D1720">
        <f t="shared" si="49"/>
        <v>0.1968702</v>
      </c>
    </row>
    <row r="1721" spans="1:4" x14ac:dyDescent="0.35">
      <c r="A1721">
        <v>5.7665600000000001</v>
      </c>
      <c r="B1721">
        <f t="shared" si="48"/>
        <v>5766.56</v>
      </c>
      <c r="C1721">
        <v>0.23084499999999999</v>
      </c>
      <c r="D1721">
        <f t="shared" si="49"/>
        <v>0.19621824999999998</v>
      </c>
    </row>
    <row r="1722" spans="1:4" x14ac:dyDescent="0.35">
      <c r="A1722">
        <v>5.7729799999999996</v>
      </c>
      <c r="B1722">
        <f t="shared" si="48"/>
        <v>5772.98</v>
      </c>
      <c r="C1722">
        <v>0.23014699999999999</v>
      </c>
      <c r="D1722">
        <f t="shared" si="49"/>
        <v>0.19562494999999999</v>
      </c>
    </row>
    <row r="1723" spans="1:4" x14ac:dyDescent="0.35">
      <c r="A1723">
        <v>5.7794100000000004</v>
      </c>
      <c r="B1723">
        <f t="shared" si="48"/>
        <v>5779.4100000000008</v>
      </c>
      <c r="C1723">
        <v>0.22955700000000001</v>
      </c>
      <c r="D1723">
        <f t="shared" si="49"/>
        <v>0.19512345</v>
      </c>
    </row>
    <row r="1724" spans="1:4" x14ac:dyDescent="0.35">
      <c r="A1724">
        <v>5.7858599999999996</v>
      </c>
      <c r="B1724">
        <f t="shared" si="48"/>
        <v>5785.86</v>
      </c>
      <c r="C1724">
        <v>0.22875200000000001</v>
      </c>
      <c r="D1724">
        <f t="shared" si="49"/>
        <v>0.19443920000000001</v>
      </c>
    </row>
    <row r="1725" spans="1:4" x14ac:dyDescent="0.35">
      <c r="A1725">
        <v>5.7923299999999998</v>
      </c>
      <c r="B1725">
        <f t="shared" si="48"/>
        <v>5792.33</v>
      </c>
      <c r="C1725">
        <v>0.22799700000000001</v>
      </c>
      <c r="D1725">
        <f t="shared" si="49"/>
        <v>0.19379745000000001</v>
      </c>
    </row>
    <row r="1726" spans="1:4" x14ac:dyDescent="0.35">
      <c r="A1726">
        <v>5.7988099999999996</v>
      </c>
      <c r="B1726">
        <f t="shared" si="48"/>
        <v>5798.8099999999995</v>
      </c>
      <c r="C1726">
        <v>0.227571</v>
      </c>
      <c r="D1726">
        <f t="shared" si="49"/>
        <v>0.19343534999999998</v>
      </c>
    </row>
    <row r="1727" spans="1:4" x14ac:dyDescent="0.35">
      <c r="A1727">
        <v>5.8052999999999999</v>
      </c>
      <c r="B1727">
        <f t="shared" si="48"/>
        <v>5805.3</v>
      </c>
      <c r="C1727">
        <v>0.22723399999999999</v>
      </c>
      <c r="D1727">
        <f t="shared" si="49"/>
        <v>0.19314889999999998</v>
      </c>
    </row>
    <row r="1728" spans="1:4" x14ac:dyDescent="0.35">
      <c r="A1728">
        <v>5.8118100000000004</v>
      </c>
      <c r="B1728">
        <f t="shared" si="48"/>
        <v>5811.81</v>
      </c>
      <c r="C1728">
        <v>0.22691500000000001</v>
      </c>
      <c r="D1728">
        <f t="shared" si="49"/>
        <v>0.19287774999999999</v>
      </c>
    </row>
    <row r="1729" spans="1:4" x14ac:dyDescent="0.35">
      <c r="A1729">
        <v>5.8183299999999996</v>
      </c>
      <c r="B1729">
        <f t="shared" si="48"/>
        <v>5818.33</v>
      </c>
      <c r="C1729">
        <v>0.22672800000000001</v>
      </c>
      <c r="D1729">
        <f t="shared" si="49"/>
        <v>0.1927188</v>
      </c>
    </row>
    <row r="1730" spans="1:4" x14ac:dyDescent="0.35">
      <c r="A1730">
        <v>5.8248699999999998</v>
      </c>
      <c r="B1730">
        <f t="shared" si="48"/>
        <v>5824.87</v>
      </c>
      <c r="C1730">
        <v>0.22673099999999999</v>
      </c>
      <c r="D1730">
        <f t="shared" si="49"/>
        <v>0.19272134999999999</v>
      </c>
    </row>
    <row r="1731" spans="1:4" x14ac:dyDescent="0.35">
      <c r="A1731">
        <v>5.8314199999999996</v>
      </c>
      <c r="B1731">
        <f t="shared" si="48"/>
        <v>5831.4199999999992</v>
      </c>
      <c r="C1731">
        <v>0.227136</v>
      </c>
      <c r="D1731">
        <f t="shared" si="49"/>
        <v>0.1930656</v>
      </c>
    </row>
    <row r="1732" spans="1:4" x14ac:dyDescent="0.35">
      <c r="A1732">
        <v>5.8379899999999996</v>
      </c>
      <c r="B1732">
        <f t="shared" si="48"/>
        <v>5837.99</v>
      </c>
      <c r="C1732">
        <v>0.227654</v>
      </c>
      <c r="D1732">
        <f t="shared" si="49"/>
        <v>0.19350589999999998</v>
      </c>
    </row>
    <row r="1733" spans="1:4" x14ac:dyDescent="0.35">
      <c r="A1733">
        <v>5.84457</v>
      </c>
      <c r="B1733">
        <f t="shared" si="48"/>
        <v>5844.57</v>
      </c>
      <c r="C1733">
        <v>0.22817200000000001</v>
      </c>
      <c r="D1733">
        <f t="shared" si="49"/>
        <v>0.19394620000000001</v>
      </c>
    </row>
    <row r="1734" spans="1:4" x14ac:dyDescent="0.35">
      <c r="A1734">
        <v>5.8511699999999998</v>
      </c>
      <c r="B1734">
        <f t="shared" si="48"/>
        <v>5851.17</v>
      </c>
      <c r="C1734">
        <v>0.22897799999999999</v>
      </c>
      <c r="D1734">
        <f t="shared" si="49"/>
        <v>0.19463129999999998</v>
      </c>
    </row>
    <row r="1735" spans="1:4" x14ac:dyDescent="0.35">
      <c r="A1735">
        <v>5.85778</v>
      </c>
      <c r="B1735">
        <f t="shared" si="48"/>
        <v>5857.78</v>
      </c>
      <c r="C1735">
        <v>0.229791</v>
      </c>
      <c r="D1735">
        <f t="shared" si="49"/>
        <v>0.19532234999999998</v>
      </c>
    </row>
    <row r="1736" spans="1:4" x14ac:dyDescent="0.35">
      <c r="A1736">
        <v>5.8644100000000003</v>
      </c>
      <c r="B1736">
        <f t="shared" si="48"/>
        <v>5864.4100000000008</v>
      </c>
      <c r="C1736">
        <v>0.23059499999999999</v>
      </c>
      <c r="D1736">
        <f t="shared" si="49"/>
        <v>0.19600574999999998</v>
      </c>
    </row>
    <row r="1737" spans="1:4" x14ac:dyDescent="0.35">
      <c r="A1737">
        <v>5.8710500000000003</v>
      </c>
      <c r="B1737">
        <f t="shared" si="48"/>
        <v>5871.05</v>
      </c>
      <c r="C1737">
        <v>0.23153399999999999</v>
      </c>
      <c r="D1737">
        <f t="shared" si="49"/>
        <v>0.19680389999999998</v>
      </c>
    </row>
    <row r="1738" spans="1:4" x14ac:dyDescent="0.35">
      <c r="A1738">
        <v>5.8776999999999999</v>
      </c>
      <c r="B1738">
        <f t="shared" si="48"/>
        <v>5877.7</v>
      </c>
      <c r="C1738">
        <v>0.23252600000000001</v>
      </c>
      <c r="D1738">
        <f t="shared" si="49"/>
        <v>0.19764709999999999</v>
      </c>
    </row>
    <row r="1739" spans="1:4" x14ac:dyDescent="0.35">
      <c r="A1739">
        <v>5.8843800000000002</v>
      </c>
      <c r="B1739">
        <f t="shared" ref="B1739:B1802" si="50">A1739*1000</f>
        <v>5884.38</v>
      </c>
      <c r="C1739">
        <v>0.23336299999999999</v>
      </c>
      <c r="D1739">
        <f t="shared" ref="D1739:D1802" si="51">C1739*$D$137</f>
        <v>0.19835854999999999</v>
      </c>
    </row>
    <row r="1740" spans="1:4" x14ac:dyDescent="0.35">
      <c r="A1740">
        <v>5.8910600000000004</v>
      </c>
      <c r="B1740">
        <f t="shared" si="50"/>
        <v>5891.06</v>
      </c>
      <c r="C1740">
        <v>0.234595</v>
      </c>
      <c r="D1740">
        <f t="shared" si="51"/>
        <v>0.19940574999999999</v>
      </c>
    </row>
    <row r="1741" spans="1:4" x14ac:dyDescent="0.35">
      <c r="A1741">
        <v>5.8977599999999999</v>
      </c>
      <c r="B1741">
        <f t="shared" si="50"/>
        <v>5897.76</v>
      </c>
      <c r="C1741">
        <v>0.235406</v>
      </c>
      <c r="D1741">
        <f t="shared" si="51"/>
        <v>0.2000951</v>
      </c>
    </row>
    <row r="1742" spans="1:4" x14ac:dyDescent="0.35">
      <c r="A1742">
        <v>5.9044800000000004</v>
      </c>
      <c r="B1742">
        <f t="shared" si="50"/>
        <v>5904.4800000000005</v>
      </c>
      <c r="C1742">
        <v>0.23613300000000001</v>
      </c>
      <c r="D1742">
        <f t="shared" si="51"/>
        <v>0.20071305</v>
      </c>
    </row>
    <row r="1743" spans="1:4" x14ac:dyDescent="0.35">
      <c r="A1743">
        <v>5.9112099999999996</v>
      </c>
      <c r="B1743">
        <f t="shared" si="50"/>
        <v>5911.21</v>
      </c>
      <c r="C1743">
        <v>0.23696700000000001</v>
      </c>
      <c r="D1743">
        <f t="shared" si="51"/>
        <v>0.20142195000000002</v>
      </c>
    </row>
    <row r="1744" spans="1:4" x14ac:dyDescent="0.35">
      <c r="A1744">
        <v>5.9179599999999999</v>
      </c>
      <c r="B1744">
        <f t="shared" si="50"/>
        <v>5917.96</v>
      </c>
      <c r="C1744">
        <v>0.237625</v>
      </c>
      <c r="D1744">
        <f t="shared" si="51"/>
        <v>0.20198125</v>
      </c>
    </row>
    <row r="1745" spans="1:4" x14ac:dyDescent="0.35">
      <c r="A1745">
        <v>5.9247300000000003</v>
      </c>
      <c r="B1745">
        <f t="shared" si="50"/>
        <v>5924.7300000000005</v>
      </c>
      <c r="C1745">
        <v>0.23830399999999999</v>
      </c>
      <c r="D1745">
        <f t="shared" si="51"/>
        <v>0.20255839999999997</v>
      </c>
    </row>
    <row r="1746" spans="1:4" x14ac:dyDescent="0.35">
      <c r="A1746">
        <v>5.9314999999999998</v>
      </c>
      <c r="B1746">
        <f t="shared" si="50"/>
        <v>5931.5</v>
      </c>
      <c r="C1746">
        <v>0.23879800000000001</v>
      </c>
      <c r="D1746">
        <f t="shared" si="51"/>
        <v>0.2029783</v>
      </c>
    </row>
    <row r="1747" spans="1:4" x14ac:dyDescent="0.35">
      <c r="A1747">
        <v>5.9382999999999999</v>
      </c>
      <c r="B1747">
        <f t="shared" si="50"/>
        <v>5938.3</v>
      </c>
      <c r="C1747">
        <v>0.238981</v>
      </c>
      <c r="D1747">
        <f t="shared" si="51"/>
        <v>0.20313385</v>
      </c>
    </row>
    <row r="1748" spans="1:4" x14ac:dyDescent="0.35">
      <c r="A1748">
        <v>5.9451099999999997</v>
      </c>
      <c r="B1748">
        <f t="shared" si="50"/>
        <v>5945.11</v>
      </c>
      <c r="C1748">
        <v>0.23905199999999999</v>
      </c>
      <c r="D1748">
        <f t="shared" si="51"/>
        <v>0.20319419999999999</v>
      </c>
    </row>
    <row r="1749" spans="1:4" x14ac:dyDescent="0.35">
      <c r="A1749">
        <v>5.9519299999999999</v>
      </c>
      <c r="B1749">
        <f t="shared" si="50"/>
        <v>5951.93</v>
      </c>
      <c r="C1749">
        <v>0.23921700000000001</v>
      </c>
      <c r="D1749">
        <f t="shared" si="51"/>
        <v>0.20333445</v>
      </c>
    </row>
    <row r="1750" spans="1:4" x14ac:dyDescent="0.35">
      <c r="A1750">
        <v>5.95878</v>
      </c>
      <c r="B1750">
        <f t="shared" si="50"/>
        <v>5958.78</v>
      </c>
      <c r="C1750">
        <v>0.23922499999999999</v>
      </c>
      <c r="D1750">
        <f t="shared" si="51"/>
        <v>0.20334125</v>
      </c>
    </row>
    <row r="1751" spans="1:4" x14ac:dyDescent="0.35">
      <c r="A1751">
        <v>5.96563</v>
      </c>
      <c r="B1751">
        <f t="shared" si="50"/>
        <v>5965.63</v>
      </c>
      <c r="C1751">
        <v>0.23907200000000001</v>
      </c>
      <c r="D1751">
        <f t="shared" si="51"/>
        <v>0.20321120000000001</v>
      </c>
    </row>
    <row r="1752" spans="1:4" x14ac:dyDescent="0.35">
      <c r="A1752">
        <v>5.9725099999999998</v>
      </c>
      <c r="B1752">
        <f t="shared" si="50"/>
        <v>5972.51</v>
      </c>
      <c r="C1752">
        <v>0.23883599999999999</v>
      </c>
      <c r="D1752">
        <f t="shared" si="51"/>
        <v>0.20301059999999999</v>
      </c>
    </row>
    <row r="1753" spans="1:4" x14ac:dyDescent="0.35">
      <c r="A1753">
        <v>5.9793900000000004</v>
      </c>
      <c r="B1753">
        <f t="shared" si="50"/>
        <v>5979.39</v>
      </c>
      <c r="C1753">
        <v>0.23864099999999999</v>
      </c>
      <c r="D1753">
        <f t="shared" si="51"/>
        <v>0.20284484999999999</v>
      </c>
    </row>
    <row r="1754" spans="1:4" x14ac:dyDescent="0.35">
      <c r="A1754">
        <v>5.9863</v>
      </c>
      <c r="B1754">
        <f t="shared" si="50"/>
        <v>5986.3</v>
      </c>
      <c r="C1754">
        <v>0.23830200000000001</v>
      </c>
      <c r="D1754">
        <f t="shared" si="51"/>
        <v>0.20255670000000001</v>
      </c>
    </row>
    <row r="1755" spans="1:4" x14ac:dyDescent="0.35">
      <c r="A1755">
        <v>5.99322</v>
      </c>
      <c r="B1755">
        <f t="shared" si="50"/>
        <v>5993.22</v>
      </c>
      <c r="C1755">
        <v>0.23793400000000001</v>
      </c>
      <c r="D1755">
        <f t="shared" si="51"/>
        <v>0.2022439</v>
      </c>
    </row>
    <row r="1756" spans="1:4" x14ac:dyDescent="0.35">
      <c r="A1756">
        <v>6.0001600000000002</v>
      </c>
      <c r="B1756">
        <f t="shared" si="50"/>
        <v>6000.16</v>
      </c>
      <c r="C1756">
        <v>0.23743300000000001</v>
      </c>
      <c r="D1756">
        <f t="shared" si="51"/>
        <v>0.20181805</v>
      </c>
    </row>
    <row r="1757" spans="1:4" x14ac:dyDescent="0.35">
      <c r="A1757">
        <v>6.0071099999999999</v>
      </c>
      <c r="B1757">
        <f t="shared" si="50"/>
        <v>6007.11</v>
      </c>
      <c r="C1757">
        <v>0.23702200000000001</v>
      </c>
      <c r="D1757">
        <f t="shared" si="51"/>
        <v>0.2014687</v>
      </c>
    </row>
    <row r="1758" spans="1:4" x14ac:dyDescent="0.35">
      <c r="A1758">
        <v>6.0140799999999999</v>
      </c>
      <c r="B1758">
        <f t="shared" si="50"/>
        <v>6014.08</v>
      </c>
      <c r="C1758">
        <v>0.236488</v>
      </c>
      <c r="D1758">
        <f t="shared" si="51"/>
        <v>0.20101479999999999</v>
      </c>
    </row>
    <row r="1759" spans="1:4" x14ac:dyDescent="0.35">
      <c r="A1759">
        <v>6.0210600000000003</v>
      </c>
      <c r="B1759">
        <f t="shared" si="50"/>
        <v>6021.06</v>
      </c>
      <c r="C1759">
        <v>0.23564399999999999</v>
      </c>
      <c r="D1759">
        <f t="shared" si="51"/>
        <v>0.20029739999999999</v>
      </c>
    </row>
    <row r="1760" spans="1:4" x14ac:dyDescent="0.35">
      <c r="A1760">
        <v>6.02806</v>
      </c>
      <c r="B1760">
        <f t="shared" si="50"/>
        <v>6028.06</v>
      </c>
      <c r="C1760">
        <v>0.234739</v>
      </c>
      <c r="D1760">
        <f t="shared" si="51"/>
        <v>0.19952814999999999</v>
      </c>
    </row>
    <row r="1761" spans="1:4" x14ac:dyDescent="0.35">
      <c r="A1761">
        <v>6.0350799999999998</v>
      </c>
      <c r="B1761">
        <f t="shared" si="50"/>
        <v>6035.08</v>
      </c>
      <c r="C1761">
        <v>0.233766</v>
      </c>
      <c r="D1761">
        <f t="shared" si="51"/>
        <v>0.19870109999999999</v>
      </c>
    </row>
    <row r="1762" spans="1:4" x14ac:dyDescent="0.35">
      <c r="A1762">
        <v>6.0421199999999997</v>
      </c>
      <c r="B1762">
        <f t="shared" si="50"/>
        <v>6042.12</v>
      </c>
      <c r="C1762">
        <v>0.232796</v>
      </c>
      <c r="D1762">
        <f t="shared" si="51"/>
        <v>0.19787659999999999</v>
      </c>
    </row>
    <row r="1763" spans="1:4" x14ac:dyDescent="0.35">
      <c r="A1763">
        <v>6.0491700000000002</v>
      </c>
      <c r="B1763">
        <f t="shared" si="50"/>
        <v>6049.17</v>
      </c>
      <c r="C1763">
        <v>0.23206199999999999</v>
      </c>
      <c r="D1763">
        <f t="shared" si="51"/>
        <v>0.19725269999999998</v>
      </c>
    </row>
    <row r="1764" spans="1:4" x14ac:dyDescent="0.35">
      <c r="A1764">
        <v>6.0562300000000002</v>
      </c>
      <c r="B1764">
        <f t="shared" si="50"/>
        <v>6056.2300000000005</v>
      </c>
      <c r="C1764">
        <v>0.23186000000000001</v>
      </c>
      <c r="D1764">
        <f t="shared" si="51"/>
        <v>0.19708100000000001</v>
      </c>
    </row>
    <row r="1765" spans="1:4" x14ac:dyDescent="0.35">
      <c r="A1765">
        <v>6.06332</v>
      </c>
      <c r="B1765">
        <f t="shared" si="50"/>
        <v>6063.32</v>
      </c>
      <c r="C1765">
        <v>0.232317</v>
      </c>
      <c r="D1765">
        <f t="shared" si="51"/>
        <v>0.19746944999999999</v>
      </c>
    </row>
    <row r="1766" spans="1:4" x14ac:dyDescent="0.35">
      <c r="A1766">
        <v>6.0704200000000004</v>
      </c>
      <c r="B1766">
        <f t="shared" si="50"/>
        <v>6070.42</v>
      </c>
      <c r="C1766">
        <v>0.23277900000000001</v>
      </c>
      <c r="D1766">
        <f t="shared" si="51"/>
        <v>0.19786215000000001</v>
      </c>
    </row>
    <row r="1767" spans="1:4" x14ac:dyDescent="0.35">
      <c r="A1767">
        <v>6.0775300000000003</v>
      </c>
      <c r="B1767">
        <f t="shared" si="50"/>
        <v>6077.5300000000007</v>
      </c>
      <c r="C1767">
        <v>0.233103</v>
      </c>
      <c r="D1767">
        <f t="shared" si="51"/>
        <v>0.19813755</v>
      </c>
    </row>
    <row r="1768" spans="1:4" x14ac:dyDescent="0.35">
      <c r="A1768">
        <v>6.08467</v>
      </c>
      <c r="B1768">
        <f t="shared" si="50"/>
        <v>6084.67</v>
      </c>
      <c r="C1768">
        <v>0.23313</v>
      </c>
      <c r="D1768">
        <f t="shared" si="51"/>
        <v>0.19816049999999999</v>
      </c>
    </row>
    <row r="1769" spans="1:4" x14ac:dyDescent="0.35">
      <c r="A1769">
        <v>6.0918200000000002</v>
      </c>
      <c r="B1769">
        <f t="shared" si="50"/>
        <v>6091.8200000000006</v>
      </c>
      <c r="C1769">
        <v>0.23308899999999999</v>
      </c>
      <c r="D1769">
        <f t="shared" si="51"/>
        <v>0.19812564999999999</v>
      </c>
    </row>
    <row r="1770" spans="1:4" x14ac:dyDescent="0.35">
      <c r="A1770">
        <v>6.0989800000000001</v>
      </c>
      <c r="B1770">
        <f t="shared" si="50"/>
        <v>6098.9800000000005</v>
      </c>
      <c r="C1770">
        <v>0.232852</v>
      </c>
      <c r="D1770">
        <f t="shared" si="51"/>
        <v>0.19792419999999999</v>
      </c>
    </row>
    <row r="1771" spans="1:4" x14ac:dyDescent="0.35">
      <c r="A1771">
        <v>6.1061699999999997</v>
      </c>
      <c r="B1771">
        <f t="shared" si="50"/>
        <v>6106.17</v>
      </c>
      <c r="C1771">
        <v>0.232547</v>
      </c>
      <c r="D1771">
        <f t="shared" si="51"/>
        <v>0.19766495000000001</v>
      </c>
    </row>
    <row r="1772" spans="1:4" x14ac:dyDescent="0.35">
      <c r="A1772">
        <v>6.1133699999999997</v>
      </c>
      <c r="B1772">
        <f t="shared" si="50"/>
        <v>6113.37</v>
      </c>
      <c r="C1772">
        <v>0.232207</v>
      </c>
      <c r="D1772">
        <f t="shared" si="51"/>
        <v>0.19737594999999999</v>
      </c>
    </row>
    <row r="1773" spans="1:4" x14ac:dyDescent="0.35">
      <c r="A1773">
        <v>6.1205800000000004</v>
      </c>
      <c r="B1773">
        <f t="shared" si="50"/>
        <v>6120.58</v>
      </c>
      <c r="C1773">
        <v>0.23186599999999999</v>
      </c>
      <c r="D1773">
        <f t="shared" si="51"/>
        <v>0.19708609999999999</v>
      </c>
    </row>
    <row r="1774" spans="1:4" x14ac:dyDescent="0.35">
      <c r="A1774">
        <v>6.1278199999999998</v>
      </c>
      <c r="B1774">
        <f t="shared" si="50"/>
        <v>6127.82</v>
      </c>
      <c r="C1774">
        <v>0.23178000000000001</v>
      </c>
      <c r="D1774">
        <f t="shared" si="51"/>
        <v>0.19701299999999999</v>
      </c>
    </row>
    <row r="1775" spans="1:4" x14ac:dyDescent="0.35">
      <c r="A1775">
        <v>6.1350699999999998</v>
      </c>
      <c r="B1775">
        <f t="shared" si="50"/>
        <v>6135.07</v>
      </c>
      <c r="C1775">
        <v>0.23191600000000001</v>
      </c>
      <c r="D1775">
        <f t="shared" si="51"/>
        <v>0.19712860000000001</v>
      </c>
    </row>
    <row r="1776" spans="1:4" x14ac:dyDescent="0.35">
      <c r="A1776">
        <v>6.1423399999999999</v>
      </c>
      <c r="B1776">
        <f t="shared" si="50"/>
        <v>6142.34</v>
      </c>
      <c r="C1776">
        <v>0.23211699999999999</v>
      </c>
      <c r="D1776">
        <f t="shared" si="51"/>
        <v>0.19729944999999999</v>
      </c>
    </row>
    <row r="1777" spans="1:4" x14ac:dyDescent="0.35">
      <c r="A1777">
        <v>6.1496300000000002</v>
      </c>
      <c r="B1777">
        <f t="shared" si="50"/>
        <v>6149.63</v>
      </c>
      <c r="C1777">
        <v>0.23235900000000001</v>
      </c>
      <c r="D1777">
        <f t="shared" si="51"/>
        <v>0.19750514999999999</v>
      </c>
    </row>
    <row r="1778" spans="1:4" x14ac:dyDescent="0.35">
      <c r="A1778">
        <v>6.15693</v>
      </c>
      <c r="B1778">
        <f t="shared" si="50"/>
        <v>6156.93</v>
      </c>
      <c r="C1778">
        <v>0.232658</v>
      </c>
      <c r="D1778">
        <f t="shared" si="51"/>
        <v>0.1977593</v>
      </c>
    </row>
    <row r="1779" spans="1:4" x14ac:dyDescent="0.35">
      <c r="A1779">
        <v>6.16425</v>
      </c>
      <c r="B1779">
        <f t="shared" si="50"/>
        <v>6164.25</v>
      </c>
      <c r="C1779">
        <v>0.23311899999999999</v>
      </c>
      <c r="D1779">
        <f t="shared" si="51"/>
        <v>0.19815115</v>
      </c>
    </row>
    <row r="1780" spans="1:4" x14ac:dyDescent="0.35">
      <c r="A1780">
        <v>6.1715900000000001</v>
      </c>
      <c r="B1780">
        <f t="shared" si="50"/>
        <v>6171.59</v>
      </c>
      <c r="C1780">
        <v>0.23371</v>
      </c>
      <c r="D1780">
        <f t="shared" si="51"/>
        <v>0.19865349999999998</v>
      </c>
    </row>
    <row r="1781" spans="1:4" x14ac:dyDescent="0.35">
      <c r="A1781">
        <v>6.1789500000000004</v>
      </c>
      <c r="B1781">
        <f t="shared" si="50"/>
        <v>6178.9500000000007</v>
      </c>
      <c r="C1781">
        <v>0.23445099999999999</v>
      </c>
      <c r="D1781">
        <f t="shared" si="51"/>
        <v>0.19928335</v>
      </c>
    </row>
    <row r="1782" spans="1:4" x14ac:dyDescent="0.35">
      <c r="A1782">
        <v>6.1863200000000003</v>
      </c>
      <c r="B1782">
        <f t="shared" si="50"/>
        <v>6186.3200000000006</v>
      </c>
      <c r="C1782">
        <v>0.23513700000000001</v>
      </c>
      <c r="D1782">
        <f t="shared" si="51"/>
        <v>0.19986645</v>
      </c>
    </row>
    <row r="1783" spans="1:4" x14ac:dyDescent="0.35">
      <c r="A1783">
        <v>6.1937100000000003</v>
      </c>
      <c r="B1783">
        <f t="shared" si="50"/>
        <v>6193.71</v>
      </c>
      <c r="C1783">
        <v>0.23582900000000001</v>
      </c>
      <c r="D1783">
        <f t="shared" si="51"/>
        <v>0.20045465000000001</v>
      </c>
    </row>
    <row r="1784" spans="1:4" x14ac:dyDescent="0.35">
      <c r="A1784">
        <v>6.2011200000000004</v>
      </c>
      <c r="B1784">
        <f t="shared" si="50"/>
        <v>6201.1200000000008</v>
      </c>
      <c r="C1784">
        <v>0.23652899999999999</v>
      </c>
      <c r="D1784">
        <f t="shared" si="51"/>
        <v>0.20104965</v>
      </c>
    </row>
    <row r="1785" spans="1:4" x14ac:dyDescent="0.35">
      <c r="A1785">
        <v>6.2085400000000002</v>
      </c>
      <c r="B1785">
        <f t="shared" si="50"/>
        <v>6208.54</v>
      </c>
      <c r="C1785">
        <v>0.23706199999999999</v>
      </c>
      <c r="D1785">
        <f t="shared" si="51"/>
        <v>0.20150269999999998</v>
      </c>
    </row>
    <row r="1786" spans="1:4" x14ac:dyDescent="0.35">
      <c r="A1786">
        <v>6.2159899999999997</v>
      </c>
      <c r="B1786">
        <f t="shared" si="50"/>
        <v>6215.99</v>
      </c>
      <c r="C1786">
        <v>0.23741100000000001</v>
      </c>
      <c r="D1786">
        <f t="shared" si="51"/>
        <v>0.20179935000000002</v>
      </c>
    </row>
    <row r="1787" spans="1:4" x14ac:dyDescent="0.35">
      <c r="A1787">
        <v>6.2234499999999997</v>
      </c>
      <c r="B1787">
        <f t="shared" si="50"/>
        <v>6223.45</v>
      </c>
      <c r="C1787">
        <v>0.23761599999999999</v>
      </c>
      <c r="D1787">
        <f t="shared" si="51"/>
        <v>0.2019736</v>
      </c>
    </row>
    <row r="1788" spans="1:4" x14ac:dyDescent="0.35">
      <c r="A1788">
        <v>6.2309299999999999</v>
      </c>
      <c r="B1788">
        <f t="shared" si="50"/>
        <v>6230.93</v>
      </c>
      <c r="C1788">
        <v>0.23771900000000001</v>
      </c>
      <c r="D1788">
        <f t="shared" si="51"/>
        <v>0.20206114999999999</v>
      </c>
    </row>
    <row r="1789" spans="1:4" x14ac:dyDescent="0.35">
      <c r="A1789">
        <v>6.2384300000000001</v>
      </c>
      <c r="B1789">
        <f t="shared" si="50"/>
        <v>6238.43</v>
      </c>
      <c r="C1789">
        <v>0.23769299999999999</v>
      </c>
      <c r="D1789">
        <f t="shared" si="51"/>
        <v>0.20203905</v>
      </c>
    </row>
    <row r="1790" spans="1:4" x14ac:dyDescent="0.35">
      <c r="A1790">
        <v>6.2459499999999997</v>
      </c>
      <c r="B1790">
        <f t="shared" si="50"/>
        <v>6245.95</v>
      </c>
      <c r="C1790">
        <v>0.23749300000000001</v>
      </c>
      <c r="D1790">
        <f t="shared" si="51"/>
        <v>0.20186904999999999</v>
      </c>
    </row>
    <row r="1791" spans="1:4" x14ac:dyDescent="0.35">
      <c r="A1791">
        <v>6.2534799999999997</v>
      </c>
      <c r="B1791">
        <f t="shared" si="50"/>
        <v>6253.48</v>
      </c>
      <c r="C1791">
        <v>0.23725299999999999</v>
      </c>
      <c r="D1791">
        <f t="shared" si="51"/>
        <v>0.20166504999999998</v>
      </c>
    </row>
    <row r="1792" spans="1:4" x14ac:dyDescent="0.35">
      <c r="A1792">
        <v>6.2610299999999999</v>
      </c>
      <c r="B1792">
        <f t="shared" si="50"/>
        <v>6261.03</v>
      </c>
      <c r="C1792">
        <v>0.236759</v>
      </c>
      <c r="D1792">
        <f t="shared" si="51"/>
        <v>0.20124514999999998</v>
      </c>
    </row>
    <row r="1793" spans="1:4" x14ac:dyDescent="0.35">
      <c r="A1793">
        <v>6.2686000000000002</v>
      </c>
      <c r="B1793">
        <f t="shared" si="50"/>
        <v>6268.6</v>
      </c>
      <c r="C1793">
        <v>0.23610700000000001</v>
      </c>
      <c r="D1793">
        <f t="shared" si="51"/>
        <v>0.20069095000000001</v>
      </c>
    </row>
    <row r="1794" spans="1:4" x14ac:dyDescent="0.35">
      <c r="A1794">
        <v>6.2761899999999997</v>
      </c>
      <c r="B1794">
        <f t="shared" si="50"/>
        <v>6276.19</v>
      </c>
      <c r="C1794">
        <v>0.235295</v>
      </c>
      <c r="D1794">
        <f t="shared" si="51"/>
        <v>0.20000075</v>
      </c>
    </row>
    <row r="1795" spans="1:4" x14ac:dyDescent="0.35">
      <c r="A1795">
        <v>6.2838000000000003</v>
      </c>
      <c r="B1795">
        <f t="shared" si="50"/>
        <v>6283.8</v>
      </c>
      <c r="C1795">
        <v>0.234346</v>
      </c>
      <c r="D1795">
        <f t="shared" si="51"/>
        <v>0.19919409999999999</v>
      </c>
    </row>
    <row r="1796" spans="1:4" x14ac:dyDescent="0.35">
      <c r="A1796">
        <v>6.2914300000000001</v>
      </c>
      <c r="B1796">
        <f t="shared" si="50"/>
        <v>6291.43</v>
      </c>
      <c r="C1796">
        <v>0.23322799999999999</v>
      </c>
      <c r="D1796">
        <f t="shared" si="51"/>
        <v>0.1982438</v>
      </c>
    </row>
    <row r="1797" spans="1:4" x14ac:dyDescent="0.35">
      <c r="A1797">
        <v>6.2990700000000004</v>
      </c>
      <c r="B1797">
        <f t="shared" si="50"/>
        <v>6299.0700000000006</v>
      </c>
      <c r="C1797">
        <v>0.23203599999999999</v>
      </c>
      <c r="D1797">
        <f t="shared" si="51"/>
        <v>0.19723059999999998</v>
      </c>
    </row>
    <row r="1798" spans="1:4" x14ac:dyDescent="0.35">
      <c r="A1798">
        <v>6.3067299999999999</v>
      </c>
      <c r="B1798">
        <f t="shared" si="50"/>
        <v>6306.73</v>
      </c>
      <c r="C1798">
        <v>0.23072000000000001</v>
      </c>
      <c r="D1798">
        <f t="shared" si="51"/>
        <v>0.19611200000000001</v>
      </c>
    </row>
    <row r="1799" spans="1:4" x14ac:dyDescent="0.35">
      <c r="A1799">
        <v>6.3144200000000001</v>
      </c>
      <c r="B1799">
        <f t="shared" si="50"/>
        <v>6314.42</v>
      </c>
      <c r="C1799">
        <v>0.22953599999999999</v>
      </c>
      <c r="D1799">
        <f t="shared" si="51"/>
        <v>0.19510559999999999</v>
      </c>
    </row>
    <row r="1800" spans="1:4" x14ac:dyDescent="0.35">
      <c r="A1800">
        <v>6.32212</v>
      </c>
      <c r="B1800">
        <f t="shared" si="50"/>
        <v>6322.12</v>
      </c>
      <c r="C1800">
        <v>0.22850400000000001</v>
      </c>
      <c r="D1800">
        <f t="shared" si="51"/>
        <v>0.1942284</v>
      </c>
    </row>
    <row r="1801" spans="1:4" x14ac:dyDescent="0.35">
      <c r="A1801">
        <v>6.3298399999999999</v>
      </c>
      <c r="B1801">
        <f t="shared" si="50"/>
        <v>6329.84</v>
      </c>
      <c r="C1801">
        <v>0.227631</v>
      </c>
      <c r="D1801">
        <f t="shared" si="51"/>
        <v>0.19348635</v>
      </c>
    </row>
    <row r="1802" spans="1:4" x14ac:dyDescent="0.35">
      <c r="A1802">
        <v>6.3375700000000004</v>
      </c>
      <c r="B1802">
        <f t="shared" si="50"/>
        <v>6337.5700000000006</v>
      </c>
      <c r="C1802">
        <v>0.22688</v>
      </c>
      <c r="D1802">
        <f t="shared" si="51"/>
        <v>0.19284799999999999</v>
      </c>
    </row>
    <row r="1803" spans="1:4" x14ac:dyDescent="0.35">
      <c r="A1803">
        <v>6.3453299999999997</v>
      </c>
      <c r="B1803">
        <f t="shared" ref="B1803:B1866" si="52">A1803*1000</f>
        <v>6345.33</v>
      </c>
      <c r="C1803">
        <v>0.22628999999999999</v>
      </c>
      <c r="D1803">
        <f t="shared" ref="D1803:D1866" si="53">C1803*$D$137</f>
        <v>0.19234649999999998</v>
      </c>
    </row>
    <row r="1804" spans="1:4" x14ac:dyDescent="0.35">
      <c r="A1804">
        <v>6.35311</v>
      </c>
      <c r="B1804">
        <f t="shared" si="52"/>
        <v>6353.11</v>
      </c>
      <c r="C1804">
        <v>0.225686</v>
      </c>
      <c r="D1804">
        <f t="shared" si="53"/>
        <v>0.19183310000000001</v>
      </c>
    </row>
    <row r="1805" spans="1:4" x14ac:dyDescent="0.35">
      <c r="A1805">
        <v>6.3609</v>
      </c>
      <c r="B1805">
        <f t="shared" si="52"/>
        <v>6360.9</v>
      </c>
      <c r="C1805">
        <v>0.225245</v>
      </c>
      <c r="D1805">
        <f t="shared" si="53"/>
        <v>0.19145825</v>
      </c>
    </row>
    <row r="1806" spans="1:4" x14ac:dyDescent="0.35">
      <c r="A1806">
        <v>6.3687199999999997</v>
      </c>
      <c r="B1806">
        <f t="shared" si="52"/>
        <v>6368.7199999999993</v>
      </c>
      <c r="C1806">
        <v>0.22495000000000001</v>
      </c>
      <c r="D1806">
        <f t="shared" si="53"/>
        <v>0.1912075</v>
      </c>
    </row>
    <row r="1807" spans="1:4" x14ac:dyDescent="0.35">
      <c r="A1807">
        <v>6.3765499999999999</v>
      </c>
      <c r="B1807">
        <f t="shared" si="52"/>
        <v>6376.55</v>
      </c>
      <c r="C1807">
        <v>0.22444500000000001</v>
      </c>
      <c r="D1807">
        <f t="shared" si="53"/>
        <v>0.19077825000000001</v>
      </c>
    </row>
    <row r="1808" spans="1:4" x14ac:dyDescent="0.35">
      <c r="A1808">
        <v>6.3844000000000003</v>
      </c>
      <c r="B1808">
        <f t="shared" si="52"/>
        <v>6384.4000000000005</v>
      </c>
      <c r="C1808">
        <v>0.22367100000000001</v>
      </c>
      <c r="D1808">
        <f t="shared" si="53"/>
        <v>0.19012034999999999</v>
      </c>
    </row>
    <row r="1809" spans="1:4" x14ac:dyDescent="0.35">
      <c r="A1809">
        <v>6.3922699999999999</v>
      </c>
      <c r="B1809">
        <f t="shared" si="52"/>
        <v>6392.2699999999995</v>
      </c>
      <c r="C1809">
        <v>0.223028</v>
      </c>
      <c r="D1809">
        <f t="shared" si="53"/>
        <v>0.18957379999999999</v>
      </c>
    </row>
    <row r="1810" spans="1:4" x14ac:dyDescent="0.35">
      <c r="A1810">
        <v>6.4001700000000001</v>
      </c>
      <c r="B1810">
        <f t="shared" si="52"/>
        <v>6400.17</v>
      </c>
      <c r="C1810">
        <v>0.222247</v>
      </c>
      <c r="D1810">
        <f t="shared" si="53"/>
        <v>0.18890994999999999</v>
      </c>
    </row>
    <row r="1811" spans="1:4" x14ac:dyDescent="0.35">
      <c r="A1811">
        <v>6.40808</v>
      </c>
      <c r="B1811">
        <f t="shared" si="52"/>
        <v>6408.08</v>
      </c>
      <c r="C1811">
        <v>0.22139700000000001</v>
      </c>
      <c r="D1811">
        <f t="shared" si="53"/>
        <v>0.18818745000000001</v>
      </c>
    </row>
    <row r="1812" spans="1:4" x14ac:dyDescent="0.35">
      <c r="A1812">
        <v>6.41601</v>
      </c>
      <c r="B1812">
        <f t="shared" si="52"/>
        <v>6416.01</v>
      </c>
      <c r="C1812">
        <v>0.22026000000000001</v>
      </c>
      <c r="D1812">
        <f t="shared" si="53"/>
        <v>0.187221</v>
      </c>
    </row>
    <row r="1813" spans="1:4" x14ac:dyDescent="0.35">
      <c r="A1813">
        <v>6.4239600000000001</v>
      </c>
      <c r="B1813">
        <f t="shared" si="52"/>
        <v>6423.96</v>
      </c>
      <c r="C1813">
        <v>0.21843899999999999</v>
      </c>
      <c r="D1813">
        <f t="shared" si="53"/>
        <v>0.18567314999999998</v>
      </c>
    </row>
    <row r="1814" spans="1:4" x14ac:dyDescent="0.35">
      <c r="A1814">
        <v>6.4319300000000004</v>
      </c>
      <c r="B1814">
        <f t="shared" si="52"/>
        <v>6431.93</v>
      </c>
      <c r="C1814">
        <v>0.21696099999999999</v>
      </c>
      <c r="D1814">
        <f t="shared" si="53"/>
        <v>0.18441684999999999</v>
      </c>
    </row>
    <row r="1815" spans="1:4" x14ac:dyDescent="0.35">
      <c r="A1815">
        <v>6.4399199999999999</v>
      </c>
      <c r="B1815">
        <f t="shared" si="52"/>
        <v>6439.92</v>
      </c>
      <c r="C1815">
        <v>0.21587999999999999</v>
      </c>
      <c r="D1815">
        <f t="shared" si="53"/>
        <v>0.18349799999999999</v>
      </c>
    </row>
    <row r="1816" spans="1:4" x14ac:dyDescent="0.35">
      <c r="A1816">
        <v>6.4479300000000004</v>
      </c>
      <c r="B1816">
        <f t="shared" si="52"/>
        <v>6447.93</v>
      </c>
      <c r="C1816">
        <v>0.214451</v>
      </c>
      <c r="D1816">
        <f t="shared" si="53"/>
        <v>0.18228335000000001</v>
      </c>
    </row>
    <row r="1817" spans="1:4" x14ac:dyDescent="0.35">
      <c r="A1817">
        <v>6.4559600000000001</v>
      </c>
      <c r="B1817">
        <f t="shared" si="52"/>
        <v>6455.96</v>
      </c>
      <c r="C1817">
        <v>0.213176</v>
      </c>
      <c r="D1817">
        <f t="shared" si="53"/>
        <v>0.18119959999999999</v>
      </c>
    </row>
    <row r="1818" spans="1:4" x14ac:dyDescent="0.35">
      <c r="A1818">
        <v>6.46401</v>
      </c>
      <c r="B1818">
        <f t="shared" si="52"/>
        <v>6464.01</v>
      </c>
      <c r="C1818">
        <v>0.211701</v>
      </c>
      <c r="D1818">
        <f t="shared" si="53"/>
        <v>0.17994584999999999</v>
      </c>
    </row>
    <row r="1819" spans="1:4" x14ac:dyDescent="0.35">
      <c r="A1819">
        <v>6.4720800000000001</v>
      </c>
      <c r="B1819">
        <f t="shared" si="52"/>
        <v>6472.08</v>
      </c>
      <c r="C1819">
        <v>0.210476</v>
      </c>
      <c r="D1819">
        <f t="shared" si="53"/>
        <v>0.1789046</v>
      </c>
    </row>
    <row r="1820" spans="1:4" x14ac:dyDescent="0.35">
      <c r="A1820">
        <v>6.4801700000000002</v>
      </c>
      <c r="B1820">
        <f t="shared" si="52"/>
        <v>6480.17</v>
      </c>
      <c r="C1820">
        <v>0.20921899999999999</v>
      </c>
      <c r="D1820">
        <f t="shared" si="53"/>
        <v>0.17783615</v>
      </c>
    </row>
    <row r="1821" spans="1:4" x14ac:dyDescent="0.35">
      <c r="A1821">
        <v>6.4882799999999996</v>
      </c>
      <c r="B1821">
        <f t="shared" si="52"/>
        <v>6488.28</v>
      </c>
      <c r="C1821">
        <v>0.208179</v>
      </c>
      <c r="D1821">
        <f t="shared" si="53"/>
        <v>0.17695215</v>
      </c>
    </row>
    <row r="1822" spans="1:4" x14ac:dyDescent="0.35">
      <c r="A1822">
        <v>6.49641</v>
      </c>
      <c r="B1822">
        <f t="shared" si="52"/>
        <v>6496.41</v>
      </c>
      <c r="C1822">
        <v>0.207202</v>
      </c>
      <c r="D1822">
        <f t="shared" si="53"/>
        <v>0.17612169999999999</v>
      </c>
    </row>
    <row r="1823" spans="1:4" x14ac:dyDescent="0.35">
      <c r="A1823">
        <v>6.5045599999999997</v>
      </c>
      <c r="B1823">
        <f t="shared" si="52"/>
        <v>6504.5599999999995</v>
      </c>
      <c r="C1823">
        <v>0.20630200000000001</v>
      </c>
      <c r="D1823">
        <f t="shared" si="53"/>
        <v>0.1753567</v>
      </c>
    </row>
    <row r="1824" spans="1:4" x14ac:dyDescent="0.35">
      <c r="A1824">
        <v>6.5127300000000004</v>
      </c>
      <c r="B1824">
        <f t="shared" si="52"/>
        <v>6512.7300000000005</v>
      </c>
      <c r="C1824">
        <v>0.20591999999999999</v>
      </c>
      <c r="D1824">
        <f t="shared" si="53"/>
        <v>0.17503199999999999</v>
      </c>
    </row>
    <row r="1825" spans="1:4" x14ac:dyDescent="0.35">
      <c r="A1825">
        <v>6.5209200000000003</v>
      </c>
      <c r="B1825">
        <f t="shared" si="52"/>
        <v>6520.92</v>
      </c>
      <c r="C1825">
        <v>0.205842</v>
      </c>
      <c r="D1825">
        <f t="shared" si="53"/>
        <v>0.1749657</v>
      </c>
    </row>
    <row r="1826" spans="1:4" x14ac:dyDescent="0.35">
      <c r="A1826">
        <v>6.5291399999999999</v>
      </c>
      <c r="B1826">
        <f t="shared" si="52"/>
        <v>6529.14</v>
      </c>
      <c r="C1826">
        <v>0.20533199999999999</v>
      </c>
      <c r="D1826">
        <f t="shared" si="53"/>
        <v>0.17453219999999997</v>
      </c>
    </row>
    <row r="1827" spans="1:4" x14ac:dyDescent="0.35">
      <c r="A1827">
        <v>6.5373700000000001</v>
      </c>
      <c r="B1827">
        <f t="shared" si="52"/>
        <v>6537.37</v>
      </c>
      <c r="C1827">
        <v>0.20491300000000001</v>
      </c>
      <c r="D1827">
        <f t="shared" si="53"/>
        <v>0.17417605</v>
      </c>
    </row>
    <row r="1828" spans="1:4" x14ac:dyDescent="0.35">
      <c r="A1828">
        <v>6.5456300000000001</v>
      </c>
      <c r="B1828">
        <f t="shared" si="52"/>
        <v>6545.63</v>
      </c>
      <c r="C1828">
        <v>0.20457600000000001</v>
      </c>
      <c r="D1828">
        <f t="shared" si="53"/>
        <v>0.17388960000000001</v>
      </c>
    </row>
    <row r="1829" spans="1:4" x14ac:dyDescent="0.35">
      <c r="A1829">
        <v>6.5538999999999996</v>
      </c>
      <c r="B1829">
        <f t="shared" si="52"/>
        <v>6553.9</v>
      </c>
      <c r="C1829">
        <v>0.20407500000000001</v>
      </c>
      <c r="D1829">
        <f t="shared" si="53"/>
        <v>0.17346375</v>
      </c>
    </row>
    <row r="1830" spans="1:4" x14ac:dyDescent="0.35">
      <c r="A1830">
        <v>6.5621999999999998</v>
      </c>
      <c r="B1830">
        <f t="shared" si="52"/>
        <v>6562.2</v>
      </c>
      <c r="C1830">
        <v>0.20321400000000001</v>
      </c>
      <c r="D1830">
        <f t="shared" si="53"/>
        <v>0.17273189999999999</v>
      </c>
    </row>
    <row r="1831" spans="1:4" x14ac:dyDescent="0.35">
      <c r="A1831">
        <v>6.5705099999999996</v>
      </c>
      <c r="B1831">
        <f t="shared" si="52"/>
        <v>6570.5099999999993</v>
      </c>
      <c r="C1831">
        <v>0.20231399999999999</v>
      </c>
      <c r="D1831">
        <f t="shared" si="53"/>
        <v>0.17196689999999998</v>
      </c>
    </row>
    <row r="1832" spans="1:4" x14ac:dyDescent="0.35">
      <c r="A1832">
        <v>6.5788500000000001</v>
      </c>
      <c r="B1832">
        <f t="shared" si="52"/>
        <v>6578.85</v>
      </c>
      <c r="C1832">
        <v>0.201156</v>
      </c>
      <c r="D1832">
        <f t="shared" si="53"/>
        <v>0.17098259999999998</v>
      </c>
    </row>
    <row r="1833" spans="1:4" x14ac:dyDescent="0.35">
      <c r="A1833">
        <v>6.5872099999999998</v>
      </c>
      <c r="B1833">
        <f t="shared" si="52"/>
        <v>6587.21</v>
      </c>
      <c r="C1833">
        <v>0.199631</v>
      </c>
      <c r="D1833">
        <f t="shared" si="53"/>
        <v>0.16968634999999999</v>
      </c>
    </row>
    <row r="1834" spans="1:4" x14ac:dyDescent="0.35">
      <c r="A1834">
        <v>6.5955899999999996</v>
      </c>
      <c r="B1834">
        <f t="shared" si="52"/>
        <v>6595.5899999999992</v>
      </c>
      <c r="C1834">
        <v>0.19828399999999999</v>
      </c>
      <c r="D1834">
        <f t="shared" si="53"/>
        <v>0.16854139999999998</v>
      </c>
    </row>
    <row r="1835" spans="1:4" x14ac:dyDescent="0.35">
      <c r="A1835">
        <v>6.6039899999999996</v>
      </c>
      <c r="B1835">
        <f t="shared" si="52"/>
        <v>6603.99</v>
      </c>
      <c r="C1835">
        <v>0.19666600000000001</v>
      </c>
      <c r="D1835">
        <f t="shared" si="53"/>
        <v>0.16716610000000001</v>
      </c>
    </row>
    <row r="1836" spans="1:4" x14ac:dyDescent="0.35">
      <c r="A1836">
        <v>6.6124200000000002</v>
      </c>
      <c r="B1836">
        <f t="shared" si="52"/>
        <v>6612.42</v>
      </c>
      <c r="C1836">
        <v>0.19495599999999999</v>
      </c>
      <c r="D1836">
        <f t="shared" si="53"/>
        <v>0.16571259999999999</v>
      </c>
    </row>
    <row r="1837" spans="1:4" x14ac:dyDescent="0.35">
      <c r="A1837">
        <v>6.6208600000000004</v>
      </c>
      <c r="B1837">
        <f t="shared" si="52"/>
        <v>6620.8600000000006</v>
      </c>
      <c r="C1837">
        <v>0.193185</v>
      </c>
      <c r="D1837">
        <f t="shared" si="53"/>
        <v>0.16420725</v>
      </c>
    </row>
    <row r="1838" spans="1:4" x14ac:dyDescent="0.35">
      <c r="A1838">
        <v>6.6293300000000004</v>
      </c>
      <c r="B1838">
        <f t="shared" si="52"/>
        <v>6629.3300000000008</v>
      </c>
      <c r="C1838">
        <v>0.191359</v>
      </c>
      <c r="D1838">
        <f t="shared" si="53"/>
        <v>0.16265515</v>
      </c>
    </row>
    <row r="1839" spans="1:4" x14ac:dyDescent="0.35">
      <c r="A1839">
        <v>6.6378199999999996</v>
      </c>
      <c r="B1839">
        <f t="shared" si="52"/>
        <v>6637.82</v>
      </c>
      <c r="C1839">
        <v>0.18978900000000001</v>
      </c>
      <c r="D1839">
        <f t="shared" si="53"/>
        <v>0.16132065000000001</v>
      </c>
    </row>
    <row r="1840" spans="1:4" x14ac:dyDescent="0.35">
      <c r="A1840">
        <v>6.6463299999999998</v>
      </c>
      <c r="B1840">
        <f t="shared" si="52"/>
        <v>6646.33</v>
      </c>
      <c r="C1840">
        <v>0.187776</v>
      </c>
      <c r="D1840">
        <f t="shared" si="53"/>
        <v>0.15960959999999999</v>
      </c>
    </row>
    <row r="1841" spans="1:4" x14ac:dyDescent="0.35">
      <c r="A1841">
        <v>6.6548600000000002</v>
      </c>
      <c r="B1841">
        <f t="shared" si="52"/>
        <v>6654.8600000000006</v>
      </c>
      <c r="C1841">
        <v>0.18617800000000001</v>
      </c>
      <c r="D1841">
        <f t="shared" si="53"/>
        <v>0.15825130000000001</v>
      </c>
    </row>
    <row r="1842" spans="1:4" x14ac:dyDescent="0.35">
      <c r="A1842">
        <v>6.6634099999999998</v>
      </c>
      <c r="B1842">
        <f t="shared" si="52"/>
        <v>6663.41</v>
      </c>
      <c r="C1842">
        <v>0.18507999999999999</v>
      </c>
      <c r="D1842">
        <f t="shared" si="53"/>
        <v>0.15731799999999999</v>
      </c>
    </row>
    <row r="1843" spans="1:4" x14ac:dyDescent="0.35">
      <c r="A1843">
        <v>6.6719900000000001</v>
      </c>
      <c r="B1843">
        <f t="shared" si="52"/>
        <v>6671.99</v>
      </c>
      <c r="C1843">
        <v>0.18404899999999999</v>
      </c>
      <c r="D1843">
        <f t="shared" si="53"/>
        <v>0.15644164999999999</v>
      </c>
    </row>
    <row r="1844" spans="1:4" x14ac:dyDescent="0.35">
      <c r="A1844">
        <v>6.6805899999999996</v>
      </c>
      <c r="B1844">
        <f t="shared" si="52"/>
        <v>6680.5899999999992</v>
      </c>
      <c r="C1844">
        <v>0.183032</v>
      </c>
      <c r="D1844">
        <f t="shared" si="53"/>
        <v>0.1555772</v>
      </c>
    </row>
    <row r="1845" spans="1:4" x14ac:dyDescent="0.35">
      <c r="A1845">
        <v>6.6892100000000001</v>
      </c>
      <c r="B1845">
        <f t="shared" si="52"/>
        <v>6689.21</v>
      </c>
      <c r="C1845">
        <v>0.18196200000000001</v>
      </c>
      <c r="D1845">
        <f t="shared" si="53"/>
        <v>0.15466770000000002</v>
      </c>
    </row>
    <row r="1846" spans="1:4" x14ac:dyDescent="0.35">
      <c r="A1846">
        <v>6.6978499999999999</v>
      </c>
      <c r="B1846">
        <f t="shared" si="52"/>
        <v>6697.8499999999995</v>
      </c>
      <c r="C1846">
        <v>0.18082599999999999</v>
      </c>
      <c r="D1846">
        <f t="shared" si="53"/>
        <v>0.15370209999999998</v>
      </c>
    </row>
    <row r="1847" spans="1:4" x14ac:dyDescent="0.35">
      <c r="A1847">
        <v>6.7065099999999997</v>
      </c>
      <c r="B1847">
        <f t="shared" si="52"/>
        <v>6706.5099999999993</v>
      </c>
      <c r="C1847">
        <v>0.18010499999999999</v>
      </c>
      <c r="D1847">
        <f t="shared" si="53"/>
        <v>0.15308924999999998</v>
      </c>
    </row>
    <row r="1848" spans="1:4" x14ac:dyDescent="0.35">
      <c r="A1848">
        <v>6.7152000000000003</v>
      </c>
      <c r="B1848">
        <f t="shared" si="52"/>
        <v>6715.2000000000007</v>
      </c>
      <c r="C1848">
        <v>0.17923700000000001</v>
      </c>
      <c r="D1848">
        <f t="shared" si="53"/>
        <v>0.15235145</v>
      </c>
    </row>
    <row r="1849" spans="1:4" x14ac:dyDescent="0.35">
      <c r="A1849">
        <v>6.7239100000000001</v>
      </c>
      <c r="B1849">
        <f t="shared" si="52"/>
        <v>6723.91</v>
      </c>
      <c r="C1849">
        <v>0.178032</v>
      </c>
      <c r="D1849">
        <f t="shared" si="53"/>
        <v>0.1513272</v>
      </c>
    </row>
    <row r="1850" spans="1:4" x14ac:dyDescent="0.35">
      <c r="A1850">
        <v>6.73264</v>
      </c>
      <c r="B1850">
        <f t="shared" si="52"/>
        <v>6732.64</v>
      </c>
      <c r="C1850">
        <v>0.17677799999999999</v>
      </c>
      <c r="D1850">
        <f t="shared" si="53"/>
        <v>0.15026129999999999</v>
      </c>
    </row>
    <row r="1851" spans="1:4" x14ac:dyDescent="0.35">
      <c r="A1851">
        <v>6.7413999999999996</v>
      </c>
      <c r="B1851">
        <f t="shared" si="52"/>
        <v>6741.4</v>
      </c>
      <c r="C1851">
        <v>0.175538</v>
      </c>
      <c r="D1851">
        <f t="shared" si="53"/>
        <v>0.14920729999999999</v>
      </c>
    </row>
    <row r="1852" spans="1:4" x14ac:dyDescent="0.35">
      <c r="A1852">
        <v>6.7501800000000003</v>
      </c>
      <c r="B1852">
        <f t="shared" si="52"/>
        <v>6750.18</v>
      </c>
      <c r="C1852">
        <v>0.17426700000000001</v>
      </c>
      <c r="D1852">
        <f t="shared" si="53"/>
        <v>0.14812695000000001</v>
      </c>
    </row>
    <row r="1853" spans="1:4" x14ac:dyDescent="0.35">
      <c r="A1853">
        <v>6.7589800000000002</v>
      </c>
      <c r="B1853">
        <f t="shared" si="52"/>
        <v>6758.9800000000005</v>
      </c>
      <c r="C1853">
        <v>0.17283699999999999</v>
      </c>
      <c r="D1853">
        <f t="shared" si="53"/>
        <v>0.14691145</v>
      </c>
    </row>
    <row r="1854" spans="1:4" x14ac:dyDescent="0.35">
      <c r="A1854">
        <v>6.7678000000000003</v>
      </c>
      <c r="B1854">
        <f t="shared" si="52"/>
        <v>6767.8</v>
      </c>
      <c r="C1854">
        <v>0.171155</v>
      </c>
      <c r="D1854">
        <f t="shared" si="53"/>
        <v>0.14548174999999999</v>
      </c>
    </row>
    <row r="1855" spans="1:4" x14ac:dyDescent="0.35">
      <c r="A1855">
        <v>6.7766500000000001</v>
      </c>
      <c r="B1855">
        <f t="shared" si="52"/>
        <v>6776.65</v>
      </c>
      <c r="C1855">
        <v>0.16952300000000001</v>
      </c>
      <c r="D1855">
        <f t="shared" si="53"/>
        <v>0.14409455000000002</v>
      </c>
    </row>
    <row r="1856" spans="1:4" x14ac:dyDescent="0.35">
      <c r="A1856">
        <v>6.78552</v>
      </c>
      <c r="B1856">
        <f t="shared" si="52"/>
        <v>6785.52</v>
      </c>
      <c r="C1856">
        <v>0.1676</v>
      </c>
      <c r="D1856">
        <f t="shared" si="53"/>
        <v>0.14246</v>
      </c>
    </row>
    <row r="1857" spans="1:4" x14ac:dyDescent="0.35">
      <c r="A1857">
        <v>6.7944100000000001</v>
      </c>
      <c r="B1857">
        <f t="shared" si="52"/>
        <v>6794.41</v>
      </c>
      <c r="C1857">
        <v>0.16581499999999999</v>
      </c>
      <c r="D1857">
        <f t="shared" si="53"/>
        <v>0.14094274999999998</v>
      </c>
    </row>
    <row r="1858" spans="1:4" x14ac:dyDescent="0.35">
      <c r="A1858">
        <v>6.8033299999999999</v>
      </c>
      <c r="B1858">
        <f t="shared" si="52"/>
        <v>6803.33</v>
      </c>
      <c r="C1858">
        <v>0.16400799999999999</v>
      </c>
      <c r="D1858">
        <f t="shared" si="53"/>
        <v>0.1394068</v>
      </c>
    </row>
    <row r="1859" spans="1:4" x14ac:dyDescent="0.35">
      <c r="A1859">
        <v>6.8122699999999998</v>
      </c>
      <c r="B1859">
        <f t="shared" si="52"/>
        <v>6812.2699999999995</v>
      </c>
      <c r="C1859">
        <v>0.16258800000000001</v>
      </c>
      <c r="D1859">
        <f t="shared" si="53"/>
        <v>0.13819980000000001</v>
      </c>
    </row>
    <row r="1860" spans="1:4" x14ac:dyDescent="0.35">
      <c r="A1860">
        <v>6.8212299999999999</v>
      </c>
      <c r="B1860">
        <f t="shared" si="52"/>
        <v>6821.23</v>
      </c>
      <c r="C1860">
        <v>0.161633</v>
      </c>
      <c r="D1860">
        <f t="shared" si="53"/>
        <v>0.13738804999999998</v>
      </c>
    </row>
    <row r="1861" spans="1:4" x14ac:dyDescent="0.35">
      <c r="A1861">
        <v>6.8302199999999997</v>
      </c>
      <c r="B1861">
        <f t="shared" si="52"/>
        <v>6830.2199999999993</v>
      </c>
      <c r="C1861">
        <v>0.16102900000000001</v>
      </c>
      <c r="D1861">
        <f t="shared" si="53"/>
        <v>0.13687465000000001</v>
      </c>
    </row>
    <row r="1862" spans="1:4" x14ac:dyDescent="0.35">
      <c r="A1862">
        <v>6.8392299999999997</v>
      </c>
      <c r="B1862">
        <f t="shared" si="52"/>
        <v>6839.23</v>
      </c>
      <c r="C1862">
        <v>0.16057399999999999</v>
      </c>
      <c r="D1862">
        <f t="shared" si="53"/>
        <v>0.1364879</v>
      </c>
    </row>
    <row r="1863" spans="1:4" x14ac:dyDescent="0.35">
      <c r="A1863">
        <v>6.8482599999999998</v>
      </c>
      <c r="B1863">
        <f t="shared" si="52"/>
        <v>6848.26</v>
      </c>
      <c r="C1863">
        <v>0.16042100000000001</v>
      </c>
      <c r="D1863">
        <f t="shared" si="53"/>
        <v>0.13635785</v>
      </c>
    </row>
    <row r="1864" spans="1:4" x14ac:dyDescent="0.35">
      <c r="A1864">
        <v>6.8573199999999996</v>
      </c>
      <c r="B1864">
        <f t="shared" si="52"/>
        <v>6857.32</v>
      </c>
      <c r="C1864">
        <v>0.16050500000000001</v>
      </c>
      <c r="D1864">
        <f t="shared" si="53"/>
        <v>0.13642925</v>
      </c>
    </row>
    <row r="1865" spans="1:4" x14ac:dyDescent="0.35">
      <c r="A1865">
        <v>6.8663999999999996</v>
      </c>
      <c r="B1865">
        <f t="shared" si="52"/>
        <v>6866.4</v>
      </c>
      <c r="C1865">
        <v>0.16056200000000001</v>
      </c>
      <c r="D1865">
        <f t="shared" si="53"/>
        <v>0.13647770000000001</v>
      </c>
    </row>
    <row r="1866" spans="1:4" x14ac:dyDescent="0.35">
      <c r="A1866">
        <v>6.8755100000000002</v>
      </c>
      <c r="B1866">
        <f t="shared" si="52"/>
        <v>6875.51</v>
      </c>
      <c r="C1866">
        <v>0.160194</v>
      </c>
      <c r="D1866">
        <f t="shared" si="53"/>
        <v>0.13616490000000001</v>
      </c>
    </row>
    <row r="1867" spans="1:4" x14ac:dyDescent="0.35">
      <c r="A1867">
        <v>6.8846400000000001</v>
      </c>
      <c r="B1867">
        <f t="shared" ref="B1867:B1930" si="54">A1867*1000</f>
        <v>6884.64</v>
      </c>
      <c r="C1867">
        <v>0.16003700000000001</v>
      </c>
      <c r="D1867">
        <f t="shared" ref="D1867:D1930" si="55">C1867*$D$137</f>
        <v>0.13603145</v>
      </c>
    </row>
    <row r="1868" spans="1:4" x14ac:dyDescent="0.35">
      <c r="A1868">
        <v>6.8937999999999997</v>
      </c>
      <c r="B1868">
        <f t="shared" si="54"/>
        <v>6893.7999999999993</v>
      </c>
      <c r="C1868">
        <v>0.15998000000000001</v>
      </c>
      <c r="D1868">
        <f t="shared" si="55"/>
        <v>0.13598299999999999</v>
      </c>
    </row>
    <row r="1869" spans="1:4" x14ac:dyDescent="0.35">
      <c r="A1869">
        <v>6.9029800000000003</v>
      </c>
      <c r="B1869">
        <f t="shared" si="54"/>
        <v>6902.9800000000005</v>
      </c>
      <c r="C1869">
        <v>0.15964300000000001</v>
      </c>
      <c r="D1869">
        <f t="shared" si="55"/>
        <v>0.13569655</v>
      </c>
    </row>
    <row r="1870" spans="1:4" x14ac:dyDescent="0.35">
      <c r="A1870">
        <v>6.9121800000000002</v>
      </c>
      <c r="B1870">
        <f t="shared" si="54"/>
        <v>6912.18</v>
      </c>
      <c r="C1870">
        <v>0.159133</v>
      </c>
      <c r="D1870">
        <f t="shared" si="55"/>
        <v>0.13526305</v>
      </c>
    </row>
    <row r="1871" spans="1:4" x14ac:dyDescent="0.35">
      <c r="A1871">
        <v>6.9214099999999998</v>
      </c>
      <c r="B1871">
        <f t="shared" si="54"/>
        <v>6921.41</v>
      </c>
      <c r="C1871">
        <v>0.15847</v>
      </c>
      <c r="D1871">
        <f t="shared" si="55"/>
        <v>0.1346995</v>
      </c>
    </row>
    <row r="1872" spans="1:4" x14ac:dyDescent="0.35">
      <c r="A1872">
        <v>6.9306599999999996</v>
      </c>
      <c r="B1872">
        <f t="shared" si="54"/>
        <v>6930.66</v>
      </c>
      <c r="C1872">
        <v>0.157835</v>
      </c>
      <c r="D1872">
        <f t="shared" si="55"/>
        <v>0.13415974999999999</v>
      </c>
    </row>
    <row r="1873" spans="1:4" x14ac:dyDescent="0.35">
      <c r="A1873">
        <v>6.93994</v>
      </c>
      <c r="B1873">
        <f t="shared" si="54"/>
        <v>6939.94</v>
      </c>
      <c r="C1873">
        <v>0.15688299999999999</v>
      </c>
      <c r="D1873">
        <f t="shared" si="55"/>
        <v>0.13335054999999998</v>
      </c>
    </row>
    <row r="1874" spans="1:4" x14ac:dyDescent="0.35">
      <c r="A1874">
        <v>6.9492399999999996</v>
      </c>
      <c r="B1874">
        <f t="shared" si="54"/>
        <v>6949.24</v>
      </c>
      <c r="C1874">
        <v>0.155671</v>
      </c>
      <c r="D1874">
        <f t="shared" si="55"/>
        <v>0.13232035</v>
      </c>
    </row>
    <row r="1875" spans="1:4" x14ac:dyDescent="0.35">
      <c r="A1875">
        <v>6.9585699999999999</v>
      </c>
      <c r="B1875">
        <f t="shared" si="54"/>
        <v>6958.57</v>
      </c>
      <c r="C1875">
        <v>0.15442600000000001</v>
      </c>
      <c r="D1875">
        <f t="shared" si="55"/>
        <v>0.13126209999999999</v>
      </c>
    </row>
    <row r="1876" spans="1:4" x14ac:dyDescent="0.35">
      <c r="A1876">
        <v>6.9679200000000003</v>
      </c>
      <c r="B1876">
        <f t="shared" si="54"/>
        <v>6967.92</v>
      </c>
      <c r="C1876">
        <v>0.15279899999999999</v>
      </c>
      <c r="D1876">
        <f t="shared" si="55"/>
        <v>0.12987915</v>
      </c>
    </row>
    <row r="1877" spans="1:4" x14ac:dyDescent="0.35">
      <c r="A1877">
        <v>6.9772999999999996</v>
      </c>
      <c r="B1877">
        <f t="shared" si="54"/>
        <v>6977.2999999999993</v>
      </c>
      <c r="C1877">
        <v>0.151195</v>
      </c>
      <c r="D1877">
        <f t="shared" si="55"/>
        <v>0.12851574999999998</v>
      </c>
    </row>
    <row r="1878" spans="1:4" x14ac:dyDescent="0.35">
      <c r="A1878">
        <v>6.9866999999999999</v>
      </c>
      <c r="B1878">
        <f t="shared" si="54"/>
        <v>6986.7</v>
      </c>
      <c r="C1878">
        <v>0.15010499999999999</v>
      </c>
      <c r="D1878">
        <f t="shared" si="55"/>
        <v>0.12758924999999999</v>
      </c>
    </row>
    <row r="1879" spans="1:4" x14ac:dyDescent="0.35">
      <c r="A1879">
        <v>6.99613</v>
      </c>
      <c r="B1879">
        <f t="shared" si="54"/>
        <v>6996.13</v>
      </c>
      <c r="C1879">
        <v>0.148979</v>
      </c>
      <c r="D1879">
        <f t="shared" si="55"/>
        <v>0.12663215</v>
      </c>
    </row>
    <row r="1880" spans="1:4" x14ac:dyDescent="0.35">
      <c r="A1880">
        <v>7.0055899999999998</v>
      </c>
      <c r="B1880">
        <f t="shared" si="54"/>
        <v>7005.59</v>
      </c>
      <c r="C1880">
        <v>0.147448</v>
      </c>
      <c r="D1880">
        <f t="shared" si="55"/>
        <v>0.12533079999999999</v>
      </c>
    </row>
    <row r="1881" spans="1:4" x14ac:dyDescent="0.35">
      <c r="A1881">
        <v>7.0150699999999997</v>
      </c>
      <c r="B1881">
        <f t="shared" si="54"/>
        <v>7015.07</v>
      </c>
      <c r="C1881">
        <v>0.14591399999999999</v>
      </c>
      <c r="D1881">
        <f t="shared" si="55"/>
        <v>0.12402689999999998</v>
      </c>
    </row>
    <row r="1882" spans="1:4" x14ac:dyDescent="0.35">
      <c r="A1882">
        <v>7.0245699999999998</v>
      </c>
      <c r="B1882">
        <f t="shared" si="54"/>
        <v>7024.57</v>
      </c>
      <c r="C1882">
        <v>0.14436399999999999</v>
      </c>
      <c r="D1882">
        <f t="shared" si="55"/>
        <v>0.1227094</v>
      </c>
    </row>
    <row r="1883" spans="1:4" x14ac:dyDescent="0.35">
      <c r="A1883">
        <v>7.0340999999999996</v>
      </c>
      <c r="B1883">
        <f t="shared" si="54"/>
        <v>7034.0999999999995</v>
      </c>
      <c r="C1883">
        <v>0.142678</v>
      </c>
      <c r="D1883">
        <f t="shared" si="55"/>
        <v>0.12127629999999999</v>
      </c>
    </row>
    <row r="1884" spans="1:4" x14ac:dyDescent="0.35">
      <c r="A1884">
        <v>7.04366</v>
      </c>
      <c r="B1884">
        <f t="shared" si="54"/>
        <v>7043.66</v>
      </c>
      <c r="C1884">
        <v>0.14111000000000001</v>
      </c>
      <c r="D1884">
        <f t="shared" si="55"/>
        <v>0.11994350000000001</v>
      </c>
    </row>
    <row r="1885" spans="1:4" x14ac:dyDescent="0.35">
      <c r="A1885">
        <v>7.0532500000000002</v>
      </c>
      <c r="B1885">
        <f t="shared" si="54"/>
        <v>7053.25</v>
      </c>
      <c r="C1885">
        <v>0.13944699999999999</v>
      </c>
      <c r="D1885">
        <f t="shared" si="55"/>
        <v>0.11852994999999998</v>
      </c>
    </row>
    <row r="1886" spans="1:4" x14ac:dyDescent="0.35">
      <c r="A1886">
        <v>7.0628500000000001</v>
      </c>
      <c r="B1886">
        <f t="shared" si="54"/>
        <v>7062.85</v>
      </c>
      <c r="C1886">
        <v>0.13752400000000001</v>
      </c>
      <c r="D1886">
        <f t="shared" si="55"/>
        <v>0.1168954</v>
      </c>
    </row>
    <row r="1887" spans="1:4" x14ac:dyDescent="0.35">
      <c r="A1887">
        <v>7.0724900000000002</v>
      </c>
      <c r="B1887">
        <f t="shared" si="54"/>
        <v>7072.49</v>
      </c>
      <c r="C1887">
        <v>0.13606099999999999</v>
      </c>
      <c r="D1887">
        <f t="shared" si="55"/>
        <v>0.11565184999999999</v>
      </c>
    </row>
    <row r="1888" spans="1:4" x14ac:dyDescent="0.35">
      <c r="A1888">
        <v>7.0821500000000004</v>
      </c>
      <c r="B1888">
        <f t="shared" si="54"/>
        <v>7082.1500000000005</v>
      </c>
      <c r="C1888">
        <v>0.134767</v>
      </c>
      <c r="D1888">
        <f t="shared" si="55"/>
        <v>0.11455195</v>
      </c>
    </row>
    <row r="1889" spans="1:4" x14ac:dyDescent="0.35">
      <c r="A1889">
        <v>7.0918400000000004</v>
      </c>
      <c r="B1889">
        <f t="shared" si="54"/>
        <v>7091.84</v>
      </c>
      <c r="C1889">
        <v>0.13353000000000001</v>
      </c>
      <c r="D1889">
        <f t="shared" si="55"/>
        <v>0.1135005</v>
      </c>
    </row>
    <row r="1890" spans="1:4" x14ac:dyDescent="0.35">
      <c r="A1890">
        <v>7.1015499999999996</v>
      </c>
      <c r="B1890">
        <f t="shared" si="54"/>
        <v>7101.5499999999993</v>
      </c>
      <c r="C1890">
        <v>0.13208600000000001</v>
      </c>
      <c r="D1890">
        <f t="shared" si="55"/>
        <v>0.1122731</v>
      </c>
    </row>
    <row r="1891" spans="1:4" x14ac:dyDescent="0.35">
      <c r="A1891">
        <v>7.1113</v>
      </c>
      <c r="B1891">
        <f t="shared" si="54"/>
        <v>7111.3</v>
      </c>
      <c r="C1891">
        <v>0.13070799999999999</v>
      </c>
      <c r="D1891">
        <f t="shared" si="55"/>
        <v>0.11110179999999999</v>
      </c>
    </row>
    <row r="1892" spans="1:4" x14ac:dyDescent="0.35">
      <c r="A1892">
        <v>7.1210599999999999</v>
      </c>
      <c r="B1892">
        <f t="shared" si="54"/>
        <v>7121.0599999999995</v>
      </c>
      <c r="C1892">
        <v>0.12930700000000001</v>
      </c>
      <c r="D1892">
        <f t="shared" si="55"/>
        <v>0.10991095000000001</v>
      </c>
    </row>
    <row r="1893" spans="1:4" x14ac:dyDescent="0.35">
      <c r="A1893">
        <v>7.1308600000000002</v>
      </c>
      <c r="B1893">
        <f t="shared" si="54"/>
        <v>7130.8600000000006</v>
      </c>
      <c r="C1893">
        <v>0.12790099999999999</v>
      </c>
      <c r="D1893">
        <f t="shared" si="55"/>
        <v>0.10871584999999999</v>
      </c>
    </row>
    <row r="1894" spans="1:4" x14ac:dyDescent="0.35">
      <c r="A1894">
        <v>7.1406799999999997</v>
      </c>
      <c r="B1894">
        <f t="shared" si="54"/>
        <v>7140.6799999999994</v>
      </c>
      <c r="C1894">
        <v>0.12656400000000001</v>
      </c>
      <c r="D1894">
        <f t="shared" si="55"/>
        <v>0.10757940000000001</v>
      </c>
    </row>
    <row r="1895" spans="1:4" x14ac:dyDescent="0.35">
      <c r="A1895">
        <v>7.1505299999999998</v>
      </c>
      <c r="B1895">
        <f t="shared" si="54"/>
        <v>7150.53</v>
      </c>
      <c r="C1895">
        <v>0.12520600000000001</v>
      </c>
      <c r="D1895">
        <f t="shared" si="55"/>
        <v>0.10642510000000001</v>
      </c>
    </row>
    <row r="1896" spans="1:4" x14ac:dyDescent="0.35">
      <c r="A1896">
        <v>7.1604099999999997</v>
      </c>
      <c r="B1896">
        <f t="shared" si="54"/>
        <v>7160.41</v>
      </c>
      <c r="C1896">
        <v>0.123655</v>
      </c>
      <c r="D1896">
        <f t="shared" si="55"/>
        <v>0.10510675</v>
      </c>
    </row>
    <row r="1897" spans="1:4" x14ac:dyDescent="0.35">
      <c r="A1897">
        <v>7.1703099999999997</v>
      </c>
      <c r="B1897">
        <f t="shared" si="54"/>
        <v>7170.3099999999995</v>
      </c>
      <c r="C1897">
        <v>0.122339</v>
      </c>
      <c r="D1897">
        <f t="shared" si="55"/>
        <v>0.10398815</v>
      </c>
    </row>
    <row r="1898" spans="1:4" x14ac:dyDescent="0.35">
      <c r="A1898">
        <v>7.1802400000000004</v>
      </c>
      <c r="B1898">
        <f t="shared" si="54"/>
        <v>7180.2400000000007</v>
      </c>
      <c r="C1898">
        <v>0.121015</v>
      </c>
      <c r="D1898">
        <f t="shared" si="55"/>
        <v>0.10286274999999999</v>
      </c>
    </row>
    <row r="1899" spans="1:4" x14ac:dyDescent="0.35">
      <c r="A1899">
        <v>7.1901999999999999</v>
      </c>
      <c r="B1899">
        <f t="shared" si="54"/>
        <v>7190.2</v>
      </c>
      <c r="C1899">
        <v>0.119626</v>
      </c>
      <c r="D1899">
        <f t="shared" si="55"/>
        <v>0.1016821</v>
      </c>
    </row>
    <row r="1900" spans="1:4" x14ac:dyDescent="0.35">
      <c r="A1900">
        <v>7.2001900000000001</v>
      </c>
      <c r="B1900">
        <f t="shared" si="54"/>
        <v>7200.1900000000005</v>
      </c>
      <c r="C1900">
        <v>0.118344</v>
      </c>
      <c r="D1900">
        <f t="shared" si="55"/>
        <v>0.1005924</v>
      </c>
    </row>
    <row r="1901" spans="1:4" x14ac:dyDescent="0.35">
      <c r="A1901">
        <v>7.2102000000000004</v>
      </c>
      <c r="B1901">
        <f t="shared" si="54"/>
        <v>7210.2000000000007</v>
      </c>
      <c r="C1901">
        <v>0.117157</v>
      </c>
      <c r="D1901">
        <f t="shared" si="55"/>
        <v>9.958344999999999E-2</v>
      </c>
    </row>
    <row r="1902" spans="1:4" x14ac:dyDescent="0.35">
      <c r="A1902">
        <v>7.2202400000000004</v>
      </c>
      <c r="B1902">
        <f t="shared" si="54"/>
        <v>7220.2400000000007</v>
      </c>
      <c r="C1902">
        <v>0.115689</v>
      </c>
      <c r="D1902">
        <f t="shared" si="55"/>
        <v>9.8335649999999997E-2</v>
      </c>
    </row>
    <row r="1903" spans="1:4" x14ac:dyDescent="0.35">
      <c r="A1903">
        <v>7.2303100000000002</v>
      </c>
      <c r="B1903">
        <f t="shared" si="54"/>
        <v>7230.31</v>
      </c>
      <c r="C1903">
        <v>0.114191</v>
      </c>
      <c r="D1903">
        <f t="shared" si="55"/>
        <v>9.7062349999999992E-2</v>
      </c>
    </row>
    <row r="1904" spans="1:4" x14ac:dyDescent="0.35">
      <c r="A1904">
        <v>7.2404099999999998</v>
      </c>
      <c r="B1904">
        <f t="shared" si="54"/>
        <v>7240.41</v>
      </c>
      <c r="C1904">
        <v>0.112716</v>
      </c>
      <c r="D1904">
        <f t="shared" si="55"/>
        <v>9.5808599999999994E-2</v>
      </c>
    </row>
    <row r="1905" spans="1:4" x14ac:dyDescent="0.35">
      <c r="A1905">
        <v>7.25054</v>
      </c>
      <c r="B1905">
        <f t="shared" si="54"/>
        <v>7250.54</v>
      </c>
      <c r="C1905">
        <v>0.11122</v>
      </c>
      <c r="D1905">
        <f t="shared" si="55"/>
        <v>9.4536999999999996E-2</v>
      </c>
    </row>
    <row r="1906" spans="1:4" x14ac:dyDescent="0.35">
      <c r="A1906">
        <v>7.2606900000000003</v>
      </c>
      <c r="B1906">
        <f t="shared" si="54"/>
        <v>7260.6900000000005</v>
      </c>
      <c r="C1906">
        <v>0.109667</v>
      </c>
      <c r="D1906">
        <f t="shared" si="55"/>
        <v>9.3216949999999993E-2</v>
      </c>
    </row>
    <row r="1907" spans="1:4" x14ac:dyDescent="0.35">
      <c r="A1907">
        <v>7.27088</v>
      </c>
      <c r="B1907">
        <f t="shared" si="54"/>
        <v>7270.88</v>
      </c>
      <c r="C1907">
        <v>0.108069</v>
      </c>
      <c r="D1907">
        <f t="shared" si="55"/>
        <v>9.185865E-2</v>
      </c>
    </row>
    <row r="1908" spans="1:4" x14ac:dyDescent="0.35">
      <c r="A1908">
        <v>7.2810899999999998</v>
      </c>
      <c r="B1908">
        <f t="shared" si="54"/>
        <v>7281.09</v>
      </c>
      <c r="C1908">
        <v>0.10639</v>
      </c>
      <c r="D1908">
        <f t="shared" si="55"/>
        <v>9.0431499999999998E-2</v>
      </c>
    </row>
    <row r="1909" spans="1:4" x14ac:dyDescent="0.35">
      <c r="A1909">
        <v>7.2913300000000003</v>
      </c>
      <c r="B1909">
        <f t="shared" si="54"/>
        <v>7291.33</v>
      </c>
      <c r="C1909">
        <v>0.104685</v>
      </c>
      <c r="D1909">
        <f t="shared" si="55"/>
        <v>8.8982249999999999E-2</v>
      </c>
    </row>
    <row r="1910" spans="1:4" x14ac:dyDescent="0.35">
      <c r="A1910">
        <v>7.3015999999999996</v>
      </c>
      <c r="B1910">
        <f t="shared" si="54"/>
        <v>7301.5999999999995</v>
      </c>
      <c r="C1910">
        <v>0.103063</v>
      </c>
      <c r="D1910">
        <f t="shared" si="55"/>
        <v>8.7603550000000002E-2</v>
      </c>
    </row>
    <row r="1911" spans="1:4" x14ac:dyDescent="0.35">
      <c r="A1911">
        <v>7.3118999999999996</v>
      </c>
      <c r="B1911">
        <f t="shared" si="54"/>
        <v>7311.9</v>
      </c>
      <c r="C1911">
        <v>0.101492</v>
      </c>
      <c r="D1911">
        <f t="shared" si="55"/>
        <v>8.6268200000000003E-2</v>
      </c>
    </row>
    <row r="1912" spans="1:4" x14ac:dyDescent="0.35">
      <c r="A1912">
        <v>7.3222199999999997</v>
      </c>
      <c r="B1912">
        <f t="shared" si="54"/>
        <v>7322.2199999999993</v>
      </c>
      <c r="C1912">
        <v>9.9783999999999998E-2</v>
      </c>
      <c r="D1912">
        <f t="shared" si="55"/>
        <v>8.48164E-2</v>
      </c>
    </row>
    <row r="1913" spans="1:4" x14ac:dyDescent="0.35">
      <c r="A1913">
        <v>7.3325800000000001</v>
      </c>
      <c r="B1913">
        <f t="shared" si="54"/>
        <v>7332.58</v>
      </c>
      <c r="C1913">
        <v>9.8352999999999996E-2</v>
      </c>
      <c r="D1913">
        <f t="shared" si="55"/>
        <v>8.3600049999999995E-2</v>
      </c>
    </row>
    <row r="1914" spans="1:4" x14ac:dyDescent="0.35">
      <c r="A1914">
        <v>7.3429700000000002</v>
      </c>
      <c r="B1914">
        <f t="shared" si="54"/>
        <v>7342.97</v>
      </c>
      <c r="C1914">
        <v>9.6964999999999996E-2</v>
      </c>
      <c r="D1914">
        <f t="shared" si="55"/>
        <v>8.242025E-2</v>
      </c>
    </row>
    <row r="1915" spans="1:4" x14ac:dyDescent="0.35">
      <c r="A1915">
        <v>7.3533799999999996</v>
      </c>
      <c r="B1915">
        <f t="shared" si="54"/>
        <v>7353.3799999999992</v>
      </c>
      <c r="C1915">
        <v>9.5519999999999994E-2</v>
      </c>
      <c r="D1915">
        <f t="shared" si="55"/>
        <v>8.1191999999999986E-2</v>
      </c>
    </row>
    <row r="1916" spans="1:4" x14ac:dyDescent="0.35">
      <c r="A1916">
        <v>7.3638300000000001</v>
      </c>
      <c r="B1916">
        <f t="shared" si="54"/>
        <v>7363.83</v>
      </c>
      <c r="C1916">
        <v>9.4186000000000006E-2</v>
      </c>
      <c r="D1916">
        <f t="shared" si="55"/>
        <v>8.0058100000000007E-2</v>
      </c>
    </row>
    <row r="1917" spans="1:4" x14ac:dyDescent="0.35">
      <c r="A1917">
        <v>7.3742999999999999</v>
      </c>
      <c r="B1917">
        <f t="shared" si="54"/>
        <v>7374.3</v>
      </c>
      <c r="C1917">
        <v>9.2979000000000006E-2</v>
      </c>
      <c r="D1917">
        <f t="shared" si="55"/>
        <v>7.9032150000000009E-2</v>
      </c>
    </row>
    <row r="1918" spans="1:4" x14ac:dyDescent="0.35">
      <c r="A1918">
        <v>7.3848099999999999</v>
      </c>
      <c r="B1918">
        <f t="shared" si="54"/>
        <v>7384.8099999999995</v>
      </c>
      <c r="C1918">
        <v>9.1682E-2</v>
      </c>
      <c r="D1918">
        <f t="shared" si="55"/>
        <v>7.7929700000000005E-2</v>
      </c>
    </row>
    <row r="1919" spans="1:4" x14ac:dyDescent="0.35">
      <c r="A1919">
        <v>7.39534</v>
      </c>
      <c r="B1919">
        <f t="shared" si="54"/>
        <v>7395.34</v>
      </c>
      <c r="C1919">
        <v>9.0466000000000005E-2</v>
      </c>
      <c r="D1919">
        <f t="shared" si="55"/>
        <v>7.6896100000000009E-2</v>
      </c>
    </row>
    <row r="1920" spans="1:4" x14ac:dyDescent="0.35">
      <c r="A1920">
        <v>7.4059100000000004</v>
      </c>
      <c r="B1920">
        <f t="shared" si="54"/>
        <v>7405.9100000000008</v>
      </c>
      <c r="C1920">
        <v>8.9231000000000005E-2</v>
      </c>
      <c r="D1920">
        <f t="shared" si="55"/>
        <v>7.5846350000000007E-2</v>
      </c>
    </row>
    <row r="1921" spans="1:4" x14ac:dyDescent="0.35">
      <c r="A1921">
        <v>7.4165000000000001</v>
      </c>
      <c r="B1921">
        <f t="shared" si="54"/>
        <v>7416.5</v>
      </c>
      <c r="C1921">
        <v>8.8095999999999994E-2</v>
      </c>
      <c r="D1921">
        <f t="shared" si="55"/>
        <v>7.4881599999999993E-2</v>
      </c>
    </row>
    <row r="1922" spans="1:4" x14ac:dyDescent="0.35">
      <c r="A1922">
        <v>7.42713</v>
      </c>
      <c r="B1922">
        <f t="shared" si="54"/>
        <v>7427.13</v>
      </c>
      <c r="C1922">
        <v>8.7029999999999996E-2</v>
      </c>
      <c r="D1922">
        <f t="shared" si="55"/>
        <v>7.39755E-2</v>
      </c>
    </row>
    <row r="1923" spans="1:4" x14ac:dyDescent="0.35">
      <c r="A1923">
        <v>7.4377800000000001</v>
      </c>
      <c r="B1923">
        <f t="shared" si="54"/>
        <v>7437.78</v>
      </c>
      <c r="C1923">
        <v>8.5990999999999998E-2</v>
      </c>
      <c r="D1923">
        <f t="shared" si="55"/>
        <v>7.309235E-2</v>
      </c>
    </row>
    <row r="1924" spans="1:4" x14ac:dyDescent="0.35">
      <c r="A1924">
        <v>7.4484700000000004</v>
      </c>
      <c r="B1924">
        <f t="shared" si="54"/>
        <v>7448.47</v>
      </c>
      <c r="C1924">
        <v>8.4884000000000001E-2</v>
      </c>
      <c r="D1924">
        <f t="shared" si="55"/>
        <v>7.2151400000000004E-2</v>
      </c>
    </row>
    <row r="1925" spans="1:4" x14ac:dyDescent="0.35">
      <c r="A1925">
        <v>7.4591900000000004</v>
      </c>
      <c r="B1925">
        <f t="shared" si="54"/>
        <v>7459.1900000000005</v>
      </c>
      <c r="C1925">
        <v>8.3820000000000006E-2</v>
      </c>
      <c r="D1925">
        <f t="shared" si="55"/>
        <v>7.1247000000000005E-2</v>
      </c>
    </row>
    <row r="1926" spans="1:4" x14ac:dyDescent="0.35">
      <c r="A1926">
        <v>7.4699400000000002</v>
      </c>
      <c r="B1926">
        <f t="shared" si="54"/>
        <v>7469.9400000000005</v>
      </c>
      <c r="C1926">
        <v>8.2498000000000002E-2</v>
      </c>
      <c r="D1926">
        <f t="shared" si="55"/>
        <v>7.01233E-2</v>
      </c>
    </row>
    <row r="1927" spans="1:4" x14ac:dyDescent="0.35">
      <c r="A1927">
        <v>7.4807100000000002</v>
      </c>
      <c r="B1927">
        <f t="shared" si="54"/>
        <v>7480.71</v>
      </c>
      <c r="C1927">
        <v>8.1126000000000004E-2</v>
      </c>
      <c r="D1927">
        <f t="shared" si="55"/>
        <v>6.8957100000000007E-2</v>
      </c>
    </row>
    <row r="1928" spans="1:4" x14ac:dyDescent="0.35">
      <c r="A1928">
        <v>7.4915200000000004</v>
      </c>
      <c r="B1928">
        <f t="shared" si="54"/>
        <v>7491.52</v>
      </c>
      <c r="C1928">
        <v>7.9877000000000004E-2</v>
      </c>
      <c r="D1928">
        <f t="shared" si="55"/>
        <v>6.7895449999999996E-2</v>
      </c>
    </row>
    <row r="1929" spans="1:4" x14ac:dyDescent="0.35">
      <c r="A1929">
        <v>7.50237</v>
      </c>
      <c r="B1929">
        <f t="shared" si="54"/>
        <v>7502.37</v>
      </c>
      <c r="C1929">
        <v>7.8676999999999997E-2</v>
      </c>
      <c r="D1929">
        <f t="shared" si="55"/>
        <v>6.6875449999999989E-2</v>
      </c>
    </row>
    <row r="1930" spans="1:4" x14ac:dyDescent="0.35">
      <c r="A1930">
        <v>7.5132399999999997</v>
      </c>
      <c r="B1930">
        <f t="shared" si="54"/>
        <v>7513.24</v>
      </c>
      <c r="C1930">
        <v>7.7358999999999997E-2</v>
      </c>
      <c r="D1930">
        <f t="shared" si="55"/>
        <v>6.5755149999999998E-2</v>
      </c>
    </row>
    <row r="1931" spans="1:4" x14ac:dyDescent="0.35">
      <c r="A1931">
        <v>7.5241400000000001</v>
      </c>
      <c r="B1931">
        <f t="shared" ref="B1931:B1994" si="56">A1931*1000</f>
        <v>7524.14</v>
      </c>
      <c r="C1931">
        <v>7.5972999999999999E-2</v>
      </c>
      <c r="D1931">
        <f t="shared" ref="D1931:D1994" si="57">C1931*$D$137</f>
        <v>6.4577049999999997E-2</v>
      </c>
    </row>
    <row r="1932" spans="1:4" x14ac:dyDescent="0.35">
      <c r="A1932">
        <v>7.5350799999999998</v>
      </c>
      <c r="B1932">
        <f t="shared" si="56"/>
        <v>7535.08</v>
      </c>
      <c r="C1932">
        <v>7.4434E-2</v>
      </c>
      <c r="D1932">
        <f t="shared" si="57"/>
        <v>6.3268900000000003E-2</v>
      </c>
    </row>
    <row r="1933" spans="1:4" x14ac:dyDescent="0.35">
      <c r="A1933">
        <v>7.5460500000000001</v>
      </c>
      <c r="B1933">
        <f t="shared" si="56"/>
        <v>7546.05</v>
      </c>
      <c r="C1933">
        <v>7.3036000000000004E-2</v>
      </c>
      <c r="D1933">
        <f t="shared" si="57"/>
        <v>6.20806E-2</v>
      </c>
    </row>
    <row r="1934" spans="1:4" x14ac:dyDescent="0.35">
      <c r="A1934">
        <v>7.5570500000000003</v>
      </c>
      <c r="B1934">
        <f t="shared" si="56"/>
        <v>7557.05</v>
      </c>
      <c r="C1934">
        <v>7.1562000000000001E-2</v>
      </c>
      <c r="D1934">
        <f t="shared" si="57"/>
        <v>6.0827699999999998E-2</v>
      </c>
    </row>
    <row r="1935" spans="1:4" x14ac:dyDescent="0.35">
      <c r="A1935">
        <v>7.5680800000000001</v>
      </c>
      <c r="B1935">
        <f t="shared" si="56"/>
        <v>7568.08</v>
      </c>
      <c r="C1935">
        <v>7.0061999999999999E-2</v>
      </c>
      <c r="D1935">
        <f t="shared" si="57"/>
        <v>5.95527E-2</v>
      </c>
    </row>
    <row r="1936" spans="1:4" x14ac:dyDescent="0.35">
      <c r="A1936">
        <v>7.5791500000000003</v>
      </c>
      <c r="B1936">
        <f t="shared" si="56"/>
        <v>7579.1500000000005</v>
      </c>
      <c r="C1936">
        <v>6.8599999999999994E-2</v>
      </c>
      <c r="D1936">
        <f t="shared" si="57"/>
        <v>5.8309999999999994E-2</v>
      </c>
    </row>
    <row r="1937" spans="1:4" x14ac:dyDescent="0.35">
      <c r="A1937">
        <v>7.5902399999999997</v>
      </c>
      <c r="B1937">
        <f t="shared" si="56"/>
        <v>7590.24</v>
      </c>
      <c r="C1937">
        <v>6.7084000000000005E-2</v>
      </c>
      <c r="D1937">
        <f t="shared" si="57"/>
        <v>5.70214E-2</v>
      </c>
    </row>
    <row r="1938" spans="1:4" x14ac:dyDescent="0.35">
      <c r="A1938">
        <v>7.6013700000000002</v>
      </c>
      <c r="B1938">
        <f t="shared" si="56"/>
        <v>7601.37</v>
      </c>
      <c r="C1938">
        <v>6.5506999999999996E-2</v>
      </c>
      <c r="D1938">
        <f t="shared" si="57"/>
        <v>5.5680949999999993E-2</v>
      </c>
    </row>
    <row r="1939" spans="1:4" x14ac:dyDescent="0.35">
      <c r="A1939">
        <v>7.6125299999999996</v>
      </c>
      <c r="B1939">
        <f t="shared" si="56"/>
        <v>7612.53</v>
      </c>
      <c r="C1939">
        <v>6.3981999999999997E-2</v>
      </c>
      <c r="D1939">
        <f t="shared" si="57"/>
        <v>5.4384699999999994E-2</v>
      </c>
    </row>
    <row r="1940" spans="1:4" x14ac:dyDescent="0.35">
      <c r="A1940">
        <v>7.6237300000000001</v>
      </c>
      <c r="B1940">
        <f t="shared" si="56"/>
        <v>7623.7300000000005</v>
      </c>
      <c r="C1940">
        <v>6.2371000000000003E-2</v>
      </c>
      <c r="D1940">
        <f t="shared" si="57"/>
        <v>5.3015350000000003E-2</v>
      </c>
    </row>
    <row r="1941" spans="1:4" x14ac:dyDescent="0.35">
      <c r="A1941">
        <v>7.6349600000000004</v>
      </c>
      <c r="B1941">
        <f t="shared" si="56"/>
        <v>7634.96</v>
      </c>
      <c r="C1941">
        <v>6.0857000000000001E-2</v>
      </c>
      <c r="D1941">
        <f t="shared" si="57"/>
        <v>5.1728450000000002E-2</v>
      </c>
    </row>
    <row r="1942" spans="1:4" x14ac:dyDescent="0.35">
      <c r="A1942">
        <v>7.6462199999999996</v>
      </c>
      <c r="B1942">
        <f t="shared" si="56"/>
        <v>7646.2199999999993</v>
      </c>
      <c r="C1942">
        <v>5.9353999999999997E-2</v>
      </c>
      <c r="D1942">
        <f t="shared" si="57"/>
        <v>5.0450899999999993E-2</v>
      </c>
    </row>
    <row r="1943" spans="1:4" x14ac:dyDescent="0.35">
      <c r="A1943">
        <v>7.6575100000000003</v>
      </c>
      <c r="B1943">
        <f t="shared" si="56"/>
        <v>7657.51</v>
      </c>
      <c r="C1943">
        <v>5.7912999999999999E-2</v>
      </c>
      <c r="D1943">
        <f t="shared" si="57"/>
        <v>4.922605E-2</v>
      </c>
    </row>
    <row r="1944" spans="1:4" x14ac:dyDescent="0.35">
      <c r="A1944">
        <v>7.6688400000000003</v>
      </c>
      <c r="B1944">
        <f t="shared" si="56"/>
        <v>7668.84</v>
      </c>
      <c r="C1944">
        <v>5.6467999999999997E-2</v>
      </c>
      <c r="D1944">
        <f t="shared" si="57"/>
        <v>4.7997799999999993E-2</v>
      </c>
    </row>
    <row r="1945" spans="1:4" x14ac:dyDescent="0.35">
      <c r="A1945">
        <v>7.6802000000000001</v>
      </c>
      <c r="B1945">
        <f t="shared" si="56"/>
        <v>7680.2</v>
      </c>
      <c r="C1945">
        <v>5.5198999999999998E-2</v>
      </c>
      <c r="D1945">
        <f t="shared" si="57"/>
        <v>4.691915E-2</v>
      </c>
    </row>
    <row r="1946" spans="1:4" x14ac:dyDescent="0.35">
      <c r="A1946">
        <v>7.6915899999999997</v>
      </c>
      <c r="B1946">
        <f t="shared" si="56"/>
        <v>7691.59</v>
      </c>
      <c r="C1946">
        <v>5.3918000000000001E-2</v>
      </c>
      <c r="D1946">
        <f t="shared" si="57"/>
        <v>4.5830299999999997E-2</v>
      </c>
    </row>
    <row r="1947" spans="1:4" x14ac:dyDescent="0.35">
      <c r="A1947">
        <v>7.7030200000000004</v>
      </c>
      <c r="B1947">
        <f t="shared" si="56"/>
        <v>7703.02</v>
      </c>
      <c r="C1947">
        <v>5.2817999999999997E-2</v>
      </c>
      <c r="D1947">
        <f t="shared" si="57"/>
        <v>4.4895299999999999E-2</v>
      </c>
    </row>
    <row r="1948" spans="1:4" x14ac:dyDescent="0.35">
      <c r="A1948">
        <v>7.7144899999999996</v>
      </c>
      <c r="B1948">
        <f t="shared" si="56"/>
        <v>7714.49</v>
      </c>
      <c r="C1948">
        <v>5.1734000000000002E-2</v>
      </c>
      <c r="D1948">
        <f t="shared" si="57"/>
        <v>4.3973900000000003E-2</v>
      </c>
    </row>
    <row r="1949" spans="1:4" x14ac:dyDescent="0.35">
      <c r="A1949">
        <v>7.7259799999999998</v>
      </c>
      <c r="B1949">
        <f t="shared" si="56"/>
        <v>7725.98</v>
      </c>
      <c r="C1949">
        <v>5.0473999999999998E-2</v>
      </c>
      <c r="D1949">
        <f t="shared" si="57"/>
        <v>4.2902899999999994E-2</v>
      </c>
    </row>
    <row r="1950" spans="1:4" x14ac:dyDescent="0.35">
      <c r="A1950">
        <v>7.73752</v>
      </c>
      <c r="B1950">
        <f t="shared" si="56"/>
        <v>7737.5199999999995</v>
      </c>
      <c r="C1950">
        <v>4.9232999999999999E-2</v>
      </c>
      <c r="D1950">
        <f t="shared" si="57"/>
        <v>4.1848049999999998E-2</v>
      </c>
    </row>
    <row r="1951" spans="1:4" x14ac:dyDescent="0.35">
      <c r="A1951">
        <v>7.7490800000000002</v>
      </c>
      <c r="B1951">
        <f t="shared" si="56"/>
        <v>7749.08</v>
      </c>
      <c r="C1951">
        <v>4.7982999999999998E-2</v>
      </c>
      <c r="D1951">
        <f t="shared" si="57"/>
        <v>4.0785549999999997E-2</v>
      </c>
    </row>
    <row r="1952" spans="1:4" x14ac:dyDescent="0.35">
      <c r="A1952">
        <v>7.7606799999999998</v>
      </c>
      <c r="B1952">
        <f t="shared" si="56"/>
        <v>7760.6799999999994</v>
      </c>
      <c r="C1952">
        <v>4.6511999999999998E-2</v>
      </c>
      <c r="D1952">
        <f t="shared" si="57"/>
        <v>3.95352E-2</v>
      </c>
    </row>
    <row r="1953" spans="1:4" x14ac:dyDescent="0.35">
      <c r="A1953">
        <v>7.7723199999999997</v>
      </c>
      <c r="B1953">
        <f t="shared" si="56"/>
        <v>7772.32</v>
      </c>
      <c r="C1953">
        <v>4.5036E-2</v>
      </c>
      <c r="D1953">
        <f t="shared" si="57"/>
        <v>3.8280599999999998E-2</v>
      </c>
    </row>
    <row r="1954" spans="1:4" x14ac:dyDescent="0.35">
      <c r="A1954">
        <v>7.7839900000000002</v>
      </c>
      <c r="B1954">
        <f t="shared" si="56"/>
        <v>7783.99</v>
      </c>
      <c r="C1954">
        <v>4.3603999999999997E-2</v>
      </c>
      <c r="D1954">
        <f t="shared" si="57"/>
        <v>3.7063399999999996E-2</v>
      </c>
    </row>
    <row r="1955" spans="1:4" x14ac:dyDescent="0.35">
      <c r="A1955">
        <v>7.7956899999999996</v>
      </c>
      <c r="B1955">
        <f t="shared" si="56"/>
        <v>7795.69</v>
      </c>
      <c r="C1955">
        <v>4.2187000000000002E-2</v>
      </c>
      <c r="D1955">
        <f t="shared" si="57"/>
        <v>3.5858950000000001E-2</v>
      </c>
    </row>
    <row r="1956" spans="1:4" x14ac:dyDescent="0.35">
      <c r="A1956">
        <v>7.8074300000000001</v>
      </c>
      <c r="B1956">
        <f t="shared" si="56"/>
        <v>7807.43</v>
      </c>
      <c r="C1956">
        <v>4.0626000000000002E-2</v>
      </c>
      <c r="D1956">
        <f t="shared" si="57"/>
        <v>3.4532100000000003E-2</v>
      </c>
    </row>
    <row r="1957" spans="1:4" x14ac:dyDescent="0.35">
      <c r="A1957">
        <v>7.81921</v>
      </c>
      <c r="B1957">
        <f t="shared" si="56"/>
        <v>7819.21</v>
      </c>
      <c r="C1957">
        <v>3.9112000000000001E-2</v>
      </c>
      <c r="D1957">
        <f t="shared" si="57"/>
        <v>3.3245200000000003E-2</v>
      </c>
    </row>
    <row r="1958" spans="1:4" x14ac:dyDescent="0.35">
      <c r="A1958">
        <v>7.8310199999999996</v>
      </c>
      <c r="B1958">
        <f t="shared" si="56"/>
        <v>7831.0199999999995</v>
      </c>
      <c r="C1958">
        <v>3.7497000000000003E-2</v>
      </c>
      <c r="D1958">
        <f t="shared" si="57"/>
        <v>3.1872450000000004E-2</v>
      </c>
    </row>
    <row r="1959" spans="1:4" x14ac:dyDescent="0.35">
      <c r="A1959">
        <v>7.8428699999999996</v>
      </c>
      <c r="B1959">
        <f t="shared" si="56"/>
        <v>7842.87</v>
      </c>
      <c r="C1959">
        <v>3.5895999999999997E-2</v>
      </c>
      <c r="D1959">
        <f t="shared" si="57"/>
        <v>3.0511599999999996E-2</v>
      </c>
    </row>
    <row r="1960" spans="1:4" x14ac:dyDescent="0.35">
      <c r="A1960">
        <v>7.8547500000000001</v>
      </c>
      <c r="B1960">
        <f t="shared" si="56"/>
        <v>7854.75</v>
      </c>
      <c r="C1960">
        <v>3.4502999999999999E-2</v>
      </c>
      <c r="D1960">
        <f t="shared" si="57"/>
        <v>2.9327549999999997E-2</v>
      </c>
    </row>
    <row r="1961" spans="1:4" x14ac:dyDescent="0.35">
      <c r="A1961">
        <v>7.8666700000000001</v>
      </c>
      <c r="B1961">
        <f t="shared" si="56"/>
        <v>7866.67</v>
      </c>
      <c r="C1961">
        <v>3.3152000000000001E-2</v>
      </c>
      <c r="D1961">
        <f t="shared" si="57"/>
        <v>2.8179200000000001E-2</v>
      </c>
    </row>
    <row r="1962" spans="1:4" x14ac:dyDescent="0.35">
      <c r="A1962">
        <v>7.8786199999999997</v>
      </c>
      <c r="B1962">
        <f t="shared" si="56"/>
        <v>7878.62</v>
      </c>
      <c r="C1962">
        <v>3.1771000000000001E-2</v>
      </c>
      <c r="D1962">
        <f t="shared" si="57"/>
        <v>2.7005350000000001E-2</v>
      </c>
    </row>
    <row r="1963" spans="1:4" x14ac:dyDescent="0.35">
      <c r="A1963">
        <v>7.8906200000000002</v>
      </c>
      <c r="B1963">
        <f t="shared" si="56"/>
        <v>7890.62</v>
      </c>
      <c r="C1963">
        <v>3.0502000000000001E-2</v>
      </c>
      <c r="D1963">
        <f t="shared" si="57"/>
        <v>2.59267E-2</v>
      </c>
    </row>
    <row r="1964" spans="1:4" x14ac:dyDescent="0.35">
      <c r="A1964">
        <v>7.9026399999999999</v>
      </c>
      <c r="B1964">
        <f t="shared" si="56"/>
        <v>7902.64</v>
      </c>
      <c r="C1964">
        <v>2.9169E-2</v>
      </c>
      <c r="D1964">
        <f t="shared" si="57"/>
        <v>2.479365E-2</v>
      </c>
    </row>
    <row r="1965" spans="1:4" x14ac:dyDescent="0.35">
      <c r="A1965">
        <v>7.9147100000000004</v>
      </c>
      <c r="B1965">
        <f t="shared" si="56"/>
        <v>7914.71</v>
      </c>
      <c r="C1965">
        <v>2.7980999999999999E-2</v>
      </c>
      <c r="D1965">
        <f t="shared" si="57"/>
        <v>2.3783849999999999E-2</v>
      </c>
    </row>
    <row r="1966" spans="1:4" x14ac:dyDescent="0.35">
      <c r="A1966">
        <v>7.9268099999999997</v>
      </c>
      <c r="B1966">
        <f t="shared" si="56"/>
        <v>7926.8099999999995</v>
      </c>
      <c r="C1966">
        <v>2.6773999999999999E-2</v>
      </c>
      <c r="D1966">
        <f t="shared" si="57"/>
        <v>2.2757899999999998E-2</v>
      </c>
    </row>
    <row r="1967" spans="1:4" x14ac:dyDescent="0.35">
      <c r="A1967">
        <v>7.9389500000000002</v>
      </c>
      <c r="B1967">
        <f t="shared" si="56"/>
        <v>7938.95</v>
      </c>
      <c r="C1967">
        <v>2.5668E-2</v>
      </c>
      <c r="D1967">
        <f t="shared" si="57"/>
        <v>2.1817799999999998E-2</v>
      </c>
    </row>
    <row r="1968" spans="1:4" x14ac:dyDescent="0.35">
      <c r="A1968">
        <v>7.95113</v>
      </c>
      <c r="B1968">
        <f t="shared" si="56"/>
        <v>7951.13</v>
      </c>
      <c r="C1968">
        <v>2.4628000000000001E-2</v>
      </c>
      <c r="D1968">
        <f t="shared" si="57"/>
        <v>2.0933799999999999E-2</v>
      </c>
    </row>
    <row r="1969" spans="1:4" x14ac:dyDescent="0.35">
      <c r="A1969">
        <v>7.9633399999999996</v>
      </c>
      <c r="B1969">
        <f t="shared" si="56"/>
        <v>7963.3399999999992</v>
      </c>
      <c r="C1969">
        <v>2.3616000000000002E-2</v>
      </c>
      <c r="D1969">
        <f t="shared" si="57"/>
        <v>2.00736E-2</v>
      </c>
    </row>
    <row r="1970" spans="1:4" x14ac:dyDescent="0.35">
      <c r="A1970">
        <v>7.9755900000000004</v>
      </c>
      <c r="B1970">
        <f t="shared" si="56"/>
        <v>7975.59</v>
      </c>
      <c r="C1970">
        <v>2.2585000000000001E-2</v>
      </c>
      <c r="D1970">
        <f t="shared" si="57"/>
        <v>1.9197249999999999E-2</v>
      </c>
    </row>
    <row r="1971" spans="1:4" x14ac:dyDescent="0.35">
      <c r="A1971">
        <v>7.9878799999999996</v>
      </c>
      <c r="B1971">
        <f t="shared" si="56"/>
        <v>7987.8799999999992</v>
      </c>
      <c r="C1971">
        <v>2.1548000000000001E-2</v>
      </c>
      <c r="D1971">
        <f t="shared" si="57"/>
        <v>1.83158E-2</v>
      </c>
    </row>
    <row r="1972" spans="1:4" x14ac:dyDescent="0.35">
      <c r="A1972">
        <v>8.0002099999999992</v>
      </c>
      <c r="B1972">
        <f t="shared" si="56"/>
        <v>8000.2099999999991</v>
      </c>
      <c r="C1972">
        <v>2.0494999999999999E-2</v>
      </c>
      <c r="D1972">
        <f t="shared" si="57"/>
        <v>1.7420749999999999E-2</v>
      </c>
    </row>
    <row r="1973" spans="1:4" x14ac:dyDescent="0.35">
      <c r="A1973">
        <v>8.0125700000000002</v>
      </c>
      <c r="B1973">
        <f t="shared" si="56"/>
        <v>8012.5700000000006</v>
      </c>
      <c r="C1973">
        <v>1.9675000000000002E-2</v>
      </c>
      <c r="D1973">
        <f t="shared" si="57"/>
        <v>1.6723750000000003E-2</v>
      </c>
    </row>
    <row r="1974" spans="1:4" x14ac:dyDescent="0.35">
      <c r="A1974">
        <v>8.0249799999999993</v>
      </c>
      <c r="B1974">
        <f t="shared" si="56"/>
        <v>8024.98</v>
      </c>
      <c r="C1974">
        <v>1.8748999999999998E-2</v>
      </c>
      <c r="D1974">
        <f t="shared" si="57"/>
        <v>1.5936649999999997E-2</v>
      </c>
    </row>
    <row r="1975" spans="1:4" x14ac:dyDescent="0.35">
      <c r="A1975">
        <v>8.0374199999999991</v>
      </c>
      <c r="B1975">
        <f t="shared" si="56"/>
        <v>8037.4199999999992</v>
      </c>
      <c r="C1975">
        <v>1.7753999999999999E-2</v>
      </c>
      <c r="D1975">
        <f t="shared" si="57"/>
        <v>1.5090899999999999E-2</v>
      </c>
    </row>
    <row r="1976" spans="1:4" x14ac:dyDescent="0.35">
      <c r="A1976">
        <v>8.0498999999999992</v>
      </c>
      <c r="B1976">
        <f t="shared" si="56"/>
        <v>8049.8999999999987</v>
      </c>
      <c r="C1976">
        <v>1.6947E-2</v>
      </c>
      <c r="D1976">
        <f t="shared" si="57"/>
        <v>1.440495E-2</v>
      </c>
    </row>
    <row r="1977" spans="1:4" x14ac:dyDescent="0.35">
      <c r="A1977">
        <v>8.0624199999999995</v>
      </c>
      <c r="B1977">
        <f t="shared" si="56"/>
        <v>8062.4199999999992</v>
      </c>
      <c r="C1977">
        <v>1.6206000000000002E-2</v>
      </c>
      <c r="D1977">
        <f t="shared" si="57"/>
        <v>1.37751E-2</v>
      </c>
    </row>
    <row r="1978" spans="1:4" x14ac:dyDescent="0.35">
      <c r="A1978">
        <v>8.07498</v>
      </c>
      <c r="B1978">
        <f t="shared" si="56"/>
        <v>8074.9800000000005</v>
      </c>
      <c r="C1978">
        <v>1.5405E-2</v>
      </c>
      <c r="D1978">
        <f t="shared" si="57"/>
        <v>1.309425E-2</v>
      </c>
    </row>
    <row r="1979" spans="1:4" x14ac:dyDescent="0.35">
      <c r="A1979">
        <v>8.0875699999999995</v>
      </c>
      <c r="B1979">
        <f t="shared" si="56"/>
        <v>8087.57</v>
      </c>
      <c r="C1979">
        <v>1.4699E-2</v>
      </c>
      <c r="D1979">
        <f t="shared" si="57"/>
        <v>1.2494150000000001E-2</v>
      </c>
    </row>
    <row r="1980" spans="1:4" x14ac:dyDescent="0.35">
      <c r="A1980">
        <v>8.1002100000000006</v>
      </c>
      <c r="B1980">
        <f t="shared" si="56"/>
        <v>8100.2100000000009</v>
      </c>
      <c r="C1980">
        <v>1.3976000000000001E-2</v>
      </c>
      <c r="D1980">
        <f t="shared" si="57"/>
        <v>1.1879600000000001E-2</v>
      </c>
    </row>
    <row r="1981" spans="1:4" x14ac:dyDescent="0.35">
      <c r="A1981">
        <v>8.1128900000000002</v>
      </c>
      <c r="B1981">
        <f t="shared" si="56"/>
        <v>8112.89</v>
      </c>
      <c r="C1981">
        <v>1.3405E-2</v>
      </c>
      <c r="D1981">
        <f t="shared" si="57"/>
        <v>1.139425E-2</v>
      </c>
    </row>
    <row r="1982" spans="1:4" x14ac:dyDescent="0.35">
      <c r="A1982">
        <v>8.1256000000000004</v>
      </c>
      <c r="B1982">
        <f t="shared" si="56"/>
        <v>8125.6</v>
      </c>
      <c r="C1982">
        <v>1.2699999999999999E-2</v>
      </c>
      <c r="D1982">
        <f t="shared" si="57"/>
        <v>1.0794999999999999E-2</v>
      </c>
    </row>
    <row r="1983" spans="1:4" x14ac:dyDescent="0.35">
      <c r="A1983">
        <v>8.1383600000000005</v>
      </c>
      <c r="B1983">
        <f t="shared" si="56"/>
        <v>8138.3600000000006</v>
      </c>
      <c r="C1983">
        <v>1.2119E-2</v>
      </c>
      <c r="D1983">
        <f t="shared" si="57"/>
        <v>1.0301149999999999E-2</v>
      </c>
    </row>
    <row r="1984" spans="1:4" x14ac:dyDescent="0.35">
      <c r="A1984">
        <v>8.1511600000000008</v>
      </c>
      <c r="B1984">
        <f t="shared" si="56"/>
        <v>8151.1600000000008</v>
      </c>
      <c r="C1984">
        <v>1.1629E-2</v>
      </c>
      <c r="D1984">
        <f t="shared" si="57"/>
        <v>9.88465E-3</v>
      </c>
    </row>
    <row r="1985" spans="1:4" x14ac:dyDescent="0.35">
      <c r="A1985">
        <v>8.1639900000000001</v>
      </c>
      <c r="B1985">
        <f t="shared" si="56"/>
        <v>8163.99</v>
      </c>
      <c r="C1985">
        <v>1.1233E-2</v>
      </c>
      <c r="D1985">
        <f t="shared" si="57"/>
        <v>9.5480499999999989E-3</v>
      </c>
    </row>
    <row r="1986" spans="1:4" x14ac:dyDescent="0.35">
      <c r="A1986">
        <v>8.1768699999999992</v>
      </c>
      <c r="B1986">
        <f t="shared" si="56"/>
        <v>8176.869999999999</v>
      </c>
      <c r="C1986">
        <v>1.0925000000000001E-2</v>
      </c>
      <c r="D1986">
        <f t="shared" si="57"/>
        <v>9.2862500000000011E-3</v>
      </c>
    </row>
    <row r="1987" spans="1:4" x14ac:dyDescent="0.35">
      <c r="A1987">
        <v>8.1897900000000003</v>
      </c>
      <c r="B1987">
        <f t="shared" si="56"/>
        <v>8189.79</v>
      </c>
      <c r="C1987">
        <v>1.0685E-2</v>
      </c>
      <c r="D1987">
        <f t="shared" si="57"/>
        <v>9.08225E-3</v>
      </c>
    </row>
    <row r="1988" spans="1:4" x14ac:dyDescent="0.35">
      <c r="A1988">
        <v>8.20275</v>
      </c>
      <c r="B1988">
        <f t="shared" si="56"/>
        <v>8202.75</v>
      </c>
      <c r="C1988">
        <v>1.0442999999999999E-2</v>
      </c>
      <c r="D1988">
        <f t="shared" si="57"/>
        <v>8.8765499999999987E-3</v>
      </c>
    </row>
    <row r="1989" spans="1:4" x14ac:dyDescent="0.35">
      <c r="A1989">
        <v>8.2157499999999999</v>
      </c>
      <c r="B1989">
        <f t="shared" si="56"/>
        <v>8215.75</v>
      </c>
      <c r="C1989">
        <v>1.0269E-2</v>
      </c>
      <c r="D1989">
        <f t="shared" si="57"/>
        <v>8.7286499999999993E-3</v>
      </c>
    </row>
    <row r="1990" spans="1:4" x14ac:dyDescent="0.35">
      <c r="A1990">
        <v>8.22879</v>
      </c>
      <c r="B1990">
        <f t="shared" si="56"/>
        <v>8228.7900000000009</v>
      </c>
      <c r="C1990">
        <v>1.0056000000000001E-2</v>
      </c>
      <c r="D1990">
        <f t="shared" si="57"/>
        <v>8.5476000000000007E-3</v>
      </c>
    </row>
    <row r="1991" spans="1:4" x14ac:dyDescent="0.35">
      <c r="A1991">
        <v>8.2418700000000005</v>
      </c>
      <c r="B1991">
        <f t="shared" si="56"/>
        <v>8241.8700000000008</v>
      </c>
      <c r="C1991">
        <v>1.0054E-2</v>
      </c>
      <c r="D1991">
        <f t="shared" si="57"/>
        <v>8.5459000000000004E-3</v>
      </c>
    </row>
    <row r="1992" spans="1:4" x14ac:dyDescent="0.35">
      <c r="A1992">
        <v>8.2549899999999994</v>
      </c>
      <c r="B1992">
        <f t="shared" si="56"/>
        <v>8254.99</v>
      </c>
      <c r="C1992">
        <v>1.0009000000000001E-2</v>
      </c>
      <c r="D1992">
        <f t="shared" si="57"/>
        <v>8.5076500000000003E-3</v>
      </c>
    </row>
    <row r="1993" spans="1:4" x14ac:dyDescent="0.35">
      <c r="A1993">
        <v>8.26816</v>
      </c>
      <c r="B1993">
        <f t="shared" si="56"/>
        <v>8268.16</v>
      </c>
      <c r="C1993">
        <v>1.0125E-2</v>
      </c>
      <c r="D1993">
        <f t="shared" si="57"/>
        <v>8.6062499999999993E-3</v>
      </c>
    </row>
    <row r="1994" spans="1:4" x14ac:dyDescent="0.35">
      <c r="A1994">
        <v>8.2813700000000008</v>
      </c>
      <c r="B1994">
        <f t="shared" si="56"/>
        <v>8281.3700000000008</v>
      </c>
      <c r="C1994">
        <v>1.0191E-2</v>
      </c>
      <c r="D1994">
        <f t="shared" si="57"/>
        <v>8.662350000000001E-3</v>
      </c>
    </row>
    <row r="1995" spans="1:4" x14ac:dyDescent="0.35">
      <c r="A1995">
        <v>8.2946200000000001</v>
      </c>
      <c r="B1995">
        <f t="shared" ref="B1995:B2058" si="58">A1995*1000</f>
        <v>8294.6200000000008</v>
      </c>
      <c r="C1995">
        <v>1.04E-2</v>
      </c>
      <c r="D1995">
        <f t="shared" ref="D1995:D2058" si="59">C1995*$D$137</f>
        <v>8.8399999999999989E-3</v>
      </c>
    </row>
    <row r="1996" spans="1:4" x14ac:dyDescent="0.35">
      <c r="A1996">
        <v>8.3079099999999997</v>
      </c>
      <c r="B1996">
        <f t="shared" si="58"/>
        <v>8307.91</v>
      </c>
      <c r="C1996">
        <v>1.0787E-2</v>
      </c>
      <c r="D1996">
        <f t="shared" si="59"/>
        <v>9.1689500000000004E-3</v>
      </c>
    </row>
    <row r="1997" spans="1:4" x14ac:dyDescent="0.35">
      <c r="A1997">
        <v>8.3212399999999995</v>
      </c>
      <c r="B1997">
        <f t="shared" si="58"/>
        <v>8321.24</v>
      </c>
      <c r="C1997">
        <v>1.1365E-2</v>
      </c>
      <c r="D1997">
        <f t="shared" si="59"/>
        <v>9.6602500000000004E-3</v>
      </c>
    </row>
    <row r="1998" spans="1:4" x14ac:dyDescent="0.35">
      <c r="A1998">
        <v>8.3346199999999993</v>
      </c>
      <c r="B1998">
        <f t="shared" si="58"/>
        <v>8334.619999999999</v>
      </c>
      <c r="C1998">
        <v>1.1978000000000001E-2</v>
      </c>
      <c r="D1998">
        <f t="shared" si="59"/>
        <v>1.0181300000000001E-2</v>
      </c>
    </row>
    <row r="1999" spans="1:4" x14ac:dyDescent="0.35">
      <c r="A1999">
        <v>8.3480399999999992</v>
      </c>
      <c r="B1999">
        <f t="shared" si="58"/>
        <v>8348.0399999999991</v>
      </c>
      <c r="C1999">
        <v>1.2818E-2</v>
      </c>
      <c r="D1999">
        <f t="shared" si="59"/>
        <v>1.08953E-2</v>
      </c>
    </row>
    <row r="2000" spans="1:4" x14ac:dyDescent="0.35">
      <c r="A2000">
        <v>8.3615100000000009</v>
      </c>
      <c r="B2000">
        <f t="shared" si="58"/>
        <v>8361.51</v>
      </c>
      <c r="C2000">
        <v>1.3872000000000001E-2</v>
      </c>
      <c r="D2000">
        <f t="shared" si="59"/>
        <v>1.17912E-2</v>
      </c>
    </row>
    <row r="2001" spans="1:4" x14ac:dyDescent="0.35">
      <c r="A2001">
        <v>8.3750199999999992</v>
      </c>
      <c r="B2001">
        <f t="shared" si="58"/>
        <v>8375.0199999999986</v>
      </c>
      <c r="C2001">
        <v>1.5122999999999999E-2</v>
      </c>
      <c r="D2001">
        <f t="shared" si="59"/>
        <v>1.2854549999999999E-2</v>
      </c>
    </row>
    <row r="2002" spans="1:4" x14ac:dyDescent="0.35">
      <c r="A2002">
        <v>8.3885699999999996</v>
      </c>
      <c r="B2002">
        <f t="shared" si="58"/>
        <v>8388.57</v>
      </c>
      <c r="C2002">
        <v>1.6310000000000002E-2</v>
      </c>
      <c r="D2002">
        <f t="shared" si="59"/>
        <v>1.3863500000000001E-2</v>
      </c>
    </row>
    <row r="2003" spans="1:4" x14ac:dyDescent="0.35">
      <c r="A2003">
        <v>8.4021600000000003</v>
      </c>
      <c r="B2003">
        <f t="shared" si="58"/>
        <v>8402.16</v>
      </c>
      <c r="C2003">
        <v>1.7916000000000001E-2</v>
      </c>
      <c r="D2003">
        <f t="shared" si="59"/>
        <v>1.52286E-2</v>
      </c>
    </row>
    <row r="2004" spans="1:4" x14ac:dyDescent="0.35">
      <c r="A2004">
        <v>8.4158000000000008</v>
      </c>
      <c r="B2004">
        <f t="shared" si="58"/>
        <v>8415.8000000000011</v>
      </c>
      <c r="C2004">
        <v>1.9871E-2</v>
      </c>
      <c r="D2004">
        <f t="shared" si="59"/>
        <v>1.6890349999999998E-2</v>
      </c>
    </row>
    <row r="2005" spans="1:4" x14ac:dyDescent="0.35">
      <c r="A2005">
        <v>8.4294899999999995</v>
      </c>
      <c r="B2005">
        <f t="shared" si="58"/>
        <v>8429.49</v>
      </c>
      <c r="C2005">
        <v>2.2266999999999999E-2</v>
      </c>
      <c r="D2005">
        <f t="shared" si="59"/>
        <v>1.8926949999999998E-2</v>
      </c>
    </row>
    <row r="2006" spans="1:4" x14ac:dyDescent="0.35">
      <c r="A2006">
        <v>8.4432200000000002</v>
      </c>
      <c r="B2006">
        <f t="shared" si="58"/>
        <v>8443.2199999999993</v>
      </c>
      <c r="C2006">
        <v>2.4976999999999999E-2</v>
      </c>
      <c r="D2006">
        <f t="shared" si="59"/>
        <v>2.1230449999999998E-2</v>
      </c>
    </row>
    <row r="2007" spans="1:4" x14ac:dyDescent="0.35">
      <c r="A2007">
        <v>8.4569899999999993</v>
      </c>
      <c r="B2007">
        <f t="shared" si="58"/>
        <v>8456.99</v>
      </c>
      <c r="C2007">
        <v>2.81E-2</v>
      </c>
      <c r="D2007">
        <f t="shared" si="59"/>
        <v>2.3885E-2</v>
      </c>
    </row>
    <row r="2008" spans="1:4" x14ac:dyDescent="0.35">
      <c r="A2008">
        <v>8.4708100000000002</v>
      </c>
      <c r="B2008">
        <f t="shared" si="58"/>
        <v>8470.81</v>
      </c>
      <c r="C2008">
        <v>3.1855000000000001E-2</v>
      </c>
      <c r="D2008">
        <f t="shared" si="59"/>
        <v>2.707675E-2</v>
      </c>
    </row>
    <row r="2009" spans="1:4" x14ac:dyDescent="0.35">
      <c r="A2009">
        <v>8.4846699999999995</v>
      </c>
      <c r="B2009">
        <f t="shared" si="58"/>
        <v>8484.67</v>
      </c>
      <c r="C2009">
        <v>3.6274000000000001E-2</v>
      </c>
      <c r="D2009">
        <f t="shared" si="59"/>
        <v>3.08329E-2</v>
      </c>
    </row>
    <row r="2010" spans="1:4" x14ac:dyDescent="0.35">
      <c r="A2010">
        <v>8.4985800000000005</v>
      </c>
      <c r="B2010">
        <f t="shared" si="58"/>
        <v>8498.58</v>
      </c>
      <c r="C2010">
        <v>4.0988999999999998E-2</v>
      </c>
      <c r="D2010">
        <f t="shared" si="59"/>
        <v>3.4840649999999994E-2</v>
      </c>
    </row>
    <row r="2011" spans="1:4" x14ac:dyDescent="0.35">
      <c r="A2011">
        <v>8.5125399999999996</v>
      </c>
      <c r="B2011">
        <f t="shared" si="58"/>
        <v>8512.5399999999991</v>
      </c>
      <c r="C2011">
        <v>4.6177000000000003E-2</v>
      </c>
      <c r="D2011">
        <f t="shared" si="59"/>
        <v>3.9250449999999999E-2</v>
      </c>
    </row>
    <row r="2012" spans="1:4" x14ac:dyDescent="0.35">
      <c r="A2012">
        <v>8.5265400000000007</v>
      </c>
      <c r="B2012">
        <f t="shared" si="58"/>
        <v>8526.5400000000009</v>
      </c>
      <c r="C2012">
        <v>5.1908999999999997E-2</v>
      </c>
      <c r="D2012">
        <f t="shared" si="59"/>
        <v>4.4122649999999999E-2</v>
      </c>
    </row>
    <row r="2013" spans="1:4" x14ac:dyDescent="0.35">
      <c r="A2013">
        <v>8.5405800000000003</v>
      </c>
      <c r="B2013">
        <f t="shared" si="58"/>
        <v>8540.58</v>
      </c>
      <c r="C2013">
        <v>5.8250000000000003E-2</v>
      </c>
      <c r="D2013">
        <f t="shared" si="59"/>
        <v>4.9512500000000001E-2</v>
      </c>
    </row>
    <row r="2014" spans="1:4" x14ac:dyDescent="0.35">
      <c r="A2014">
        <v>8.5546799999999994</v>
      </c>
      <c r="B2014">
        <f t="shared" si="58"/>
        <v>8554.68</v>
      </c>
      <c r="C2014">
        <v>6.4915E-2</v>
      </c>
      <c r="D2014">
        <f t="shared" si="59"/>
        <v>5.5177749999999998E-2</v>
      </c>
    </row>
    <row r="2015" spans="1:4" x14ac:dyDescent="0.35">
      <c r="A2015">
        <v>8.5688200000000005</v>
      </c>
      <c r="B2015">
        <f t="shared" si="58"/>
        <v>8568.82</v>
      </c>
      <c r="C2015">
        <v>7.2031999999999999E-2</v>
      </c>
      <c r="D2015">
        <f t="shared" si="59"/>
        <v>6.1227199999999996E-2</v>
      </c>
    </row>
    <row r="2016" spans="1:4" x14ac:dyDescent="0.35">
      <c r="A2016">
        <v>8.5830000000000002</v>
      </c>
      <c r="B2016">
        <f t="shared" si="58"/>
        <v>8583</v>
      </c>
      <c r="C2016">
        <v>7.9525999999999999E-2</v>
      </c>
      <c r="D2016">
        <f t="shared" si="59"/>
        <v>6.7597099999999993E-2</v>
      </c>
    </row>
    <row r="2017" spans="1:4" x14ac:dyDescent="0.35">
      <c r="A2017">
        <v>8.5972399999999993</v>
      </c>
      <c r="B2017">
        <f t="shared" si="58"/>
        <v>8597.24</v>
      </c>
      <c r="C2017">
        <v>8.7359000000000006E-2</v>
      </c>
      <c r="D2017">
        <f t="shared" si="59"/>
        <v>7.4255150000000006E-2</v>
      </c>
    </row>
    <row r="2018" spans="1:4" x14ac:dyDescent="0.35">
      <c r="A2018">
        <v>8.6115200000000005</v>
      </c>
      <c r="B2018">
        <f t="shared" si="58"/>
        <v>8611.52</v>
      </c>
      <c r="C2018">
        <v>9.5508999999999997E-2</v>
      </c>
      <c r="D2018">
        <f t="shared" si="59"/>
        <v>8.1182649999999995E-2</v>
      </c>
    </row>
    <row r="2019" spans="1:4" x14ac:dyDescent="0.35">
      <c r="A2019">
        <v>8.6258499999999998</v>
      </c>
      <c r="B2019">
        <f t="shared" si="58"/>
        <v>8625.85</v>
      </c>
      <c r="C2019">
        <v>0.10381</v>
      </c>
      <c r="D2019">
        <f t="shared" si="59"/>
        <v>8.8238499999999997E-2</v>
      </c>
    </row>
    <row r="2020" spans="1:4" x14ac:dyDescent="0.35">
      <c r="A2020">
        <v>8.6402300000000007</v>
      </c>
      <c r="B2020">
        <f t="shared" si="58"/>
        <v>8640.2300000000014</v>
      </c>
      <c r="C2020">
        <v>0.112233</v>
      </c>
      <c r="D2020">
        <f t="shared" si="59"/>
        <v>9.5398049999999998E-2</v>
      </c>
    </row>
    <row r="2021" spans="1:4" x14ac:dyDescent="0.35">
      <c r="A2021">
        <v>8.6546500000000002</v>
      </c>
      <c r="B2021">
        <f t="shared" si="58"/>
        <v>8654.65</v>
      </c>
      <c r="C2021">
        <v>0.121047</v>
      </c>
      <c r="D2021">
        <f t="shared" si="59"/>
        <v>0.10288994999999999</v>
      </c>
    </row>
    <row r="2022" spans="1:4" x14ac:dyDescent="0.35">
      <c r="A2022">
        <v>8.6691199999999995</v>
      </c>
      <c r="B2022">
        <f t="shared" si="58"/>
        <v>8669.119999999999</v>
      </c>
      <c r="C2022">
        <v>0.129912</v>
      </c>
      <c r="D2022">
        <f t="shared" si="59"/>
        <v>0.1104252</v>
      </c>
    </row>
    <row r="2023" spans="1:4" x14ac:dyDescent="0.35">
      <c r="A2023">
        <v>8.6836400000000005</v>
      </c>
      <c r="B2023">
        <f t="shared" si="58"/>
        <v>8683.6400000000012</v>
      </c>
      <c r="C2023">
        <v>0.139011</v>
      </c>
      <c r="D2023">
        <f t="shared" si="59"/>
        <v>0.11815935</v>
      </c>
    </row>
    <row r="2024" spans="1:4" x14ac:dyDescent="0.35">
      <c r="A2024">
        <v>8.6982099999999996</v>
      </c>
      <c r="B2024">
        <f t="shared" si="58"/>
        <v>8698.2099999999991</v>
      </c>
      <c r="C2024">
        <v>0.14841499999999999</v>
      </c>
      <c r="D2024">
        <f t="shared" si="59"/>
        <v>0.12615274999999998</v>
      </c>
    </row>
    <row r="2025" spans="1:4" x14ac:dyDescent="0.35">
      <c r="A2025">
        <v>8.7128300000000003</v>
      </c>
      <c r="B2025">
        <f t="shared" si="58"/>
        <v>8712.83</v>
      </c>
      <c r="C2025">
        <v>0.15801299999999999</v>
      </c>
      <c r="D2025">
        <f t="shared" si="59"/>
        <v>0.13431104999999999</v>
      </c>
    </row>
    <row r="2026" spans="1:4" x14ac:dyDescent="0.35">
      <c r="A2026">
        <v>8.7274999999999991</v>
      </c>
      <c r="B2026">
        <f t="shared" si="58"/>
        <v>8727.5</v>
      </c>
      <c r="C2026">
        <v>0.167545</v>
      </c>
      <c r="D2026">
        <f t="shared" si="59"/>
        <v>0.14241324999999999</v>
      </c>
    </row>
    <row r="2027" spans="1:4" x14ac:dyDescent="0.35">
      <c r="A2027">
        <v>8.7422199999999997</v>
      </c>
      <c r="B2027">
        <f t="shared" si="58"/>
        <v>8742.2199999999993</v>
      </c>
      <c r="C2027">
        <v>0.17693500000000001</v>
      </c>
      <c r="D2027">
        <f t="shared" si="59"/>
        <v>0.15039474999999999</v>
      </c>
    </row>
    <row r="2028" spans="1:4" x14ac:dyDescent="0.35">
      <c r="A2028">
        <v>8.7569900000000001</v>
      </c>
      <c r="B2028">
        <f t="shared" si="58"/>
        <v>8756.99</v>
      </c>
      <c r="C2028">
        <v>0.18609100000000001</v>
      </c>
      <c r="D2028">
        <f t="shared" si="59"/>
        <v>0.15817734999999999</v>
      </c>
    </row>
    <row r="2029" spans="1:4" x14ac:dyDescent="0.35">
      <c r="A2029">
        <v>8.7718000000000007</v>
      </c>
      <c r="B2029">
        <f t="shared" si="58"/>
        <v>8771.8000000000011</v>
      </c>
      <c r="C2029">
        <v>0.194379</v>
      </c>
      <c r="D2029">
        <f t="shared" si="59"/>
        <v>0.16522214999999998</v>
      </c>
    </row>
    <row r="2030" spans="1:4" x14ac:dyDescent="0.35">
      <c r="A2030">
        <v>8.7866700000000009</v>
      </c>
      <c r="B2030">
        <f t="shared" si="58"/>
        <v>8786.67</v>
      </c>
      <c r="C2030">
        <v>0.20142199999999999</v>
      </c>
      <c r="D2030">
        <f t="shared" si="59"/>
        <v>0.17120869999999999</v>
      </c>
    </row>
    <row r="2031" spans="1:4" x14ac:dyDescent="0.35">
      <c r="A2031">
        <v>8.8015899999999991</v>
      </c>
      <c r="B2031">
        <f t="shared" si="58"/>
        <v>8801.5899999999983</v>
      </c>
      <c r="C2031">
        <v>0.20665800000000001</v>
      </c>
      <c r="D2031">
        <f t="shared" si="59"/>
        <v>0.17565929999999999</v>
      </c>
    </row>
    <row r="2032" spans="1:4" x14ac:dyDescent="0.35">
      <c r="A2032">
        <v>8.8165600000000008</v>
      </c>
      <c r="B2032">
        <f t="shared" si="58"/>
        <v>8816.5600000000013</v>
      </c>
      <c r="C2032">
        <v>0.209754</v>
      </c>
      <c r="D2032">
        <f t="shared" si="59"/>
        <v>0.1782909</v>
      </c>
    </row>
    <row r="2033" spans="1:4" x14ac:dyDescent="0.35">
      <c r="A2033">
        <v>8.8315800000000007</v>
      </c>
      <c r="B2033">
        <f t="shared" si="58"/>
        <v>8831.58</v>
      </c>
      <c r="C2033">
        <v>0.21034600000000001</v>
      </c>
      <c r="D2033">
        <f t="shared" si="59"/>
        <v>0.17879410000000001</v>
      </c>
    </row>
    <row r="2034" spans="1:4" x14ac:dyDescent="0.35">
      <c r="A2034">
        <v>8.8466500000000003</v>
      </c>
      <c r="B2034">
        <f t="shared" si="58"/>
        <v>8846.65</v>
      </c>
      <c r="C2034">
        <v>0.208396</v>
      </c>
      <c r="D2034">
        <f t="shared" si="59"/>
        <v>0.17713660000000001</v>
      </c>
    </row>
    <row r="2035" spans="1:4" x14ac:dyDescent="0.35">
      <c r="A2035">
        <v>8.8617699999999999</v>
      </c>
      <c r="B2035">
        <f t="shared" si="58"/>
        <v>8861.77</v>
      </c>
      <c r="C2035">
        <v>0.204295</v>
      </c>
      <c r="D2035">
        <f t="shared" si="59"/>
        <v>0.17365074999999999</v>
      </c>
    </row>
    <row r="2036" spans="1:4" x14ac:dyDescent="0.35">
      <c r="A2036">
        <v>8.8769399999999994</v>
      </c>
      <c r="B2036">
        <f t="shared" si="58"/>
        <v>8876.9399999999987</v>
      </c>
      <c r="C2036">
        <v>0.19764100000000001</v>
      </c>
      <c r="D2036">
        <f t="shared" si="59"/>
        <v>0.16799485</v>
      </c>
    </row>
    <row r="2037" spans="1:4" x14ac:dyDescent="0.35">
      <c r="A2037">
        <v>8.8921700000000001</v>
      </c>
      <c r="B2037">
        <f t="shared" si="58"/>
        <v>8892.17</v>
      </c>
      <c r="C2037">
        <v>0.18787999999999999</v>
      </c>
      <c r="D2037">
        <f t="shared" si="59"/>
        <v>0.15969799999999998</v>
      </c>
    </row>
    <row r="2038" spans="1:4" x14ac:dyDescent="0.35">
      <c r="A2038">
        <v>8.9074500000000008</v>
      </c>
      <c r="B2038">
        <f t="shared" si="58"/>
        <v>8907.4500000000007</v>
      </c>
      <c r="C2038">
        <v>0.17449700000000001</v>
      </c>
      <c r="D2038">
        <f t="shared" si="59"/>
        <v>0.14832244999999999</v>
      </c>
    </row>
    <row r="2039" spans="1:4" x14ac:dyDescent="0.35">
      <c r="A2039">
        <v>8.9227799999999995</v>
      </c>
      <c r="B2039">
        <f t="shared" si="58"/>
        <v>8922.7799999999988</v>
      </c>
      <c r="C2039">
        <v>0.157056</v>
      </c>
      <c r="D2039">
        <f t="shared" si="59"/>
        <v>0.13349759999999999</v>
      </c>
    </row>
    <row r="2040" spans="1:4" x14ac:dyDescent="0.35">
      <c r="A2040">
        <v>8.9381599999999999</v>
      </c>
      <c r="B2040">
        <f t="shared" si="58"/>
        <v>8938.16</v>
      </c>
      <c r="C2040">
        <v>0.13627700000000001</v>
      </c>
      <c r="D2040">
        <f t="shared" si="59"/>
        <v>0.11583545000000001</v>
      </c>
    </row>
    <row r="2041" spans="1:4" x14ac:dyDescent="0.35">
      <c r="A2041">
        <v>8.9535999999999998</v>
      </c>
      <c r="B2041">
        <f t="shared" si="58"/>
        <v>8953.6</v>
      </c>
      <c r="C2041">
        <v>0.114636</v>
      </c>
      <c r="D2041">
        <f t="shared" si="59"/>
        <v>9.7440600000000002E-2</v>
      </c>
    </row>
    <row r="2042" spans="1:4" x14ac:dyDescent="0.35">
      <c r="A2042">
        <v>8.9690899999999996</v>
      </c>
      <c r="B2042">
        <f t="shared" si="58"/>
        <v>8969.09</v>
      </c>
      <c r="C2042">
        <v>9.4950999999999994E-2</v>
      </c>
      <c r="D2042">
        <f t="shared" si="59"/>
        <v>8.0708349999999998E-2</v>
      </c>
    </row>
    <row r="2043" spans="1:4" x14ac:dyDescent="0.35">
      <c r="A2043">
        <v>8.9846400000000006</v>
      </c>
      <c r="B2043">
        <f t="shared" si="58"/>
        <v>8984.6400000000012</v>
      </c>
      <c r="C2043">
        <v>7.8924999999999995E-2</v>
      </c>
      <c r="D2043">
        <f t="shared" si="59"/>
        <v>6.708625E-2</v>
      </c>
    </row>
    <row r="2044" spans="1:4" x14ac:dyDescent="0.35">
      <c r="A2044">
        <v>9.0002300000000002</v>
      </c>
      <c r="B2044">
        <f t="shared" si="58"/>
        <v>9000.23</v>
      </c>
      <c r="C2044">
        <v>6.6943000000000003E-2</v>
      </c>
      <c r="D2044">
        <f t="shared" si="59"/>
        <v>5.6901550000000002E-2</v>
      </c>
    </row>
    <row r="2045" spans="1:4" x14ac:dyDescent="0.35">
      <c r="A2045">
        <v>9.0158900000000006</v>
      </c>
      <c r="B2045">
        <f t="shared" si="58"/>
        <v>9015.8900000000012</v>
      </c>
      <c r="C2045">
        <v>5.9929000000000003E-2</v>
      </c>
      <c r="D2045">
        <f t="shared" si="59"/>
        <v>5.0939650000000003E-2</v>
      </c>
    </row>
    <row r="2046" spans="1:4" x14ac:dyDescent="0.35">
      <c r="A2046">
        <v>9.0315899999999996</v>
      </c>
      <c r="B2046">
        <f t="shared" si="58"/>
        <v>9031.59</v>
      </c>
      <c r="C2046">
        <v>5.7759999999999999E-2</v>
      </c>
      <c r="D2046">
        <f t="shared" si="59"/>
        <v>4.9096000000000001E-2</v>
      </c>
    </row>
    <row r="2047" spans="1:4" x14ac:dyDescent="0.35">
      <c r="A2047">
        <v>9.0473599999999994</v>
      </c>
      <c r="B2047">
        <f t="shared" si="58"/>
        <v>9047.3599999999988</v>
      </c>
      <c r="C2047">
        <v>5.8748000000000002E-2</v>
      </c>
      <c r="D2047">
        <f t="shared" si="59"/>
        <v>4.9935800000000002E-2</v>
      </c>
    </row>
    <row r="2048" spans="1:4" x14ac:dyDescent="0.35">
      <c r="A2048">
        <v>9.0631699999999995</v>
      </c>
      <c r="B2048">
        <f t="shared" si="58"/>
        <v>9063.17</v>
      </c>
      <c r="C2048">
        <v>6.1046999999999997E-2</v>
      </c>
      <c r="D2048">
        <f t="shared" si="59"/>
        <v>5.1889949999999997E-2</v>
      </c>
    </row>
    <row r="2049" spans="1:4" x14ac:dyDescent="0.35">
      <c r="A2049">
        <v>9.0790500000000005</v>
      </c>
      <c r="B2049">
        <f t="shared" si="58"/>
        <v>9079.0500000000011</v>
      </c>
      <c r="C2049">
        <v>6.3417000000000001E-2</v>
      </c>
      <c r="D2049">
        <f t="shared" si="59"/>
        <v>5.390445E-2</v>
      </c>
    </row>
    <row r="2050" spans="1:4" x14ac:dyDescent="0.35">
      <c r="A2050">
        <v>9.09497</v>
      </c>
      <c r="B2050">
        <f t="shared" si="58"/>
        <v>9094.9699999999993</v>
      </c>
      <c r="C2050">
        <v>6.5659999999999996E-2</v>
      </c>
      <c r="D2050">
        <f t="shared" si="59"/>
        <v>5.5810999999999993E-2</v>
      </c>
    </row>
    <row r="2051" spans="1:4" x14ac:dyDescent="0.35">
      <c r="A2051">
        <v>9.1109600000000004</v>
      </c>
      <c r="B2051">
        <f t="shared" si="58"/>
        <v>9110.9600000000009</v>
      </c>
      <c r="C2051">
        <v>6.8150000000000002E-2</v>
      </c>
      <c r="D2051">
        <f t="shared" si="59"/>
        <v>5.79275E-2</v>
      </c>
    </row>
    <row r="2052" spans="1:4" x14ac:dyDescent="0.35">
      <c r="A2052">
        <v>9.1270000000000007</v>
      </c>
      <c r="B2052">
        <f t="shared" si="58"/>
        <v>9127</v>
      </c>
      <c r="C2052">
        <v>7.0969000000000004E-2</v>
      </c>
      <c r="D2052">
        <f t="shared" si="59"/>
        <v>6.0323649999999999E-2</v>
      </c>
    </row>
    <row r="2053" spans="1:4" x14ac:dyDescent="0.35">
      <c r="A2053">
        <v>9.1431000000000004</v>
      </c>
      <c r="B2053">
        <f t="shared" si="58"/>
        <v>9143.1</v>
      </c>
      <c r="C2053">
        <v>7.4274000000000007E-2</v>
      </c>
      <c r="D2053">
        <f t="shared" si="59"/>
        <v>6.3132900000000006E-2</v>
      </c>
    </row>
    <row r="2054" spans="1:4" x14ac:dyDescent="0.35">
      <c r="A2054">
        <v>9.1592500000000001</v>
      </c>
      <c r="B2054">
        <f t="shared" si="58"/>
        <v>9159.25</v>
      </c>
      <c r="C2054">
        <v>7.8074000000000005E-2</v>
      </c>
      <c r="D2054">
        <f t="shared" si="59"/>
        <v>6.6362900000000002E-2</v>
      </c>
    </row>
    <row r="2055" spans="1:4" x14ac:dyDescent="0.35">
      <c r="A2055">
        <v>9.1754599999999993</v>
      </c>
      <c r="B2055">
        <f t="shared" si="58"/>
        <v>9175.4599999999991</v>
      </c>
      <c r="C2055">
        <v>8.2735000000000003E-2</v>
      </c>
      <c r="D2055">
        <f t="shared" si="59"/>
        <v>7.0324750000000005E-2</v>
      </c>
    </row>
    <row r="2056" spans="1:4" x14ac:dyDescent="0.35">
      <c r="A2056">
        <v>9.1917299999999997</v>
      </c>
      <c r="B2056">
        <f t="shared" si="58"/>
        <v>9191.73</v>
      </c>
      <c r="C2056">
        <v>8.8172E-2</v>
      </c>
      <c r="D2056">
        <f t="shared" si="59"/>
        <v>7.4946200000000004E-2</v>
      </c>
    </row>
    <row r="2057" spans="1:4" x14ac:dyDescent="0.35">
      <c r="A2057">
        <v>9.2080599999999997</v>
      </c>
      <c r="B2057">
        <f t="shared" si="58"/>
        <v>9208.06</v>
      </c>
      <c r="C2057">
        <v>9.443E-2</v>
      </c>
      <c r="D2057">
        <f t="shared" si="59"/>
        <v>8.0265500000000004E-2</v>
      </c>
    </row>
    <row r="2058" spans="1:4" x14ac:dyDescent="0.35">
      <c r="A2058">
        <v>9.2244399999999995</v>
      </c>
      <c r="B2058">
        <f t="shared" si="58"/>
        <v>9224.4399999999987</v>
      </c>
      <c r="C2058">
        <v>0.101101</v>
      </c>
      <c r="D2058">
        <f t="shared" si="59"/>
        <v>8.5935849999999994E-2</v>
      </c>
    </row>
    <row r="2059" spans="1:4" x14ac:dyDescent="0.35">
      <c r="A2059">
        <v>9.2408800000000006</v>
      </c>
      <c r="B2059">
        <f t="shared" ref="B2059:B2122" si="60">A2059*1000</f>
        <v>9240.880000000001</v>
      </c>
      <c r="C2059">
        <v>0.108011</v>
      </c>
      <c r="D2059">
        <f t="shared" ref="D2059:D2122" si="61">C2059*$D$137</f>
        <v>9.1809349999999998E-2</v>
      </c>
    </row>
    <row r="2060" spans="1:4" x14ac:dyDescent="0.35">
      <c r="A2060">
        <v>9.2573799999999995</v>
      </c>
      <c r="B2060">
        <f t="shared" si="60"/>
        <v>9257.3799999999992</v>
      </c>
      <c r="C2060">
        <v>0.114549</v>
      </c>
      <c r="D2060">
        <f t="shared" si="61"/>
        <v>9.7366649999999999E-2</v>
      </c>
    </row>
    <row r="2061" spans="1:4" x14ac:dyDescent="0.35">
      <c r="A2061">
        <v>9.2739399999999996</v>
      </c>
      <c r="B2061">
        <f t="shared" si="60"/>
        <v>9273.94</v>
      </c>
      <c r="C2061">
        <v>0.120338</v>
      </c>
      <c r="D2061">
        <f t="shared" si="61"/>
        <v>0.1022873</v>
      </c>
    </row>
    <row r="2062" spans="1:4" x14ac:dyDescent="0.35">
      <c r="A2062">
        <v>9.2905599999999993</v>
      </c>
      <c r="B2062">
        <f t="shared" si="60"/>
        <v>9290.56</v>
      </c>
      <c r="C2062">
        <v>0.12520700000000001</v>
      </c>
      <c r="D2062">
        <f t="shared" si="61"/>
        <v>0.10642595000000001</v>
      </c>
    </row>
    <row r="2063" spans="1:4" x14ac:dyDescent="0.35">
      <c r="A2063">
        <v>9.3072400000000002</v>
      </c>
      <c r="B2063">
        <f t="shared" si="60"/>
        <v>9307.24</v>
      </c>
      <c r="C2063">
        <v>0.12870699999999999</v>
      </c>
      <c r="D2063">
        <f t="shared" si="61"/>
        <v>0.10940094999999998</v>
      </c>
    </row>
    <row r="2064" spans="1:4" x14ac:dyDescent="0.35">
      <c r="A2064">
        <v>9.3239800000000006</v>
      </c>
      <c r="B2064">
        <f t="shared" si="60"/>
        <v>9323.9800000000014</v>
      </c>
      <c r="C2064">
        <v>0.130659</v>
      </c>
      <c r="D2064">
        <f t="shared" si="61"/>
        <v>0.11106015</v>
      </c>
    </row>
    <row r="2065" spans="1:4" x14ac:dyDescent="0.35">
      <c r="A2065">
        <v>9.3407800000000005</v>
      </c>
      <c r="B2065">
        <f t="shared" si="60"/>
        <v>9340.7800000000007</v>
      </c>
      <c r="C2065">
        <v>0.13123199999999999</v>
      </c>
      <c r="D2065">
        <f t="shared" si="61"/>
        <v>0.11154719999999999</v>
      </c>
    </row>
    <row r="2066" spans="1:4" x14ac:dyDescent="0.35">
      <c r="A2066">
        <v>9.35764</v>
      </c>
      <c r="B2066">
        <f t="shared" si="60"/>
        <v>9357.64</v>
      </c>
      <c r="C2066">
        <v>0.131055</v>
      </c>
      <c r="D2066">
        <f t="shared" si="61"/>
        <v>0.11139675</v>
      </c>
    </row>
    <row r="2067" spans="1:4" x14ac:dyDescent="0.35">
      <c r="A2067">
        <v>9.3745700000000003</v>
      </c>
      <c r="B2067">
        <f t="shared" si="60"/>
        <v>9374.57</v>
      </c>
      <c r="C2067">
        <v>0.13087099999999999</v>
      </c>
      <c r="D2067">
        <f t="shared" si="61"/>
        <v>0.11124034999999999</v>
      </c>
    </row>
    <row r="2068" spans="1:4" x14ac:dyDescent="0.35">
      <c r="A2068">
        <v>9.3915500000000005</v>
      </c>
      <c r="B2068">
        <f t="shared" si="60"/>
        <v>9391.5500000000011</v>
      </c>
      <c r="C2068">
        <v>0.131052</v>
      </c>
      <c r="D2068">
        <f t="shared" si="61"/>
        <v>0.1113942</v>
      </c>
    </row>
    <row r="2069" spans="1:4" x14ac:dyDescent="0.35">
      <c r="A2069">
        <v>9.4085900000000002</v>
      </c>
      <c r="B2069">
        <f t="shared" si="60"/>
        <v>9408.59</v>
      </c>
      <c r="C2069">
        <v>0.13158700000000001</v>
      </c>
      <c r="D2069">
        <f t="shared" si="61"/>
        <v>0.11184895</v>
      </c>
    </row>
    <row r="2070" spans="1:4" x14ac:dyDescent="0.35">
      <c r="A2070">
        <v>9.4257000000000009</v>
      </c>
      <c r="B2070">
        <f t="shared" si="60"/>
        <v>9425.7000000000007</v>
      </c>
      <c r="C2070">
        <v>0.13166600000000001</v>
      </c>
      <c r="D2070">
        <f t="shared" si="61"/>
        <v>0.1119161</v>
      </c>
    </row>
    <row r="2071" spans="1:4" x14ac:dyDescent="0.35">
      <c r="A2071">
        <v>9.4428699999999992</v>
      </c>
      <c r="B2071">
        <f t="shared" si="60"/>
        <v>9442.869999999999</v>
      </c>
      <c r="C2071">
        <v>0.13089600000000001</v>
      </c>
      <c r="D2071">
        <f t="shared" si="61"/>
        <v>0.1112616</v>
      </c>
    </row>
    <row r="2072" spans="1:4" x14ac:dyDescent="0.35">
      <c r="A2072">
        <v>9.4601000000000006</v>
      </c>
      <c r="B2072">
        <f t="shared" si="60"/>
        <v>9460.1</v>
      </c>
      <c r="C2072">
        <v>0.129131</v>
      </c>
      <c r="D2072">
        <f t="shared" si="61"/>
        <v>0.10976134999999999</v>
      </c>
    </row>
    <row r="2073" spans="1:4" x14ac:dyDescent="0.35">
      <c r="A2073">
        <v>9.4773999999999994</v>
      </c>
      <c r="B2073">
        <f t="shared" si="60"/>
        <v>9477.4</v>
      </c>
      <c r="C2073">
        <v>0.126218</v>
      </c>
      <c r="D2073">
        <f t="shared" si="61"/>
        <v>0.1072853</v>
      </c>
    </row>
    <row r="2074" spans="1:4" x14ac:dyDescent="0.35">
      <c r="A2074">
        <v>9.4947499999999998</v>
      </c>
      <c r="B2074">
        <f t="shared" si="60"/>
        <v>9494.75</v>
      </c>
      <c r="C2074">
        <v>0.12246700000000001</v>
      </c>
      <c r="D2074">
        <f t="shared" si="61"/>
        <v>0.10409695000000001</v>
      </c>
    </row>
    <row r="2075" spans="1:4" x14ac:dyDescent="0.35">
      <c r="A2075">
        <v>9.5121699999999993</v>
      </c>
      <c r="B2075">
        <f t="shared" si="60"/>
        <v>9512.17</v>
      </c>
      <c r="C2075">
        <v>0.118365</v>
      </c>
      <c r="D2075">
        <f t="shared" si="61"/>
        <v>0.10061025</v>
      </c>
    </row>
    <row r="2076" spans="1:4" x14ac:dyDescent="0.35">
      <c r="A2076">
        <v>9.5296599999999998</v>
      </c>
      <c r="B2076">
        <f t="shared" si="60"/>
        <v>9529.66</v>
      </c>
      <c r="C2076">
        <v>0.113997</v>
      </c>
      <c r="D2076">
        <f t="shared" si="61"/>
        <v>9.6897449999999996E-2</v>
      </c>
    </row>
    <row r="2077" spans="1:4" x14ac:dyDescent="0.35">
      <c r="A2077">
        <v>9.5472099999999998</v>
      </c>
      <c r="B2077">
        <f t="shared" si="60"/>
        <v>9547.2099999999991</v>
      </c>
      <c r="C2077">
        <v>0.109557</v>
      </c>
      <c r="D2077">
        <f t="shared" si="61"/>
        <v>9.3123449999999997E-2</v>
      </c>
    </row>
    <row r="2078" spans="1:4" x14ac:dyDescent="0.35">
      <c r="A2078">
        <v>9.5648300000000006</v>
      </c>
      <c r="B2078">
        <f t="shared" si="60"/>
        <v>9564.83</v>
      </c>
      <c r="C2078">
        <v>0.105312</v>
      </c>
      <c r="D2078">
        <f t="shared" si="61"/>
        <v>8.9515200000000003E-2</v>
      </c>
    </row>
    <row r="2079" spans="1:4" x14ac:dyDescent="0.35">
      <c r="A2079">
        <v>9.5824999999999996</v>
      </c>
      <c r="B2079">
        <f t="shared" si="60"/>
        <v>9582.5</v>
      </c>
      <c r="C2079">
        <v>0.101267</v>
      </c>
      <c r="D2079">
        <f t="shared" si="61"/>
        <v>8.6076949999999999E-2</v>
      </c>
    </row>
    <row r="2080" spans="1:4" x14ac:dyDescent="0.35">
      <c r="A2080">
        <v>9.6002500000000008</v>
      </c>
      <c r="B2080">
        <f t="shared" si="60"/>
        <v>9600.25</v>
      </c>
      <c r="C2080">
        <v>9.7240999999999994E-2</v>
      </c>
      <c r="D2080">
        <f t="shared" si="61"/>
        <v>8.2654849999999988E-2</v>
      </c>
    </row>
    <row r="2081" spans="1:4" x14ac:dyDescent="0.35">
      <c r="A2081">
        <v>9.6180599999999998</v>
      </c>
      <c r="B2081">
        <f t="shared" si="60"/>
        <v>9618.06</v>
      </c>
      <c r="C2081">
        <v>9.3104000000000006E-2</v>
      </c>
      <c r="D2081">
        <f t="shared" si="61"/>
        <v>7.9138399999999998E-2</v>
      </c>
    </row>
    <row r="2082" spans="1:4" x14ac:dyDescent="0.35">
      <c r="A2082">
        <v>9.6359399999999997</v>
      </c>
      <c r="B2082">
        <f t="shared" si="60"/>
        <v>9635.94</v>
      </c>
      <c r="C2082">
        <v>8.8699E-2</v>
      </c>
      <c r="D2082">
        <f t="shared" si="61"/>
        <v>7.5394149999999993E-2</v>
      </c>
    </row>
    <row r="2083" spans="1:4" x14ac:dyDescent="0.35">
      <c r="A2083">
        <v>9.6538799999999991</v>
      </c>
      <c r="B2083">
        <f t="shared" si="60"/>
        <v>9653.8799999999992</v>
      </c>
      <c r="C2083">
        <v>8.4129999999999996E-2</v>
      </c>
      <c r="D2083">
        <f t="shared" si="61"/>
        <v>7.1510499999999991E-2</v>
      </c>
    </row>
    <row r="2084" spans="1:4" x14ac:dyDescent="0.35">
      <c r="A2084">
        <v>9.6718899999999994</v>
      </c>
      <c r="B2084">
        <f t="shared" si="60"/>
        <v>9671.89</v>
      </c>
      <c r="C2084">
        <v>7.9631999999999994E-2</v>
      </c>
      <c r="D2084">
        <f t="shared" si="61"/>
        <v>6.7687199999999989E-2</v>
      </c>
    </row>
    <row r="2085" spans="1:4" x14ac:dyDescent="0.35">
      <c r="A2085">
        <v>9.6899700000000006</v>
      </c>
      <c r="B2085">
        <f t="shared" si="60"/>
        <v>9689.9700000000012</v>
      </c>
      <c r="C2085">
        <v>7.5128E-2</v>
      </c>
      <c r="D2085">
        <f t="shared" si="61"/>
        <v>6.3858799999999993E-2</v>
      </c>
    </row>
    <row r="2086" spans="1:4" x14ac:dyDescent="0.35">
      <c r="A2086">
        <v>9.7081199999999992</v>
      </c>
      <c r="B2086">
        <f t="shared" si="60"/>
        <v>9708.119999999999</v>
      </c>
      <c r="C2086">
        <v>7.0433999999999997E-2</v>
      </c>
      <c r="D2086">
        <f t="shared" si="61"/>
        <v>5.9868899999999996E-2</v>
      </c>
    </row>
    <row r="2087" spans="1:4" x14ac:dyDescent="0.35">
      <c r="A2087">
        <v>9.7263300000000008</v>
      </c>
      <c r="B2087">
        <f t="shared" si="60"/>
        <v>9726.33</v>
      </c>
      <c r="C2087">
        <v>6.5590999999999997E-2</v>
      </c>
      <c r="D2087">
        <f t="shared" si="61"/>
        <v>5.5752349999999992E-2</v>
      </c>
    </row>
    <row r="2088" spans="1:4" x14ac:dyDescent="0.35">
      <c r="A2088">
        <v>9.7446199999999994</v>
      </c>
      <c r="B2088">
        <f t="shared" si="60"/>
        <v>9744.619999999999</v>
      </c>
      <c r="C2088">
        <v>6.0753000000000001E-2</v>
      </c>
      <c r="D2088">
        <f t="shared" si="61"/>
        <v>5.164005E-2</v>
      </c>
    </row>
    <row r="2089" spans="1:4" x14ac:dyDescent="0.35">
      <c r="A2089">
        <v>9.7629699999999993</v>
      </c>
      <c r="B2089">
        <f t="shared" si="60"/>
        <v>9762.9699999999993</v>
      </c>
      <c r="C2089">
        <v>5.6349999999999997E-2</v>
      </c>
      <c r="D2089">
        <f t="shared" si="61"/>
        <v>4.7897499999999996E-2</v>
      </c>
    </row>
    <row r="2090" spans="1:4" x14ac:dyDescent="0.35">
      <c r="A2090">
        <v>9.78139</v>
      </c>
      <c r="B2090">
        <f t="shared" si="60"/>
        <v>9781.39</v>
      </c>
      <c r="C2090">
        <v>5.2602000000000003E-2</v>
      </c>
      <c r="D2090">
        <f t="shared" si="61"/>
        <v>4.47117E-2</v>
      </c>
    </row>
    <row r="2091" spans="1:4" x14ac:dyDescent="0.35">
      <c r="A2091">
        <v>9.7998799999999999</v>
      </c>
      <c r="B2091">
        <f t="shared" si="60"/>
        <v>9799.8799999999992</v>
      </c>
      <c r="C2091">
        <v>4.9658000000000001E-2</v>
      </c>
      <c r="D2091">
        <f t="shared" si="61"/>
        <v>4.2209299999999998E-2</v>
      </c>
    </row>
    <row r="2092" spans="1:4" x14ac:dyDescent="0.35">
      <c r="A2092">
        <v>9.8184400000000007</v>
      </c>
      <c r="B2092">
        <f t="shared" si="60"/>
        <v>9818.44</v>
      </c>
      <c r="C2092">
        <v>4.8175000000000003E-2</v>
      </c>
      <c r="D2092">
        <f t="shared" si="61"/>
        <v>4.0948749999999999E-2</v>
      </c>
    </row>
    <row r="2093" spans="1:4" x14ac:dyDescent="0.35">
      <c r="A2093">
        <v>9.8370700000000006</v>
      </c>
      <c r="B2093">
        <f t="shared" si="60"/>
        <v>9837.0700000000015</v>
      </c>
      <c r="C2093">
        <v>4.8336999999999998E-2</v>
      </c>
      <c r="D2093">
        <f t="shared" si="61"/>
        <v>4.1086449999999997E-2</v>
      </c>
    </row>
    <row r="2094" spans="1:4" x14ac:dyDescent="0.35">
      <c r="A2094">
        <v>9.8557699999999997</v>
      </c>
      <c r="B2094">
        <f t="shared" si="60"/>
        <v>9855.77</v>
      </c>
      <c r="C2094">
        <v>4.9827000000000003E-2</v>
      </c>
      <c r="D2094">
        <f t="shared" si="61"/>
        <v>4.235295E-2</v>
      </c>
    </row>
    <row r="2095" spans="1:4" x14ac:dyDescent="0.35">
      <c r="A2095">
        <v>9.8745399999999997</v>
      </c>
      <c r="B2095">
        <f t="shared" si="60"/>
        <v>9874.5399999999991</v>
      </c>
      <c r="C2095">
        <v>5.2033000000000003E-2</v>
      </c>
      <c r="D2095">
        <f t="shared" si="61"/>
        <v>4.4228049999999998E-2</v>
      </c>
    </row>
    <row r="2096" spans="1:4" x14ac:dyDescent="0.35">
      <c r="A2096">
        <v>9.8933900000000001</v>
      </c>
      <c r="B2096">
        <f t="shared" si="60"/>
        <v>9893.39</v>
      </c>
      <c r="C2096">
        <v>5.4204000000000002E-2</v>
      </c>
      <c r="D2096">
        <f t="shared" si="61"/>
        <v>4.60734E-2</v>
      </c>
    </row>
    <row r="2097" spans="1:4" x14ac:dyDescent="0.35">
      <c r="A2097">
        <v>9.9123000000000001</v>
      </c>
      <c r="B2097">
        <f t="shared" si="60"/>
        <v>9912.2999999999993</v>
      </c>
      <c r="C2097">
        <v>5.5895E-2</v>
      </c>
      <c r="D2097">
        <f t="shared" si="61"/>
        <v>4.7510749999999997E-2</v>
      </c>
    </row>
    <row r="2098" spans="1:4" x14ac:dyDescent="0.35">
      <c r="A2098">
        <v>9.9312900000000006</v>
      </c>
      <c r="B2098">
        <f t="shared" si="60"/>
        <v>9931.2900000000009</v>
      </c>
      <c r="C2098">
        <v>5.6571999999999997E-2</v>
      </c>
      <c r="D2098">
        <f t="shared" si="61"/>
        <v>4.8086199999999996E-2</v>
      </c>
    </row>
    <row r="2099" spans="1:4" x14ac:dyDescent="0.35">
      <c r="A2099">
        <v>9.9503599999999999</v>
      </c>
      <c r="B2099">
        <f t="shared" si="60"/>
        <v>9950.36</v>
      </c>
      <c r="C2099">
        <v>5.6395000000000001E-2</v>
      </c>
      <c r="D2099">
        <f t="shared" si="61"/>
        <v>4.7935749999999999E-2</v>
      </c>
    </row>
    <row r="2100" spans="1:4" x14ac:dyDescent="0.35">
      <c r="A2100">
        <v>9.9694900000000004</v>
      </c>
      <c r="B2100">
        <f t="shared" si="60"/>
        <v>9969.49</v>
      </c>
      <c r="C2100">
        <v>5.5763E-2</v>
      </c>
      <c r="D2100">
        <f t="shared" si="61"/>
        <v>4.7398549999999998E-2</v>
      </c>
    </row>
    <row r="2101" spans="1:4" x14ac:dyDescent="0.35">
      <c r="A2101">
        <v>9.9886999999999997</v>
      </c>
      <c r="B2101">
        <f t="shared" si="60"/>
        <v>9988.6999999999989</v>
      </c>
      <c r="C2101">
        <v>5.4923E-2</v>
      </c>
      <c r="D2101">
        <f t="shared" si="61"/>
        <v>4.6684549999999998E-2</v>
      </c>
    </row>
    <row r="2102" spans="1:4" x14ac:dyDescent="0.35">
      <c r="A2102">
        <v>10.00798</v>
      </c>
      <c r="B2102">
        <f t="shared" si="60"/>
        <v>10007.98</v>
      </c>
      <c r="C2102">
        <v>5.3808000000000002E-2</v>
      </c>
      <c r="D2102">
        <f t="shared" si="61"/>
        <v>4.5736800000000001E-2</v>
      </c>
    </row>
    <row r="2103" spans="1:4" x14ac:dyDescent="0.35">
      <c r="A2103">
        <v>10.027340000000001</v>
      </c>
      <c r="B2103">
        <f t="shared" si="60"/>
        <v>10027.34</v>
      </c>
      <c r="C2103">
        <v>5.3092E-2</v>
      </c>
      <c r="D2103">
        <f t="shared" si="61"/>
        <v>4.51282E-2</v>
      </c>
    </row>
    <row r="2104" spans="1:4" x14ac:dyDescent="0.35">
      <c r="A2104">
        <v>10.04677</v>
      </c>
      <c r="B2104">
        <f t="shared" si="60"/>
        <v>10046.77</v>
      </c>
      <c r="C2104">
        <v>5.3083999999999999E-2</v>
      </c>
      <c r="D2104">
        <f t="shared" si="61"/>
        <v>4.5121399999999999E-2</v>
      </c>
    </row>
    <row r="2105" spans="1:4" x14ac:dyDescent="0.35">
      <c r="A2105">
        <v>10.066280000000001</v>
      </c>
      <c r="B2105">
        <f t="shared" si="60"/>
        <v>10066.280000000001</v>
      </c>
      <c r="C2105">
        <v>5.3504999999999997E-2</v>
      </c>
      <c r="D2105">
        <f t="shared" si="61"/>
        <v>4.5479249999999999E-2</v>
      </c>
    </row>
    <row r="2106" spans="1:4" x14ac:dyDescent="0.35">
      <c r="A2106">
        <v>10.08587</v>
      </c>
      <c r="B2106">
        <f t="shared" si="60"/>
        <v>10085.869999999999</v>
      </c>
      <c r="C2106">
        <v>5.4114000000000002E-2</v>
      </c>
      <c r="D2106">
        <f t="shared" si="61"/>
        <v>4.59969E-2</v>
      </c>
    </row>
    <row r="2107" spans="1:4" x14ac:dyDescent="0.35">
      <c r="A2107">
        <v>10.10553</v>
      </c>
      <c r="B2107">
        <f t="shared" si="60"/>
        <v>10105.530000000001</v>
      </c>
      <c r="C2107">
        <v>5.4523000000000002E-2</v>
      </c>
      <c r="D2107">
        <f t="shared" si="61"/>
        <v>4.6344549999999998E-2</v>
      </c>
    </row>
    <row r="2108" spans="1:4" x14ac:dyDescent="0.35">
      <c r="A2108">
        <v>10.125260000000001</v>
      </c>
      <c r="B2108">
        <f t="shared" si="60"/>
        <v>10125.26</v>
      </c>
      <c r="C2108">
        <v>5.4768999999999998E-2</v>
      </c>
      <c r="D2108">
        <f t="shared" si="61"/>
        <v>4.6553649999999995E-2</v>
      </c>
    </row>
    <row r="2109" spans="1:4" x14ac:dyDescent="0.35">
      <c r="A2109">
        <v>10.14508</v>
      </c>
      <c r="B2109">
        <f t="shared" si="60"/>
        <v>10145.08</v>
      </c>
      <c r="C2109">
        <v>5.5034E-2</v>
      </c>
      <c r="D2109">
        <f t="shared" si="61"/>
        <v>4.6778899999999998E-2</v>
      </c>
    </row>
    <row r="2110" spans="1:4" x14ac:dyDescent="0.35">
      <c r="A2110">
        <v>10.16497</v>
      </c>
      <c r="B2110">
        <f t="shared" si="60"/>
        <v>10164.970000000001</v>
      </c>
      <c r="C2110">
        <v>5.5216000000000001E-2</v>
      </c>
      <c r="D2110">
        <f t="shared" si="61"/>
        <v>4.6933599999999999E-2</v>
      </c>
    </row>
    <row r="2111" spans="1:4" x14ac:dyDescent="0.35">
      <c r="A2111">
        <v>10.184939999999999</v>
      </c>
      <c r="B2111">
        <f t="shared" si="60"/>
        <v>10184.939999999999</v>
      </c>
      <c r="C2111">
        <v>5.5324999999999999E-2</v>
      </c>
      <c r="D2111">
        <f t="shared" si="61"/>
        <v>4.7026249999999999E-2</v>
      </c>
    </row>
    <row r="2112" spans="1:4" x14ac:dyDescent="0.35">
      <c r="A2112">
        <v>10.20499</v>
      </c>
      <c r="B2112">
        <f t="shared" si="60"/>
        <v>10204.99</v>
      </c>
      <c r="C2112">
        <v>5.5030000000000003E-2</v>
      </c>
      <c r="D2112">
        <f t="shared" si="61"/>
        <v>4.6775499999999998E-2</v>
      </c>
    </row>
    <row r="2113" spans="1:4" x14ac:dyDescent="0.35">
      <c r="A2113">
        <v>10.22512</v>
      </c>
      <c r="B2113">
        <f t="shared" si="60"/>
        <v>10225.120000000001</v>
      </c>
      <c r="C2113">
        <v>5.4427999999999997E-2</v>
      </c>
      <c r="D2113">
        <f t="shared" si="61"/>
        <v>4.6263799999999994E-2</v>
      </c>
    </row>
    <row r="2114" spans="1:4" x14ac:dyDescent="0.35">
      <c r="A2114">
        <v>10.245329999999999</v>
      </c>
      <c r="B2114">
        <f t="shared" si="60"/>
        <v>10245.33</v>
      </c>
      <c r="C2114">
        <v>5.3529E-2</v>
      </c>
      <c r="D2114">
        <f t="shared" si="61"/>
        <v>4.5499649999999996E-2</v>
      </c>
    </row>
    <row r="2115" spans="1:4" x14ac:dyDescent="0.35">
      <c r="A2115">
        <v>10.265610000000001</v>
      </c>
      <c r="B2115">
        <f t="shared" si="60"/>
        <v>10265.61</v>
      </c>
      <c r="C2115">
        <v>5.2373000000000003E-2</v>
      </c>
      <c r="D2115">
        <f t="shared" si="61"/>
        <v>4.4517050000000002E-2</v>
      </c>
    </row>
    <row r="2116" spans="1:4" x14ac:dyDescent="0.35">
      <c r="A2116">
        <v>10.28598</v>
      </c>
      <c r="B2116">
        <f t="shared" si="60"/>
        <v>10285.98</v>
      </c>
      <c r="C2116">
        <v>5.0723999999999998E-2</v>
      </c>
      <c r="D2116">
        <f t="shared" si="61"/>
        <v>4.3115399999999998E-2</v>
      </c>
    </row>
    <row r="2117" spans="1:4" x14ac:dyDescent="0.35">
      <c r="A2117">
        <v>10.306430000000001</v>
      </c>
      <c r="B2117">
        <f t="shared" si="60"/>
        <v>10306.43</v>
      </c>
      <c r="C2117">
        <v>4.8613000000000003E-2</v>
      </c>
      <c r="D2117">
        <f t="shared" si="61"/>
        <v>4.1321050000000005E-2</v>
      </c>
    </row>
    <row r="2118" spans="1:4" x14ac:dyDescent="0.35">
      <c r="A2118">
        <v>10.32696</v>
      </c>
      <c r="B2118">
        <f t="shared" si="60"/>
        <v>10326.959999999999</v>
      </c>
      <c r="C2118">
        <v>4.6244E-2</v>
      </c>
      <c r="D2118">
        <f t="shared" si="61"/>
        <v>3.9307399999999999E-2</v>
      </c>
    </row>
    <row r="2119" spans="1:4" x14ac:dyDescent="0.35">
      <c r="A2119">
        <v>10.347569999999999</v>
      </c>
      <c r="B2119">
        <f t="shared" si="60"/>
        <v>10347.57</v>
      </c>
      <c r="C2119">
        <v>4.3792999999999999E-2</v>
      </c>
      <c r="D2119">
        <f t="shared" si="61"/>
        <v>3.7224049999999995E-2</v>
      </c>
    </row>
    <row r="2120" spans="1:4" x14ac:dyDescent="0.35">
      <c r="A2120">
        <v>10.368270000000001</v>
      </c>
      <c r="B2120">
        <f t="shared" si="60"/>
        <v>10368.27</v>
      </c>
      <c r="C2120">
        <v>4.1473000000000003E-2</v>
      </c>
      <c r="D2120">
        <f t="shared" si="61"/>
        <v>3.525205E-2</v>
      </c>
    </row>
    <row r="2121" spans="1:4" x14ac:dyDescent="0.35">
      <c r="A2121">
        <v>10.389049999999999</v>
      </c>
      <c r="B2121">
        <f t="shared" si="60"/>
        <v>10389.049999999999</v>
      </c>
      <c r="C2121">
        <v>3.9176999999999997E-2</v>
      </c>
      <c r="D2121">
        <f t="shared" si="61"/>
        <v>3.3300449999999995E-2</v>
      </c>
    </row>
    <row r="2122" spans="1:4" x14ac:dyDescent="0.35">
      <c r="A2122">
        <v>10.40991</v>
      </c>
      <c r="B2122">
        <f t="shared" si="60"/>
        <v>10409.91</v>
      </c>
      <c r="C2122">
        <v>3.6684000000000001E-2</v>
      </c>
      <c r="D2122">
        <f t="shared" si="61"/>
        <v>3.1181400000000001E-2</v>
      </c>
    </row>
    <row r="2123" spans="1:4" x14ac:dyDescent="0.35">
      <c r="A2123">
        <v>10.430859999999999</v>
      </c>
      <c r="B2123">
        <f t="shared" ref="B2123:B2186" si="62">A2123*1000</f>
        <v>10430.859999999999</v>
      </c>
      <c r="C2123">
        <v>3.4321999999999998E-2</v>
      </c>
      <c r="D2123">
        <f t="shared" ref="D2123:D2186" si="63">C2123*$D$137</f>
        <v>2.9173699999999997E-2</v>
      </c>
    </row>
    <row r="2124" spans="1:4" x14ac:dyDescent="0.35">
      <c r="A2124">
        <v>10.451879999999999</v>
      </c>
      <c r="B2124">
        <f t="shared" si="62"/>
        <v>10451.879999999999</v>
      </c>
      <c r="C2124">
        <v>3.2192999999999999E-2</v>
      </c>
      <c r="D2124">
        <f t="shared" si="63"/>
        <v>2.7364049999999997E-2</v>
      </c>
    </row>
    <row r="2125" spans="1:4" x14ac:dyDescent="0.35">
      <c r="A2125">
        <v>10.473000000000001</v>
      </c>
      <c r="B2125">
        <f t="shared" si="62"/>
        <v>10473</v>
      </c>
      <c r="C2125">
        <v>3.0165000000000001E-2</v>
      </c>
      <c r="D2125">
        <f t="shared" si="63"/>
        <v>2.564025E-2</v>
      </c>
    </row>
    <row r="2126" spans="1:4" x14ac:dyDescent="0.35">
      <c r="A2126">
        <v>10.494199999999999</v>
      </c>
      <c r="B2126">
        <f t="shared" si="62"/>
        <v>10494.199999999999</v>
      </c>
      <c r="C2126">
        <v>2.8233000000000001E-2</v>
      </c>
      <c r="D2126">
        <f t="shared" si="63"/>
        <v>2.399805E-2</v>
      </c>
    </row>
    <row r="2127" spans="1:4" x14ac:dyDescent="0.35">
      <c r="A2127">
        <v>10.51549</v>
      </c>
      <c r="B2127">
        <f t="shared" si="62"/>
        <v>10515.49</v>
      </c>
      <c r="C2127">
        <v>2.6564999999999998E-2</v>
      </c>
      <c r="D2127">
        <f t="shared" si="63"/>
        <v>2.258025E-2</v>
      </c>
    </row>
    <row r="2128" spans="1:4" x14ac:dyDescent="0.35">
      <c r="A2128">
        <v>10.536860000000001</v>
      </c>
      <c r="B2128">
        <f t="shared" si="62"/>
        <v>10536.86</v>
      </c>
      <c r="C2128">
        <v>2.546E-2</v>
      </c>
      <c r="D2128">
        <f t="shared" si="63"/>
        <v>2.1641000000000001E-2</v>
      </c>
    </row>
    <row r="2129" spans="1:4" x14ac:dyDescent="0.35">
      <c r="A2129">
        <v>10.55832</v>
      </c>
      <c r="B2129">
        <f t="shared" si="62"/>
        <v>10558.32</v>
      </c>
      <c r="C2129">
        <v>2.4865999999999999E-2</v>
      </c>
      <c r="D2129">
        <f t="shared" si="63"/>
        <v>2.1136099999999998E-2</v>
      </c>
    </row>
    <row r="2130" spans="1:4" x14ac:dyDescent="0.35">
      <c r="A2130">
        <v>10.57987</v>
      </c>
      <c r="B2130">
        <f t="shared" si="62"/>
        <v>10579.869999999999</v>
      </c>
      <c r="C2130">
        <v>2.4926E-2</v>
      </c>
      <c r="D2130">
        <f t="shared" si="63"/>
        <v>2.11871E-2</v>
      </c>
    </row>
    <row r="2131" spans="1:4" x14ac:dyDescent="0.35">
      <c r="A2131">
        <v>10.6015</v>
      </c>
      <c r="B2131">
        <f t="shared" si="62"/>
        <v>10601.5</v>
      </c>
      <c r="C2131">
        <v>2.5905000000000001E-2</v>
      </c>
      <c r="D2131">
        <f t="shared" si="63"/>
        <v>2.2019250000000001E-2</v>
      </c>
    </row>
    <row r="2132" spans="1:4" x14ac:dyDescent="0.35">
      <c r="A2132">
        <v>10.62323</v>
      </c>
      <c r="B2132">
        <f t="shared" si="62"/>
        <v>10623.23</v>
      </c>
      <c r="C2132">
        <v>2.7269999999999999E-2</v>
      </c>
      <c r="D2132">
        <f t="shared" si="63"/>
        <v>2.3179499999999999E-2</v>
      </c>
    </row>
    <row r="2133" spans="1:4" x14ac:dyDescent="0.35">
      <c r="A2133">
        <v>10.64504</v>
      </c>
      <c r="B2133">
        <f t="shared" si="62"/>
        <v>10645.039999999999</v>
      </c>
      <c r="C2133">
        <v>2.8715000000000001E-2</v>
      </c>
      <c r="D2133">
        <f t="shared" si="63"/>
        <v>2.4407749999999999E-2</v>
      </c>
    </row>
    <row r="2134" spans="1:4" x14ac:dyDescent="0.35">
      <c r="A2134">
        <v>10.66694</v>
      </c>
      <c r="B2134">
        <f t="shared" si="62"/>
        <v>10666.94</v>
      </c>
      <c r="C2134">
        <v>2.9957999999999999E-2</v>
      </c>
      <c r="D2134">
        <f t="shared" si="63"/>
        <v>2.5464299999999999E-2</v>
      </c>
    </row>
    <row r="2135" spans="1:4" x14ac:dyDescent="0.35">
      <c r="A2135">
        <v>10.688940000000001</v>
      </c>
      <c r="B2135">
        <f t="shared" si="62"/>
        <v>10688.94</v>
      </c>
      <c r="C2135">
        <v>3.0868E-2</v>
      </c>
      <c r="D2135">
        <f t="shared" si="63"/>
        <v>2.6237799999999999E-2</v>
      </c>
    </row>
    <row r="2136" spans="1:4" x14ac:dyDescent="0.35">
      <c r="A2136">
        <v>10.71102</v>
      </c>
      <c r="B2136">
        <f t="shared" si="62"/>
        <v>10711.02</v>
      </c>
      <c r="C2136">
        <v>3.1294000000000002E-2</v>
      </c>
      <c r="D2136">
        <f t="shared" si="63"/>
        <v>2.6599900000000003E-2</v>
      </c>
    </row>
    <row r="2137" spans="1:4" x14ac:dyDescent="0.35">
      <c r="A2137">
        <v>10.7332</v>
      </c>
      <c r="B2137">
        <f t="shared" si="62"/>
        <v>10733.2</v>
      </c>
      <c r="C2137">
        <v>3.1296999999999998E-2</v>
      </c>
      <c r="D2137">
        <f t="shared" si="63"/>
        <v>2.6602449999999996E-2</v>
      </c>
    </row>
    <row r="2138" spans="1:4" x14ac:dyDescent="0.35">
      <c r="A2138">
        <v>10.755470000000001</v>
      </c>
      <c r="B2138">
        <f t="shared" si="62"/>
        <v>10755.470000000001</v>
      </c>
      <c r="C2138">
        <v>3.125E-2</v>
      </c>
      <c r="D2138">
        <f t="shared" si="63"/>
        <v>2.6562499999999999E-2</v>
      </c>
    </row>
    <row r="2139" spans="1:4" x14ac:dyDescent="0.35">
      <c r="A2139">
        <v>10.77783</v>
      </c>
      <c r="B2139">
        <f t="shared" si="62"/>
        <v>10777.83</v>
      </c>
      <c r="C2139">
        <v>3.1438000000000001E-2</v>
      </c>
      <c r="D2139">
        <f t="shared" si="63"/>
        <v>2.6722300000000001E-2</v>
      </c>
    </row>
    <row r="2140" spans="1:4" x14ac:dyDescent="0.35">
      <c r="A2140">
        <v>10.800280000000001</v>
      </c>
      <c r="B2140">
        <f t="shared" si="62"/>
        <v>10800.28</v>
      </c>
      <c r="C2140">
        <v>3.1824999999999999E-2</v>
      </c>
      <c r="D2140">
        <f t="shared" si="63"/>
        <v>2.7051249999999999E-2</v>
      </c>
    </row>
    <row r="2141" spans="1:4" x14ac:dyDescent="0.35">
      <c r="A2141">
        <v>10.82283</v>
      </c>
      <c r="B2141">
        <f t="shared" si="62"/>
        <v>10822.83</v>
      </c>
      <c r="C2141">
        <v>3.2627999999999997E-2</v>
      </c>
      <c r="D2141">
        <f t="shared" si="63"/>
        <v>2.7733799999999996E-2</v>
      </c>
    </row>
    <row r="2142" spans="1:4" x14ac:dyDescent="0.35">
      <c r="A2142">
        <v>10.845470000000001</v>
      </c>
      <c r="B2142">
        <f t="shared" si="62"/>
        <v>10845.470000000001</v>
      </c>
      <c r="C2142">
        <v>3.3803E-2</v>
      </c>
      <c r="D2142">
        <f t="shared" si="63"/>
        <v>2.8732549999999999E-2</v>
      </c>
    </row>
    <row r="2143" spans="1:4" x14ac:dyDescent="0.35">
      <c r="A2143">
        <v>10.868209999999999</v>
      </c>
      <c r="B2143">
        <f t="shared" si="62"/>
        <v>10868.21</v>
      </c>
      <c r="C2143">
        <v>3.5145000000000003E-2</v>
      </c>
      <c r="D2143">
        <f t="shared" si="63"/>
        <v>2.987325E-2</v>
      </c>
    </row>
    <row r="2144" spans="1:4" x14ac:dyDescent="0.35">
      <c r="A2144">
        <v>10.89104</v>
      </c>
      <c r="B2144">
        <f t="shared" si="62"/>
        <v>10891.04</v>
      </c>
      <c r="C2144">
        <v>3.6561999999999997E-2</v>
      </c>
      <c r="D2144">
        <f t="shared" si="63"/>
        <v>3.1077699999999996E-2</v>
      </c>
    </row>
    <row r="2145" spans="1:4" x14ac:dyDescent="0.35">
      <c r="A2145">
        <v>10.913970000000001</v>
      </c>
      <c r="B2145">
        <f t="shared" si="62"/>
        <v>10913.970000000001</v>
      </c>
      <c r="C2145">
        <v>3.8052000000000002E-2</v>
      </c>
      <c r="D2145">
        <f t="shared" si="63"/>
        <v>3.2344200000000004E-2</v>
      </c>
    </row>
    <row r="2146" spans="1:4" x14ac:dyDescent="0.35">
      <c r="A2146">
        <v>10.93699</v>
      </c>
      <c r="B2146">
        <f t="shared" si="62"/>
        <v>10936.99</v>
      </c>
      <c r="C2146">
        <v>3.9288999999999998E-2</v>
      </c>
      <c r="D2146">
        <f t="shared" si="63"/>
        <v>3.3395649999999999E-2</v>
      </c>
    </row>
    <row r="2147" spans="1:4" x14ac:dyDescent="0.35">
      <c r="A2147">
        <v>10.96012</v>
      </c>
      <c r="B2147">
        <f t="shared" si="62"/>
        <v>10960.119999999999</v>
      </c>
      <c r="C2147">
        <v>4.0355000000000002E-2</v>
      </c>
      <c r="D2147">
        <f t="shared" si="63"/>
        <v>3.4301749999999999E-2</v>
      </c>
    </row>
    <row r="2148" spans="1:4" x14ac:dyDescent="0.35">
      <c r="A2148">
        <v>10.98334</v>
      </c>
      <c r="B2148">
        <f t="shared" si="62"/>
        <v>10983.34</v>
      </c>
      <c r="C2148">
        <v>4.1445000000000003E-2</v>
      </c>
      <c r="D2148">
        <f t="shared" si="63"/>
        <v>3.5228250000000003E-2</v>
      </c>
    </row>
    <row r="2149" spans="1:4" x14ac:dyDescent="0.35">
      <c r="A2149">
        <v>11.00666</v>
      </c>
      <c r="B2149">
        <f t="shared" si="62"/>
        <v>11006.66</v>
      </c>
      <c r="C2149">
        <v>4.2479000000000003E-2</v>
      </c>
      <c r="D2149">
        <f t="shared" si="63"/>
        <v>3.6107150000000005E-2</v>
      </c>
    </row>
    <row r="2150" spans="1:4" x14ac:dyDescent="0.35">
      <c r="A2150">
        <v>11.03007</v>
      </c>
      <c r="B2150">
        <f t="shared" si="62"/>
        <v>11030.07</v>
      </c>
      <c r="C2150">
        <v>4.3306999999999998E-2</v>
      </c>
      <c r="D2150">
        <f t="shared" si="63"/>
        <v>3.6810949999999995E-2</v>
      </c>
    </row>
    <row r="2151" spans="1:4" x14ac:dyDescent="0.35">
      <c r="A2151">
        <v>11.05359</v>
      </c>
      <c r="B2151">
        <f t="shared" si="62"/>
        <v>11053.59</v>
      </c>
      <c r="C2151">
        <v>4.4124999999999998E-2</v>
      </c>
      <c r="D2151">
        <f t="shared" si="63"/>
        <v>3.7506249999999998E-2</v>
      </c>
    </row>
    <row r="2152" spans="1:4" x14ac:dyDescent="0.35">
      <c r="A2152">
        <v>11.077209999999999</v>
      </c>
      <c r="B2152">
        <f t="shared" si="62"/>
        <v>11077.21</v>
      </c>
      <c r="C2152">
        <v>4.5011000000000002E-2</v>
      </c>
      <c r="D2152">
        <f t="shared" si="63"/>
        <v>3.8259350000000004E-2</v>
      </c>
    </row>
    <row r="2153" spans="1:4" x14ac:dyDescent="0.35">
      <c r="A2153">
        <v>11.10093</v>
      </c>
      <c r="B2153">
        <f t="shared" si="62"/>
        <v>11100.93</v>
      </c>
      <c r="C2153">
        <v>4.6023000000000001E-2</v>
      </c>
      <c r="D2153">
        <f t="shared" si="63"/>
        <v>3.9119550000000003E-2</v>
      </c>
    </row>
    <row r="2154" spans="1:4" x14ac:dyDescent="0.35">
      <c r="A2154">
        <v>11.124750000000001</v>
      </c>
      <c r="B2154">
        <f t="shared" si="62"/>
        <v>11124.75</v>
      </c>
      <c r="C2154">
        <v>4.7301000000000003E-2</v>
      </c>
      <c r="D2154">
        <f t="shared" si="63"/>
        <v>4.0205850000000001E-2</v>
      </c>
    </row>
    <row r="2155" spans="1:4" x14ac:dyDescent="0.35">
      <c r="A2155">
        <v>11.148680000000001</v>
      </c>
      <c r="B2155">
        <f t="shared" si="62"/>
        <v>11148.68</v>
      </c>
      <c r="C2155">
        <v>4.8705999999999999E-2</v>
      </c>
      <c r="D2155">
        <f t="shared" si="63"/>
        <v>4.1400099999999995E-2</v>
      </c>
    </row>
    <row r="2156" spans="1:4" x14ac:dyDescent="0.35">
      <c r="A2156">
        <v>11.17271</v>
      </c>
      <c r="B2156">
        <f t="shared" si="62"/>
        <v>11172.710000000001</v>
      </c>
      <c r="C2156">
        <v>5.0084999999999998E-2</v>
      </c>
      <c r="D2156">
        <f t="shared" si="63"/>
        <v>4.2572249999999999E-2</v>
      </c>
    </row>
    <row r="2157" spans="1:4" x14ac:dyDescent="0.35">
      <c r="A2157">
        <v>11.19684</v>
      </c>
      <c r="B2157">
        <f t="shared" si="62"/>
        <v>11196.84</v>
      </c>
      <c r="C2157">
        <v>5.1366000000000002E-2</v>
      </c>
      <c r="D2157">
        <f t="shared" si="63"/>
        <v>4.3661100000000001E-2</v>
      </c>
    </row>
    <row r="2158" spans="1:4" x14ac:dyDescent="0.35">
      <c r="A2158">
        <v>11.221069999999999</v>
      </c>
      <c r="B2158">
        <f t="shared" si="62"/>
        <v>11221.07</v>
      </c>
      <c r="C2158">
        <v>5.2696E-2</v>
      </c>
      <c r="D2158">
        <f t="shared" si="63"/>
        <v>4.4791600000000001E-2</v>
      </c>
    </row>
    <row r="2159" spans="1:4" x14ac:dyDescent="0.35">
      <c r="A2159">
        <v>11.24541</v>
      </c>
      <c r="B2159">
        <f t="shared" si="62"/>
        <v>11245.41</v>
      </c>
      <c r="C2159">
        <v>5.3967000000000001E-2</v>
      </c>
      <c r="D2159">
        <f t="shared" si="63"/>
        <v>4.5871950000000002E-2</v>
      </c>
    </row>
    <row r="2160" spans="1:4" x14ac:dyDescent="0.35">
      <c r="A2160">
        <v>11.26986</v>
      </c>
      <c r="B2160">
        <f t="shared" si="62"/>
        <v>11269.859999999999</v>
      </c>
      <c r="C2160">
        <v>5.4885000000000003E-2</v>
      </c>
      <c r="D2160">
        <f t="shared" si="63"/>
        <v>4.6652249999999999E-2</v>
      </c>
    </row>
    <row r="2161" spans="1:4" x14ac:dyDescent="0.35">
      <c r="A2161">
        <v>11.294409999999999</v>
      </c>
      <c r="B2161">
        <f t="shared" si="62"/>
        <v>11294.41</v>
      </c>
      <c r="C2161">
        <v>5.5691999999999998E-2</v>
      </c>
      <c r="D2161">
        <f t="shared" si="63"/>
        <v>4.7338199999999997E-2</v>
      </c>
    </row>
    <row r="2162" spans="1:4" x14ac:dyDescent="0.35">
      <c r="A2162">
        <v>11.31907</v>
      </c>
      <c r="B2162">
        <f t="shared" si="62"/>
        <v>11319.07</v>
      </c>
      <c r="C2162">
        <v>5.6471E-2</v>
      </c>
      <c r="D2162">
        <f t="shared" si="63"/>
        <v>4.8000349999999997E-2</v>
      </c>
    </row>
    <row r="2163" spans="1:4" x14ac:dyDescent="0.35">
      <c r="A2163">
        <v>11.34384</v>
      </c>
      <c r="B2163">
        <f t="shared" si="62"/>
        <v>11343.84</v>
      </c>
      <c r="C2163">
        <v>5.7036999999999997E-2</v>
      </c>
      <c r="D2163">
        <f t="shared" si="63"/>
        <v>4.8481449999999995E-2</v>
      </c>
    </row>
    <row r="2164" spans="1:4" x14ac:dyDescent="0.35">
      <c r="A2164">
        <v>11.36872</v>
      </c>
      <c r="B2164">
        <f t="shared" si="62"/>
        <v>11368.72</v>
      </c>
      <c r="C2164">
        <v>5.7228000000000001E-2</v>
      </c>
      <c r="D2164">
        <f t="shared" si="63"/>
        <v>4.8643800000000001E-2</v>
      </c>
    </row>
    <row r="2165" spans="1:4" x14ac:dyDescent="0.35">
      <c r="A2165">
        <v>11.393700000000001</v>
      </c>
      <c r="B2165">
        <f t="shared" si="62"/>
        <v>11393.7</v>
      </c>
      <c r="C2165">
        <v>5.7263000000000001E-2</v>
      </c>
      <c r="D2165">
        <f t="shared" si="63"/>
        <v>4.8673550000000003E-2</v>
      </c>
    </row>
    <row r="2166" spans="1:4" x14ac:dyDescent="0.35">
      <c r="A2166">
        <v>11.418799999999999</v>
      </c>
      <c r="B2166">
        <f t="shared" si="62"/>
        <v>11418.8</v>
      </c>
      <c r="C2166">
        <v>5.7456E-2</v>
      </c>
      <c r="D2166">
        <f t="shared" si="63"/>
        <v>4.8837600000000002E-2</v>
      </c>
    </row>
    <row r="2167" spans="1:4" x14ac:dyDescent="0.35">
      <c r="A2167">
        <v>11.44401</v>
      </c>
      <c r="B2167">
        <f t="shared" si="62"/>
        <v>11444.01</v>
      </c>
      <c r="C2167">
        <v>5.8321999999999999E-2</v>
      </c>
      <c r="D2167">
        <f t="shared" si="63"/>
        <v>4.9573699999999998E-2</v>
      </c>
    </row>
    <row r="2168" spans="1:4" x14ac:dyDescent="0.35">
      <c r="A2168">
        <v>11.469329999999999</v>
      </c>
      <c r="B2168">
        <f t="shared" si="62"/>
        <v>11469.33</v>
      </c>
      <c r="C2168">
        <v>5.9264999999999998E-2</v>
      </c>
      <c r="D2168">
        <f t="shared" si="63"/>
        <v>5.0375249999999996E-2</v>
      </c>
    </row>
    <row r="2169" spans="1:4" x14ac:dyDescent="0.35">
      <c r="A2169">
        <v>11.494759999999999</v>
      </c>
      <c r="B2169">
        <f t="shared" si="62"/>
        <v>11494.76</v>
      </c>
      <c r="C2169">
        <v>6.0294E-2</v>
      </c>
      <c r="D2169">
        <f t="shared" si="63"/>
        <v>5.1249900000000001E-2</v>
      </c>
    </row>
    <row r="2170" spans="1:4" x14ac:dyDescent="0.35">
      <c r="A2170">
        <v>11.520300000000001</v>
      </c>
      <c r="B2170">
        <f t="shared" si="62"/>
        <v>11520.300000000001</v>
      </c>
      <c r="C2170">
        <v>6.1456999999999998E-2</v>
      </c>
      <c r="D2170">
        <f t="shared" si="63"/>
        <v>5.2238449999999999E-2</v>
      </c>
    </row>
    <row r="2171" spans="1:4" x14ac:dyDescent="0.35">
      <c r="A2171">
        <v>11.545959999999999</v>
      </c>
      <c r="B2171">
        <f t="shared" si="62"/>
        <v>11545.96</v>
      </c>
      <c r="C2171">
        <v>6.2393999999999998E-2</v>
      </c>
      <c r="D2171">
        <f t="shared" si="63"/>
        <v>5.3034899999999996E-2</v>
      </c>
    </row>
    <row r="2172" spans="1:4" x14ac:dyDescent="0.35">
      <c r="A2172">
        <v>11.571730000000001</v>
      </c>
      <c r="B2172">
        <f t="shared" si="62"/>
        <v>11571.730000000001</v>
      </c>
      <c r="C2172">
        <v>6.3139000000000001E-2</v>
      </c>
      <c r="D2172">
        <f t="shared" si="63"/>
        <v>5.3668149999999998E-2</v>
      </c>
    </row>
    <row r="2173" spans="1:4" x14ac:dyDescent="0.35">
      <c r="A2173">
        <v>11.597619999999999</v>
      </c>
      <c r="B2173">
        <f t="shared" si="62"/>
        <v>11597.619999999999</v>
      </c>
      <c r="C2173">
        <v>6.3867999999999994E-2</v>
      </c>
      <c r="D2173">
        <f t="shared" si="63"/>
        <v>5.428779999999999E-2</v>
      </c>
    </row>
    <row r="2174" spans="1:4" x14ac:dyDescent="0.35">
      <c r="A2174">
        <v>11.623620000000001</v>
      </c>
      <c r="B2174">
        <f t="shared" si="62"/>
        <v>11623.62</v>
      </c>
      <c r="C2174">
        <v>6.4259999999999998E-2</v>
      </c>
      <c r="D2174">
        <f t="shared" si="63"/>
        <v>5.4620999999999996E-2</v>
      </c>
    </row>
    <row r="2175" spans="1:4" x14ac:dyDescent="0.35">
      <c r="A2175">
        <v>11.64974</v>
      </c>
      <c r="B2175">
        <f t="shared" si="62"/>
        <v>11649.74</v>
      </c>
      <c r="C2175">
        <v>6.4397999999999997E-2</v>
      </c>
      <c r="D2175">
        <f t="shared" si="63"/>
        <v>5.4738299999999997E-2</v>
      </c>
    </row>
    <row r="2176" spans="1:4" x14ac:dyDescent="0.35">
      <c r="A2176">
        <v>11.675979999999999</v>
      </c>
      <c r="B2176">
        <f t="shared" si="62"/>
        <v>11675.98</v>
      </c>
      <c r="C2176">
        <v>6.4343999999999998E-2</v>
      </c>
      <c r="D2176">
        <f t="shared" si="63"/>
        <v>5.4692399999999995E-2</v>
      </c>
    </row>
    <row r="2177" spans="1:4" x14ac:dyDescent="0.35">
      <c r="A2177">
        <v>11.70234</v>
      </c>
      <c r="B2177">
        <f t="shared" si="62"/>
        <v>11702.34</v>
      </c>
      <c r="C2177">
        <v>6.4190999999999998E-2</v>
      </c>
      <c r="D2177">
        <f t="shared" si="63"/>
        <v>5.4562349999999996E-2</v>
      </c>
    </row>
    <row r="2178" spans="1:4" x14ac:dyDescent="0.35">
      <c r="A2178">
        <v>11.728809999999999</v>
      </c>
      <c r="B2178">
        <f t="shared" si="62"/>
        <v>11728.81</v>
      </c>
      <c r="C2178">
        <v>6.3985E-2</v>
      </c>
      <c r="D2178">
        <f t="shared" si="63"/>
        <v>5.4387249999999998E-2</v>
      </c>
    </row>
    <row r="2179" spans="1:4" x14ac:dyDescent="0.35">
      <c r="A2179">
        <v>11.755409999999999</v>
      </c>
      <c r="B2179">
        <f t="shared" si="62"/>
        <v>11755.41</v>
      </c>
      <c r="C2179">
        <v>6.3721E-2</v>
      </c>
      <c r="D2179">
        <f t="shared" si="63"/>
        <v>5.4162849999999998E-2</v>
      </c>
    </row>
    <row r="2180" spans="1:4" x14ac:dyDescent="0.35">
      <c r="A2180">
        <v>11.78213</v>
      </c>
      <c r="B2180">
        <f t="shared" si="62"/>
        <v>11782.130000000001</v>
      </c>
      <c r="C2180">
        <v>6.3189999999999996E-2</v>
      </c>
      <c r="D2180">
        <f t="shared" si="63"/>
        <v>5.3711499999999995E-2</v>
      </c>
    </row>
    <row r="2181" spans="1:4" x14ac:dyDescent="0.35">
      <c r="A2181">
        <v>11.808960000000001</v>
      </c>
      <c r="B2181">
        <f t="shared" si="62"/>
        <v>11808.960000000001</v>
      </c>
      <c r="C2181">
        <v>6.2440000000000002E-2</v>
      </c>
      <c r="D2181">
        <f t="shared" si="63"/>
        <v>5.3074000000000003E-2</v>
      </c>
    </row>
    <row r="2182" spans="1:4" x14ac:dyDescent="0.35">
      <c r="A2182">
        <v>11.83592</v>
      </c>
      <c r="B2182">
        <f t="shared" si="62"/>
        <v>11835.92</v>
      </c>
      <c r="C2182">
        <v>6.1901999999999999E-2</v>
      </c>
      <c r="D2182">
        <f t="shared" si="63"/>
        <v>5.2616699999999995E-2</v>
      </c>
    </row>
    <row r="2183" spans="1:4" x14ac:dyDescent="0.35">
      <c r="A2183">
        <v>11.863009999999999</v>
      </c>
      <c r="B2183">
        <f t="shared" si="62"/>
        <v>11863.009999999998</v>
      </c>
      <c r="C2183">
        <v>6.1425E-2</v>
      </c>
      <c r="D2183">
        <f t="shared" si="63"/>
        <v>5.2211250000000001E-2</v>
      </c>
    </row>
    <row r="2184" spans="1:4" x14ac:dyDescent="0.35">
      <c r="A2184">
        <v>11.890219999999999</v>
      </c>
      <c r="B2184">
        <f t="shared" si="62"/>
        <v>11890.22</v>
      </c>
      <c r="C2184">
        <v>6.0526000000000003E-2</v>
      </c>
      <c r="D2184">
        <f t="shared" si="63"/>
        <v>5.1447100000000003E-2</v>
      </c>
    </row>
    <row r="2185" spans="1:4" x14ac:dyDescent="0.35">
      <c r="A2185">
        <v>11.91755</v>
      </c>
      <c r="B2185">
        <f t="shared" si="62"/>
        <v>11917.550000000001</v>
      </c>
      <c r="C2185">
        <v>5.9447E-2</v>
      </c>
      <c r="D2185">
        <f t="shared" si="63"/>
        <v>5.0529949999999997E-2</v>
      </c>
    </row>
    <row r="2186" spans="1:4" x14ac:dyDescent="0.35">
      <c r="A2186">
        <v>11.94501</v>
      </c>
      <c r="B2186">
        <f t="shared" si="62"/>
        <v>11945.01</v>
      </c>
      <c r="C2186">
        <v>5.8479000000000003E-2</v>
      </c>
      <c r="D2186">
        <f t="shared" si="63"/>
        <v>4.9707149999999999E-2</v>
      </c>
    </row>
    <row r="2187" spans="1:4" x14ac:dyDescent="0.35">
      <c r="A2187">
        <v>11.9726</v>
      </c>
      <c r="B2187">
        <f t="shared" ref="B2187:B2250" si="64">A2187*1000</f>
        <v>11972.6</v>
      </c>
      <c r="C2187">
        <v>5.7349999999999998E-2</v>
      </c>
      <c r="D2187">
        <f t="shared" ref="D2187:D2250" si="65">C2187*$D$137</f>
        <v>4.8747499999999999E-2</v>
      </c>
    </row>
    <row r="2188" spans="1:4" x14ac:dyDescent="0.35">
      <c r="A2188">
        <v>12.000310000000001</v>
      </c>
      <c r="B2188">
        <f t="shared" si="64"/>
        <v>12000.310000000001</v>
      </c>
      <c r="C2188">
        <v>5.5978E-2</v>
      </c>
      <c r="D2188">
        <f t="shared" si="65"/>
        <v>4.75813E-2</v>
      </c>
    </row>
    <row r="2189" spans="1:4" x14ac:dyDescent="0.35">
      <c r="A2189">
        <v>12.02816</v>
      </c>
      <c r="B2189">
        <f t="shared" si="64"/>
        <v>12028.16</v>
      </c>
      <c r="C2189">
        <v>5.4787000000000002E-2</v>
      </c>
      <c r="D2189">
        <f t="shared" si="65"/>
        <v>4.6568949999999998E-2</v>
      </c>
    </row>
    <row r="2190" spans="1:4" x14ac:dyDescent="0.35">
      <c r="A2190">
        <v>12.05613</v>
      </c>
      <c r="B2190">
        <f t="shared" si="64"/>
        <v>12056.13</v>
      </c>
      <c r="C2190">
        <v>5.3393000000000003E-2</v>
      </c>
      <c r="D2190">
        <f t="shared" si="65"/>
        <v>4.5384050000000002E-2</v>
      </c>
    </row>
    <row r="2191" spans="1:4" x14ac:dyDescent="0.35">
      <c r="A2191">
        <v>12.08423</v>
      </c>
      <c r="B2191">
        <f t="shared" si="64"/>
        <v>12084.23</v>
      </c>
      <c r="C2191">
        <v>5.2083999999999998E-2</v>
      </c>
      <c r="D2191">
        <f t="shared" si="65"/>
        <v>4.4271399999999995E-2</v>
      </c>
    </row>
    <row r="2192" spans="1:4" x14ac:dyDescent="0.35">
      <c r="A2192">
        <v>12.11246</v>
      </c>
      <c r="B2192">
        <f t="shared" si="64"/>
        <v>12112.460000000001</v>
      </c>
      <c r="C2192">
        <v>5.0715999999999997E-2</v>
      </c>
      <c r="D2192">
        <f t="shared" si="65"/>
        <v>4.3108599999999997E-2</v>
      </c>
    </row>
    <row r="2193" spans="1:4" x14ac:dyDescent="0.35">
      <c r="A2193">
        <v>12.140829999999999</v>
      </c>
      <c r="B2193">
        <f t="shared" si="64"/>
        <v>12140.83</v>
      </c>
      <c r="C2193">
        <v>4.9311000000000001E-2</v>
      </c>
      <c r="D2193">
        <f t="shared" si="65"/>
        <v>4.1914349999999996E-2</v>
      </c>
    </row>
    <row r="2194" spans="1:4" x14ac:dyDescent="0.35">
      <c r="A2194">
        <v>12.16933</v>
      </c>
      <c r="B2194">
        <f t="shared" si="64"/>
        <v>12169.33</v>
      </c>
      <c r="C2194">
        <v>4.8011999999999999E-2</v>
      </c>
      <c r="D2194">
        <f t="shared" si="65"/>
        <v>4.0810199999999998E-2</v>
      </c>
    </row>
    <row r="2195" spans="1:4" x14ac:dyDescent="0.35">
      <c r="A2195">
        <v>12.19796</v>
      </c>
      <c r="B2195">
        <f t="shared" si="64"/>
        <v>12197.960000000001</v>
      </c>
      <c r="C2195">
        <v>4.6397000000000001E-2</v>
      </c>
      <c r="D2195">
        <f t="shared" si="65"/>
        <v>3.9437449999999999E-2</v>
      </c>
    </row>
    <row r="2196" spans="1:4" x14ac:dyDescent="0.35">
      <c r="A2196">
        <v>12.22673</v>
      </c>
      <c r="B2196">
        <f t="shared" si="64"/>
        <v>12226.73</v>
      </c>
      <c r="C2196">
        <v>4.4332999999999997E-2</v>
      </c>
      <c r="D2196">
        <f t="shared" si="65"/>
        <v>3.7683049999999996E-2</v>
      </c>
    </row>
    <row r="2197" spans="1:4" x14ac:dyDescent="0.35">
      <c r="A2197">
        <v>12.25564</v>
      </c>
      <c r="B2197">
        <f t="shared" si="64"/>
        <v>12255.64</v>
      </c>
      <c r="C2197">
        <v>4.2226E-2</v>
      </c>
      <c r="D2197">
        <f t="shared" si="65"/>
        <v>3.5892099999999996E-2</v>
      </c>
    </row>
    <row r="2198" spans="1:4" x14ac:dyDescent="0.35">
      <c r="A2198">
        <v>12.28468</v>
      </c>
      <c r="B2198">
        <f t="shared" si="64"/>
        <v>12284.68</v>
      </c>
      <c r="C2198">
        <v>4.0188000000000001E-2</v>
      </c>
      <c r="D2198">
        <f t="shared" si="65"/>
        <v>3.4159799999999997E-2</v>
      </c>
    </row>
    <row r="2199" spans="1:4" x14ac:dyDescent="0.35">
      <c r="A2199">
        <v>12.31386</v>
      </c>
      <c r="B2199">
        <f t="shared" si="64"/>
        <v>12313.86</v>
      </c>
      <c r="C2199">
        <v>3.7923999999999999E-2</v>
      </c>
      <c r="D2199">
        <f t="shared" si="65"/>
        <v>3.2235399999999997E-2</v>
      </c>
    </row>
    <row r="2200" spans="1:4" x14ac:dyDescent="0.35">
      <c r="A2200">
        <v>12.34318</v>
      </c>
      <c r="B2200">
        <f t="shared" si="64"/>
        <v>12343.18</v>
      </c>
      <c r="C2200">
        <v>3.5388999999999997E-2</v>
      </c>
      <c r="D2200">
        <f t="shared" si="65"/>
        <v>3.0080649999999997E-2</v>
      </c>
    </row>
    <row r="2201" spans="1:4" x14ac:dyDescent="0.35">
      <c r="A2201">
        <v>12.372640000000001</v>
      </c>
      <c r="B2201">
        <f t="shared" si="64"/>
        <v>12372.640000000001</v>
      </c>
      <c r="C2201">
        <v>3.3037999999999998E-2</v>
      </c>
      <c r="D2201">
        <f t="shared" si="65"/>
        <v>2.8082299999999998E-2</v>
      </c>
    </row>
    <row r="2202" spans="1:4" x14ac:dyDescent="0.35">
      <c r="A2202">
        <v>12.402240000000001</v>
      </c>
      <c r="B2202">
        <f t="shared" si="64"/>
        <v>12402.240000000002</v>
      </c>
      <c r="C2202">
        <v>3.0575999999999999E-2</v>
      </c>
      <c r="D2202">
        <f t="shared" si="65"/>
        <v>2.5989599999999998E-2</v>
      </c>
    </row>
    <row r="2203" spans="1:4" x14ac:dyDescent="0.35">
      <c r="A2203">
        <v>12.431979999999999</v>
      </c>
      <c r="B2203">
        <f t="shared" si="64"/>
        <v>12431.98</v>
      </c>
      <c r="C2203">
        <v>2.8001999999999999E-2</v>
      </c>
      <c r="D2203">
        <f t="shared" si="65"/>
        <v>2.3801699999999999E-2</v>
      </c>
    </row>
    <row r="2204" spans="1:4" x14ac:dyDescent="0.35">
      <c r="A2204">
        <v>12.46186</v>
      </c>
      <c r="B2204">
        <f t="shared" si="64"/>
        <v>12461.86</v>
      </c>
      <c r="C2204">
        <v>2.5734E-2</v>
      </c>
      <c r="D2204">
        <f t="shared" si="65"/>
        <v>2.1873899999999998E-2</v>
      </c>
    </row>
    <row r="2205" spans="1:4" x14ac:dyDescent="0.35">
      <c r="A2205">
        <v>12.49189</v>
      </c>
      <c r="B2205">
        <f t="shared" si="64"/>
        <v>12491.89</v>
      </c>
      <c r="C2205">
        <v>2.4264000000000001E-2</v>
      </c>
      <c r="D2205">
        <f t="shared" si="65"/>
        <v>2.0624400000000001E-2</v>
      </c>
    </row>
    <row r="2206" spans="1:4" x14ac:dyDescent="0.35">
      <c r="A2206">
        <v>12.522069999999999</v>
      </c>
      <c r="B2206">
        <f t="shared" si="64"/>
        <v>12522.07</v>
      </c>
      <c r="C2206">
        <v>2.3258000000000001E-2</v>
      </c>
      <c r="D2206">
        <f t="shared" si="65"/>
        <v>1.97693E-2</v>
      </c>
    </row>
    <row r="2207" spans="1:4" x14ac:dyDescent="0.35">
      <c r="A2207">
        <v>12.552379999999999</v>
      </c>
      <c r="B2207">
        <f t="shared" si="64"/>
        <v>12552.38</v>
      </c>
      <c r="C2207">
        <v>2.2991000000000001E-2</v>
      </c>
      <c r="D2207">
        <f t="shared" si="65"/>
        <v>1.954235E-2</v>
      </c>
    </row>
    <row r="2208" spans="1:4" x14ac:dyDescent="0.35">
      <c r="A2208">
        <v>12.582850000000001</v>
      </c>
      <c r="B2208">
        <f t="shared" si="64"/>
        <v>12582.85</v>
      </c>
      <c r="C2208">
        <v>2.3258999999999998E-2</v>
      </c>
      <c r="D2208">
        <f t="shared" si="65"/>
        <v>1.9770149999999997E-2</v>
      </c>
    </row>
    <row r="2209" spans="1:4" x14ac:dyDescent="0.35">
      <c r="A2209">
        <v>12.61347</v>
      </c>
      <c r="B2209">
        <f t="shared" si="64"/>
        <v>12613.47</v>
      </c>
      <c r="C2209">
        <v>2.3812E-2</v>
      </c>
      <c r="D2209">
        <f t="shared" si="65"/>
        <v>2.02402E-2</v>
      </c>
    </row>
    <row r="2210" spans="1:4" x14ac:dyDescent="0.35">
      <c r="A2210">
        <v>12.64423</v>
      </c>
      <c r="B2210">
        <f t="shared" si="64"/>
        <v>12644.23</v>
      </c>
      <c r="C2210">
        <v>2.4340000000000001E-2</v>
      </c>
      <c r="D2210">
        <f t="shared" si="65"/>
        <v>2.0688999999999999E-2</v>
      </c>
    </row>
    <row r="2211" spans="1:4" x14ac:dyDescent="0.35">
      <c r="A2211">
        <v>12.67515</v>
      </c>
      <c r="B2211">
        <f t="shared" si="64"/>
        <v>12675.15</v>
      </c>
      <c r="C2211">
        <v>2.4693E-2</v>
      </c>
      <c r="D2211">
        <f t="shared" si="65"/>
        <v>2.0989049999999999E-2</v>
      </c>
    </row>
    <row r="2212" spans="1:4" x14ac:dyDescent="0.35">
      <c r="A2212">
        <v>12.70621</v>
      </c>
      <c r="B2212">
        <f t="shared" si="64"/>
        <v>12706.210000000001</v>
      </c>
      <c r="C2212">
        <v>2.4989000000000001E-2</v>
      </c>
      <c r="D2212">
        <f t="shared" si="65"/>
        <v>2.124065E-2</v>
      </c>
    </row>
    <row r="2213" spans="1:4" x14ac:dyDescent="0.35">
      <c r="A2213">
        <v>12.73743</v>
      </c>
      <c r="B2213">
        <f t="shared" si="64"/>
        <v>12737.43</v>
      </c>
      <c r="C2213">
        <v>2.5704000000000001E-2</v>
      </c>
      <c r="D2213">
        <f t="shared" si="65"/>
        <v>2.18484E-2</v>
      </c>
    </row>
    <row r="2214" spans="1:4" x14ac:dyDescent="0.35">
      <c r="A2214">
        <v>12.76881</v>
      </c>
      <c r="B2214">
        <f t="shared" si="64"/>
        <v>12768.81</v>
      </c>
      <c r="C2214">
        <v>2.6388000000000002E-2</v>
      </c>
      <c r="D2214">
        <f t="shared" si="65"/>
        <v>2.24298E-2</v>
      </c>
    </row>
    <row r="2215" spans="1:4" x14ac:dyDescent="0.35">
      <c r="A2215">
        <v>12.800330000000001</v>
      </c>
      <c r="B2215">
        <f t="shared" si="64"/>
        <v>12800.33</v>
      </c>
      <c r="C2215">
        <v>2.6866000000000001E-2</v>
      </c>
      <c r="D2215">
        <f t="shared" si="65"/>
        <v>2.2836100000000002E-2</v>
      </c>
    </row>
    <row r="2216" spans="1:4" x14ac:dyDescent="0.35">
      <c r="A2216">
        <v>12.83202</v>
      </c>
      <c r="B2216">
        <f t="shared" si="64"/>
        <v>12832.02</v>
      </c>
      <c r="C2216">
        <v>2.7061000000000002E-2</v>
      </c>
      <c r="D2216">
        <f t="shared" si="65"/>
        <v>2.3001850000000001E-2</v>
      </c>
    </row>
    <row r="2217" spans="1:4" x14ac:dyDescent="0.35">
      <c r="A2217">
        <v>12.863860000000001</v>
      </c>
      <c r="B2217">
        <f t="shared" si="64"/>
        <v>12863.86</v>
      </c>
      <c r="C2217">
        <v>2.7191E-2</v>
      </c>
      <c r="D2217">
        <f t="shared" si="65"/>
        <v>2.311235E-2</v>
      </c>
    </row>
    <row r="2218" spans="1:4" x14ac:dyDescent="0.35">
      <c r="A2218">
        <v>12.895860000000001</v>
      </c>
      <c r="B2218">
        <f t="shared" si="64"/>
        <v>12895.86</v>
      </c>
      <c r="C2218">
        <v>2.7233E-2</v>
      </c>
      <c r="D2218">
        <f t="shared" si="65"/>
        <v>2.314805E-2</v>
      </c>
    </row>
    <row r="2219" spans="1:4" x14ac:dyDescent="0.35">
      <c r="A2219">
        <v>12.92802</v>
      </c>
      <c r="B2219">
        <f t="shared" si="64"/>
        <v>12928.02</v>
      </c>
      <c r="C2219">
        <v>2.7219E-2</v>
      </c>
      <c r="D2219">
        <f t="shared" si="65"/>
        <v>2.3136150000000001E-2</v>
      </c>
    </row>
    <row r="2220" spans="1:4" x14ac:dyDescent="0.35">
      <c r="A2220">
        <v>12.96034</v>
      </c>
      <c r="B2220">
        <f t="shared" si="64"/>
        <v>12960.34</v>
      </c>
      <c r="C2220">
        <v>2.6731999999999999E-2</v>
      </c>
      <c r="D2220">
        <f t="shared" si="65"/>
        <v>2.2722199999999998E-2</v>
      </c>
    </row>
    <row r="2221" spans="1:4" x14ac:dyDescent="0.35">
      <c r="A2221">
        <v>12.99282</v>
      </c>
      <c r="B2221">
        <f t="shared" si="64"/>
        <v>12992.82</v>
      </c>
      <c r="C2221">
        <v>2.6058999999999999E-2</v>
      </c>
      <c r="D2221">
        <f t="shared" si="65"/>
        <v>2.2150149999999997E-2</v>
      </c>
    </row>
    <row r="2222" spans="1:4" x14ac:dyDescent="0.35">
      <c r="A2222">
        <v>13.025460000000001</v>
      </c>
      <c r="B2222">
        <f t="shared" si="64"/>
        <v>13025.460000000001</v>
      </c>
      <c r="C2222">
        <v>2.5579000000000001E-2</v>
      </c>
      <c r="D2222">
        <f t="shared" si="65"/>
        <v>2.1742150000000002E-2</v>
      </c>
    </row>
    <row r="2223" spans="1:4" x14ac:dyDescent="0.35">
      <c r="A2223">
        <v>13.05827</v>
      </c>
      <c r="B2223">
        <f t="shared" si="64"/>
        <v>13058.27</v>
      </c>
      <c r="C2223">
        <v>2.4905E-2</v>
      </c>
      <c r="D2223">
        <f t="shared" si="65"/>
        <v>2.1169250000000001E-2</v>
      </c>
    </row>
    <row r="2224" spans="1:4" x14ac:dyDescent="0.35">
      <c r="A2224">
        <v>13.09125</v>
      </c>
      <c r="B2224">
        <f t="shared" si="64"/>
        <v>13091.25</v>
      </c>
      <c r="C2224">
        <v>2.4136999999999999E-2</v>
      </c>
      <c r="D2224">
        <f t="shared" si="65"/>
        <v>2.0516449999999999E-2</v>
      </c>
    </row>
    <row r="2225" spans="1:4" x14ac:dyDescent="0.35">
      <c r="A2225">
        <v>13.12439</v>
      </c>
      <c r="B2225">
        <f t="shared" si="64"/>
        <v>13124.39</v>
      </c>
      <c r="C2225">
        <v>2.3661000000000001E-2</v>
      </c>
      <c r="D2225">
        <f t="shared" si="65"/>
        <v>2.0111850000000001E-2</v>
      </c>
    </row>
    <row r="2226" spans="1:4" x14ac:dyDescent="0.35">
      <c r="A2226">
        <v>13.1577</v>
      </c>
      <c r="B2226">
        <f t="shared" si="64"/>
        <v>13157.7</v>
      </c>
      <c r="C2226">
        <v>2.3118E-2</v>
      </c>
      <c r="D2226">
        <f t="shared" si="65"/>
        <v>1.9650299999999999E-2</v>
      </c>
    </row>
    <row r="2227" spans="1:4" x14ac:dyDescent="0.35">
      <c r="A2227">
        <v>13.191179999999999</v>
      </c>
      <c r="B2227">
        <f t="shared" si="64"/>
        <v>13191.179999999998</v>
      </c>
      <c r="C2227">
        <v>2.2523999999999999E-2</v>
      </c>
      <c r="D2227">
        <f t="shared" si="65"/>
        <v>1.91454E-2</v>
      </c>
    </row>
    <row r="2228" spans="1:4" x14ac:dyDescent="0.35">
      <c r="A2228">
        <v>13.224830000000001</v>
      </c>
      <c r="B2228">
        <f t="shared" si="64"/>
        <v>13224.83</v>
      </c>
      <c r="C2228">
        <v>2.1953E-2</v>
      </c>
      <c r="D2228">
        <f t="shared" si="65"/>
        <v>1.8660050000000001E-2</v>
      </c>
    </row>
    <row r="2229" spans="1:4" x14ac:dyDescent="0.35">
      <c r="A2229">
        <v>13.258660000000001</v>
      </c>
      <c r="B2229">
        <f t="shared" si="64"/>
        <v>13258.660000000002</v>
      </c>
      <c r="C2229">
        <v>2.1748E-2</v>
      </c>
      <c r="D2229">
        <f t="shared" si="65"/>
        <v>1.84858E-2</v>
      </c>
    </row>
    <row r="2230" spans="1:4" x14ac:dyDescent="0.35">
      <c r="A2230">
        <v>13.29265</v>
      </c>
      <c r="B2230">
        <f t="shared" si="64"/>
        <v>13292.65</v>
      </c>
      <c r="C2230">
        <v>2.1839000000000001E-2</v>
      </c>
      <c r="D2230">
        <f t="shared" si="65"/>
        <v>1.856315E-2</v>
      </c>
    </row>
    <row r="2231" spans="1:4" x14ac:dyDescent="0.35">
      <c r="A2231">
        <v>13.326829999999999</v>
      </c>
      <c r="B2231">
        <f t="shared" si="64"/>
        <v>13326.83</v>
      </c>
      <c r="C2231">
        <v>2.2079000000000001E-2</v>
      </c>
      <c r="D2231">
        <f t="shared" si="65"/>
        <v>1.876715E-2</v>
      </c>
    </row>
    <row r="2232" spans="1:4" x14ac:dyDescent="0.35">
      <c r="A2232">
        <v>13.36117</v>
      </c>
      <c r="B2232">
        <f t="shared" si="64"/>
        <v>13361.17</v>
      </c>
      <c r="C2232">
        <v>2.2155999999999999E-2</v>
      </c>
      <c r="D2232">
        <f t="shared" si="65"/>
        <v>1.8832599999999998E-2</v>
      </c>
    </row>
    <row r="2233" spans="1:4" x14ac:dyDescent="0.35">
      <c r="A2233">
        <v>13.3957</v>
      </c>
      <c r="B2233">
        <f t="shared" si="64"/>
        <v>13395.699999999999</v>
      </c>
      <c r="C2233">
        <v>2.2207999999999999E-2</v>
      </c>
      <c r="D2233">
        <f t="shared" si="65"/>
        <v>1.8876799999999999E-2</v>
      </c>
    </row>
    <row r="2234" spans="1:4" x14ac:dyDescent="0.35">
      <c r="A2234">
        <v>13.430400000000001</v>
      </c>
      <c r="B2234">
        <f t="shared" si="64"/>
        <v>13430.400000000001</v>
      </c>
      <c r="C2234">
        <v>2.2419999999999999E-2</v>
      </c>
      <c r="D2234">
        <f t="shared" si="65"/>
        <v>1.9056999999999998E-2</v>
      </c>
    </row>
    <row r="2235" spans="1:4" x14ac:dyDescent="0.35">
      <c r="A2235">
        <v>13.46529</v>
      </c>
      <c r="B2235">
        <f t="shared" si="64"/>
        <v>13465.289999999999</v>
      </c>
      <c r="C2235">
        <v>2.2623000000000001E-2</v>
      </c>
      <c r="D2235">
        <f t="shared" si="65"/>
        <v>1.9229550000000002E-2</v>
      </c>
    </row>
    <row r="2236" spans="1:4" x14ac:dyDescent="0.35">
      <c r="A2236">
        <v>13.500349999999999</v>
      </c>
      <c r="B2236">
        <f t="shared" si="64"/>
        <v>13500.349999999999</v>
      </c>
      <c r="C2236">
        <v>2.2655999999999999E-2</v>
      </c>
      <c r="D2236">
        <f t="shared" si="65"/>
        <v>1.92576E-2</v>
      </c>
    </row>
    <row r="2237" spans="1:4" x14ac:dyDescent="0.35">
      <c r="A2237">
        <v>13.535600000000001</v>
      </c>
      <c r="B2237">
        <f t="shared" si="64"/>
        <v>13535.6</v>
      </c>
      <c r="C2237">
        <v>2.2526999999999998E-2</v>
      </c>
      <c r="D2237">
        <f t="shared" si="65"/>
        <v>1.9147949999999997E-2</v>
      </c>
    </row>
    <row r="2238" spans="1:4" x14ac:dyDescent="0.35">
      <c r="A2238">
        <v>13.57103</v>
      </c>
      <c r="B2238">
        <f t="shared" si="64"/>
        <v>13571.03</v>
      </c>
      <c r="C2238">
        <v>2.2227E-2</v>
      </c>
      <c r="D2238">
        <f t="shared" si="65"/>
        <v>1.8892949999999999E-2</v>
      </c>
    </row>
    <row r="2239" spans="1:4" x14ac:dyDescent="0.35">
      <c r="A2239">
        <v>13.60665</v>
      </c>
      <c r="B2239">
        <f t="shared" si="64"/>
        <v>13606.65</v>
      </c>
      <c r="C2239">
        <v>2.2005E-2</v>
      </c>
      <c r="D2239">
        <f t="shared" si="65"/>
        <v>1.8704249999999999E-2</v>
      </c>
    </row>
    <row r="2240" spans="1:4" x14ac:dyDescent="0.35">
      <c r="A2240">
        <v>13.64246</v>
      </c>
      <c r="B2240">
        <f t="shared" si="64"/>
        <v>13642.46</v>
      </c>
      <c r="C2240">
        <v>2.1416000000000001E-2</v>
      </c>
      <c r="D2240">
        <f t="shared" si="65"/>
        <v>1.82036E-2</v>
      </c>
    </row>
    <row r="2241" spans="1:4" x14ac:dyDescent="0.35">
      <c r="A2241">
        <v>13.678459999999999</v>
      </c>
      <c r="B2241">
        <f t="shared" si="64"/>
        <v>13678.46</v>
      </c>
      <c r="C2241">
        <v>2.0705999999999999E-2</v>
      </c>
      <c r="D2241">
        <f t="shared" si="65"/>
        <v>1.7600099999999997E-2</v>
      </c>
    </row>
    <row r="2242" spans="1:4" x14ac:dyDescent="0.35">
      <c r="A2242">
        <v>13.714639999999999</v>
      </c>
      <c r="B2242">
        <f t="shared" si="64"/>
        <v>13714.64</v>
      </c>
      <c r="C2242">
        <v>2.0109999999999999E-2</v>
      </c>
      <c r="D2242">
        <f t="shared" si="65"/>
        <v>1.7093499999999998E-2</v>
      </c>
    </row>
    <row r="2243" spans="1:4" x14ac:dyDescent="0.35">
      <c r="A2243">
        <v>13.75102</v>
      </c>
      <c r="B2243">
        <f t="shared" si="64"/>
        <v>13751.02</v>
      </c>
      <c r="C2243">
        <v>1.9328999999999999E-2</v>
      </c>
      <c r="D2243">
        <f t="shared" si="65"/>
        <v>1.6429649999999997E-2</v>
      </c>
    </row>
    <row r="2244" spans="1:4" x14ac:dyDescent="0.35">
      <c r="A2244">
        <v>13.78759</v>
      </c>
      <c r="B2244">
        <f t="shared" si="64"/>
        <v>13787.59</v>
      </c>
      <c r="C2244">
        <v>1.8231000000000001E-2</v>
      </c>
      <c r="D2244">
        <f t="shared" si="65"/>
        <v>1.5496350000000001E-2</v>
      </c>
    </row>
    <row r="2245" spans="1:4" x14ac:dyDescent="0.35">
      <c r="A2245">
        <v>13.82436</v>
      </c>
      <c r="B2245">
        <f t="shared" si="64"/>
        <v>13824.36</v>
      </c>
      <c r="C2245">
        <v>1.7624000000000001E-2</v>
      </c>
      <c r="D2245">
        <f t="shared" si="65"/>
        <v>1.49804E-2</v>
      </c>
    </row>
    <row r="2246" spans="1:4" x14ac:dyDescent="0.35">
      <c r="A2246">
        <v>13.861319999999999</v>
      </c>
      <c r="B2246">
        <f t="shared" si="64"/>
        <v>13861.32</v>
      </c>
      <c r="C2246">
        <v>1.687E-2</v>
      </c>
      <c r="D2246">
        <f t="shared" si="65"/>
        <v>1.43395E-2</v>
      </c>
    </row>
    <row r="2247" spans="1:4" x14ac:dyDescent="0.35">
      <c r="A2247">
        <v>13.898490000000001</v>
      </c>
      <c r="B2247">
        <f t="shared" si="64"/>
        <v>13898.49</v>
      </c>
      <c r="C2247">
        <v>1.5928000000000001E-2</v>
      </c>
      <c r="D2247">
        <f t="shared" si="65"/>
        <v>1.35388E-2</v>
      </c>
    </row>
    <row r="2248" spans="1:4" x14ac:dyDescent="0.35">
      <c r="A2248">
        <v>13.93585</v>
      </c>
      <c r="B2248">
        <f t="shared" si="64"/>
        <v>13935.85</v>
      </c>
      <c r="C2248">
        <v>1.4964E-2</v>
      </c>
      <c r="D2248">
        <f t="shared" si="65"/>
        <v>1.2719399999999999E-2</v>
      </c>
    </row>
    <row r="2249" spans="1:4" x14ac:dyDescent="0.35">
      <c r="A2249">
        <v>13.973409999999999</v>
      </c>
      <c r="B2249">
        <f t="shared" si="64"/>
        <v>13973.41</v>
      </c>
      <c r="C2249">
        <v>1.4269E-2</v>
      </c>
      <c r="D2249">
        <f t="shared" si="65"/>
        <v>1.212865E-2</v>
      </c>
    </row>
    <row r="2250" spans="1:4" x14ac:dyDescent="0.35">
      <c r="A2250">
        <v>14.01117</v>
      </c>
      <c r="B2250">
        <f t="shared" si="64"/>
        <v>14011.17</v>
      </c>
      <c r="C2250">
        <v>1.3896E-2</v>
      </c>
      <c r="D2250">
        <f t="shared" si="65"/>
        <v>1.18116E-2</v>
      </c>
    </row>
    <row r="2251" spans="1:4" x14ac:dyDescent="0.35">
      <c r="A2251">
        <v>14.049149999999999</v>
      </c>
      <c r="B2251">
        <f t="shared" ref="B2251:B2314" si="66">A2251*1000</f>
        <v>14049.15</v>
      </c>
      <c r="C2251">
        <v>1.379E-2</v>
      </c>
      <c r="D2251">
        <f t="shared" ref="D2251:D2314" si="67">C2251*$D$137</f>
        <v>1.1721499999999999E-2</v>
      </c>
    </row>
    <row r="2252" spans="1:4" x14ac:dyDescent="0.35">
      <c r="A2252">
        <v>14.08732</v>
      </c>
      <c r="B2252">
        <f t="shared" si="66"/>
        <v>14087.32</v>
      </c>
      <c r="C2252">
        <v>1.4452E-2</v>
      </c>
      <c r="D2252">
        <f t="shared" si="67"/>
        <v>1.2284199999999999E-2</v>
      </c>
    </row>
    <row r="2253" spans="1:4" x14ac:dyDescent="0.35">
      <c r="A2253">
        <v>14.12571</v>
      </c>
      <c r="B2253">
        <f t="shared" si="66"/>
        <v>14125.71</v>
      </c>
      <c r="C2253">
        <v>1.5467E-2</v>
      </c>
      <c r="D2253">
        <f t="shared" si="67"/>
        <v>1.3146949999999999E-2</v>
      </c>
    </row>
    <row r="2254" spans="1:4" x14ac:dyDescent="0.35">
      <c r="A2254">
        <v>14.164300000000001</v>
      </c>
      <c r="B2254">
        <f t="shared" si="66"/>
        <v>14164.300000000001</v>
      </c>
      <c r="C2254">
        <v>1.6471E-2</v>
      </c>
      <c r="D2254">
        <f t="shared" si="67"/>
        <v>1.400035E-2</v>
      </c>
    </row>
    <row r="2255" spans="1:4" x14ac:dyDescent="0.35">
      <c r="A2255">
        <v>14.203110000000001</v>
      </c>
      <c r="B2255">
        <f t="shared" si="66"/>
        <v>14203.11</v>
      </c>
      <c r="C2255">
        <v>1.8020000000000001E-2</v>
      </c>
      <c r="D2255">
        <f t="shared" si="67"/>
        <v>1.5317000000000001E-2</v>
      </c>
    </row>
    <row r="2256" spans="1:4" x14ac:dyDescent="0.35">
      <c r="A2256">
        <v>14.24213</v>
      </c>
      <c r="B2256">
        <f t="shared" si="66"/>
        <v>14242.13</v>
      </c>
      <c r="C2256">
        <v>1.9765000000000001E-2</v>
      </c>
      <c r="D2256">
        <f t="shared" si="67"/>
        <v>1.6800249999999999E-2</v>
      </c>
    </row>
    <row r="2257" spans="1:4" x14ac:dyDescent="0.35">
      <c r="A2257">
        <v>14.281359999999999</v>
      </c>
      <c r="B2257">
        <f t="shared" si="66"/>
        <v>14281.359999999999</v>
      </c>
      <c r="C2257">
        <v>2.1242E-2</v>
      </c>
      <c r="D2257">
        <f t="shared" si="67"/>
        <v>1.8055700000000001E-2</v>
      </c>
    </row>
    <row r="2258" spans="1:4" x14ac:dyDescent="0.35">
      <c r="A2258">
        <v>14.32081</v>
      </c>
      <c r="B2258">
        <f t="shared" si="66"/>
        <v>14320.81</v>
      </c>
      <c r="C2258">
        <v>2.2471000000000001E-2</v>
      </c>
      <c r="D2258">
        <f t="shared" si="67"/>
        <v>1.9100350000000002E-2</v>
      </c>
    </row>
    <row r="2259" spans="1:4" x14ac:dyDescent="0.35">
      <c r="A2259">
        <v>14.36049</v>
      </c>
      <c r="B2259">
        <f t="shared" si="66"/>
        <v>14360.49</v>
      </c>
      <c r="C2259">
        <v>2.3428999999999998E-2</v>
      </c>
      <c r="D2259">
        <f t="shared" si="67"/>
        <v>1.9914649999999999E-2</v>
      </c>
    </row>
    <row r="2260" spans="1:4" x14ac:dyDescent="0.35">
      <c r="A2260">
        <v>14.40038</v>
      </c>
      <c r="B2260">
        <f t="shared" si="66"/>
        <v>14400.380000000001</v>
      </c>
      <c r="C2260">
        <v>2.4087999999999998E-2</v>
      </c>
      <c r="D2260">
        <f t="shared" si="67"/>
        <v>2.0474799999999998E-2</v>
      </c>
    </row>
    <row r="2261" spans="1:4" x14ac:dyDescent="0.35">
      <c r="A2261">
        <v>14.44049</v>
      </c>
      <c r="B2261">
        <f t="shared" si="66"/>
        <v>14440.49</v>
      </c>
      <c r="C2261">
        <v>2.4479000000000001E-2</v>
      </c>
      <c r="D2261">
        <f t="shared" si="67"/>
        <v>2.080715E-2</v>
      </c>
    </row>
    <row r="2262" spans="1:4" x14ac:dyDescent="0.35">
      <c r="A2262">
        <v>14.48082</v>
      </c>
      <c r="B2262">
        <f t="shared" si="66"/>
        <v>14480.82</v>
      </c>
      <c r="C2262">
        <v>2.4496E-2</v>
      </c>
      <c r="D2262">
        <f t="shared" si="67"/>
        <v>2.0821599999999999E-2</v>
      </c>
    </row>
    <row r="2263" spans="1:4" x14ac:dyDescent="0.35">
      <c r="A2263">
        <v>14.52139</v>
      </c>
      <c r="B2263">
        <f t="shared" si="66"/>
        <v>14521.39</v>
      </c>
      <c r="C2263">
        <v>2.4642000000000001E-2</v>
      </c>
      <c r="D2263">
        <f t="shared" si="67"/>
        <v>2.0945700000000001E-2</v>
      </c>
    </row>
    <row r="2264" spans="1:4" x14ac:dyDescent="0.35">
      <c r="A2264">
        <v>14.56218</v>
      </c>
      <c r="B2264">
        <f t="shared" si="66"/>
        <v>14562.18</v>
      </c>
      <c r="C2264">
        <v>2.4756E-2</v>
      </c>
      <c r="D2264">
        <f t="shared" si="67"/>
        <v>2.1042599999999998E-2</v>
      </c>
    </row>
    <row r="2265" spans="1:4" x14ac:dyDescent="0.35">
      <c r="A2265">
        <v>14.603199999999999</v>
      </c>
      <c r="B2265">
        <f t="shared" si="66"/>
        <v>14603.199999999999</v>
      </c>
      <c r="C2265">
        <v>2.4830000000000001E-2</v>
      </c>
      <c r="D2265">
        <f t="shared" si="67"/>
        <v>2.1105499999999999E-2</v>
      </c>
    </row>
    <row r="2266" spans="1:4" x14ac:dyDescent="0.35">
      <c r="A2266">
        <v>14.644450000000001</v>
      </c>
      <c r="B2266">
        <f t="shared" si="66"/>
        <v>14644.45</v>
      </c>
      <c r="C2266">
        <v>2.469E-2</v>
      </c>
      <c r="D2266">
        <f t="shared" si="67"/>
        <v>2.0986499999999998E-2</v>
      </c>
    </row>
    <row r="2267" spans="1:4" x14ac:dyDescent="0.35">
      <c r="A2267">
        <v>14.685930000000001</v>
      </c>
      <c r="B2267">
        <f t="shared" si="66"/>
        <v>14685.93</v>
      </c>
      <c r="C2267">
        <v>2.4357E-2</v>
      </c>
      <c r="D2267">
        <f t="shared" si="67"/>
        <v>2.0703449999999998E-2</v>
      </c>
    </row>
    <row r="2268" spans="1:4" x14ac:dyDescent="0.35">
      <c r="A2268">
        <v>14.72766</v>
      </c>
      <c r="B2268">
        <f t="shared" si="66"/>
        <v>14727.66</v>
      </c>
      <c r="C2268">
        <v>2.4093E-2</v>
      </c>
      <c r="D2268">
        <f t="shared" si="67"/>
        <v>2.0479049999999999E-2</v>
      </c>
    </row>
    <row r="2269" spans="1:4" x14ac:dyDescent="0.35">
      <c r="A2269">
        <v>14.76962</v>
      </c>
      <c r="B2269">
        <f t="shared" si="66"/>
        <v>14769.619999999999</v>
      </c>
      <c r="C2269">
        <v>2.3994999999999999E-2</v>
      </c>
      <c r="D2269">
        <f t="shared" si="67"/>
        <v>2.0395749999999997E-2</v>
      </c>
    </row>
    <row r="2270" spans="1:4" x14ac:dyDescent="0.35">
      <c r="A2270">
        <v>14.811809999999999</v>
      </c>
      <c r="B2270">
        <f t="shared" si="66"/>
        <v>14811.81</v>
      </c>
      <c r="C2270">
        <v>2.3879999999999998E-2</v>
      </c>
      <c r="D2270">
        <f t="shared" si="67"/>
        <v>2.0297999999999997E-2</v>
      </c>
    </row>
    <row r="2271" spans="1:4" x14ac:dyDescent="0.35">
      <c r="A2271">
        <v>14.85425</v>
      </c>
      <c r="B2271">
        <f t="shared" si="66"/>
        <v>14854.25</v>
      </c>
      <c r="C2271">
        <v>2.4150999999999999E-2</v>
      </c>
      <c r="D2271">
        <f t="shared" si="67"/>
        <v>2.0528349999999997E-2</v>
      </c>
    </row>
    <row r="2272" spans="1:4" x14ac:dyDescent="0.35">
      <c r="A2272">
        <v>14.896940000000001</v>
      </c>
      <c r="B2272">
        <f t="shared" si="66"/>
        <v>14896.94</v>
      </c>
      <c r="C2272">
        <v>2.4228E-2</v>
      </c>
      <c r="D2272">
        <f t="shared" si="67"/>
        <v>2.0593799999999999E-2</v>
      </c>
    </row>
    <row r="2273" spans="1:4" x14ac:dyDescent="0.35">
      <c r="A2273">
        <v>14.939870000000001</v>
      </c>
      <c r="B2273">
        <f t="shared" si="66"/>
        <v>14939.87</v>
      </c>
      <c r="C2273">
        <v>2.4059000000000001E-2</v>
      </c>
      <c r="D2273">
        <f t="shared" si="67"/>
        <v>2.045015E-2</v>
      </c>
    </row>
    <row r="2274" spans="1:4" x14ac:dyDescent="0.35">
      <c r="A2274">
        <v>14.98305</v>
      </c>
      <c r="B2274">
        <f t="shared" si="66"/>
        <v>14983.050000000001</v>
      </c>
      <c r="C2274">
        <v>2.3682999999999999E-2</v>
      </c>
      <c r="D2274">
        <f t="shared" si="67"/>
        <v>2.0130549999999997E-2</v>
      </c>
    </row>
    <row r="2275" spans="1:4" x14ac:dyDescent="0.35">
      <c r="A2275">
        <v>15.026479999999999</v>
      </c>
      <c r="B2275">
        <f t="shared" si="66"/>
        <v>15026.48</v>
      </c>
      <c r="C2275">
        <v>2.3449000000000001E-2</v>
      </c>
      <c r="D2275">
        <f t="shared" si="67"/>
        <v>1.9931650000000002E-2</v>
      </c>
    </row>
    <row r="2276" spans="1:4" x14ac:dyDescent="0.35">
      <c r="A2276">
        <v>15.07016</v>
      </c>
      <c r="B2276">
        <f t="shared" si="66"/>
        <v>15070.16</v>
      </c>
      <c r="C2276">
        <v>2.3684E-2</v>
      </c>
      <c r="D2276">
        <f t="shared" si="67"/>
        <v>2.0131400000000001E-2</v>
      </c>
    </row>
    <row r="2277" spans="1:4" x14ac:dyDescent="0.35">
      <c r="A2277">
        <v>15.114100000000001</v>
      </c>
      <c r="B2277">
        <f t="shared" si="66"/>
        <v>15114.1</v>
      </c>
      <c r="C2277">
        <v>2.3980999999999999E-2</v>
      </c>
      <c r="D2277">
        <f t="shared" si="67"/>
        <v>2.0383849999999998E-2</v>
      </c>
    </row>
    <row r="2278" spans="1:4" x14ac:dyDescent="0.35">
      <c r="A2278">
        <v>15.158289999999999</v>
      </c>
      <c r="B2278">
        <f t="shared" si="66"/>
        <v>15158.289999999999</v>
      </c>
      <c r="C2278">
        <v>2.3925999999999999E-2</v>
      </c>
      <c r="D2278">
        <f t="shared" si="67"/>
        <v>2.03371E-2</v>
      </c>
    </row>
    <row r="2279" spans="1:4" x14ac:dyDescent="0.35">
      <c r="A2279">
        <v>15.20274</v>
      </c>
      <c r="B2279">
        <f t="shared" si="66"/>
        <v>15202.74</v>
      </c>
      <c r="C2279">
        <v>2.4059000000000001E-2</v>
      </c>
      <c r="D2279">
        <f t="shared" si="67"/>
        <v>2.045015E-2</v>
      </c>
    </row>
    <row r="2280" spans="1:4" x14ac:dyDescent="0.35">
      <c r="A2280">
        <v>15.24746</v>
      </c>
      <c r="B2280">
        <f t="shared" si="66"/>
        <v>15247.460000000001</v>
      </c>
      <c r="C2280">
        <v>2.4523E-2</v>
      </c>
      <c r="D2280">
        <f t="shared" si="67"/>
        <v>2.084455E-2</v>
      </c>
    </row>
    <row r="2281" spans="1:4" x14ac:dyDescent="0.35">
      <c r="A2281">
        <v>15.29243</v>
      </c>
      <c r="B2281">
        <f t="shared" si="66"/>
        <v>15292.43</v>
      </c>
      <c r="C2281">
        <v>2.4954E-2</v>
      </c>
      <c r="D2281">
        <f t="shared" si="67"/>
        <v>2.1210900000000001E-2</v>
      </c>
    </row>
    <row r="2282" spans="1:4" x14ac:dyDescent="0.35">
      <c r="A2282">
        <v>15.337680000000001</v>
      </c>
      <c r="B2282">
        <f t="shared" si="66"/>
        <v>15337.68</v>
      </c>
      <c r="C2282">
        <v>2.5096E-2</v>
      </c>
      <c r="D2282">
        <f t="shared" si="67"/>
        <v>2.1331599999999999E-2</v>
      </c>
    </row>
    <row r="2283" spans="1:4" x14ac:dyDescent="0.35">
      <c r="A2283">
        <v>15.383190000000001</v>
      </c>
      <c r="B2283">
        <f t="shared" si="66"/>
        <v>15383.19</v>
      </c>
      <c r="C2283">
        <v>2.5387E-2</v>
      </c>
      <c r="D2283">
        <f t="shared" si="67"/>
        <v>2.157895E-2</v>
      </c>
    </row>
    <row r="2284" spans="1:4" x14ac:dyDescent="0.35">
      <c r="A2284">
        <v>15.42897</v>
      </c>
      <c r="B2284">
        <f t="shared" si="66"/>
        <v>15428.97</v>
      </c>
      <c r="C2284">
        <v>2.6044000000000001E-2</v>
      </c>
      <c r="D2284">
        <f t="shared" si="67"/>
        <v>2.2137400000000002E-2</v>
      </c>
    </row>
    <row r="2285" spans="1:4" x14ac:dyDescent="0.35">
      <c r="A2285">
        <v>15.47503</v>
      </c>
      <c r="B2285">
        <f t="shared" si="66"/>
        <v>15475.03</v>
      </c>
      <c r="C2285">
        <v>2.6845999999999998E-2</v>
      </c>
      <c r="D2285">
        <f t="shared" si="67"/>
        <v>2.2819099999999998E-2</v>
      </c>
    </row>
    <row r="2286" spans="1:4" x14ac:dyDescent="0.35">
      <c r="A2286">
        <v>15.52136</v>
      </c>
      <c r="B2286">
        <f t="shared" si="66"/>
        <v>15521.359999999999</v>
      </c>
      <c r="C2286">
        <v>2.7696999999999999E-2</v>
      </c>
      <c r="D2286">
        <f t="shared" si="67"/>
        <v>2.3542449999999999E-2</v>
      </c>
    </row>
    <row r="2287" spans="1:4" x14ac:dyDescent="0.35">
      <c r="A2287">
        <v>15.567970000000001</v>
      </c>
      <c r="B2287">
        <f t="shared" si="66"/>
        <v>15567.970000000001</v>
      </c>
      <c r="C2287">
        <v>2.8433E-2</v>
      </c>
      <c r="D2287">
        <f t="shared" si="67"/>
        <v>2.416805E-2</v>
      </c>
    </row>
    <row r="2288" spans="1:4" x14ac:dyDescent="0.35">
      <c r="A2288">
        <v>15.61487</v>
      </c>
      <c r="B2288">
        <f t="shared" si="66"/>
        <v>15614.869999999999</v>
      </c>
      <c r="C2288">
        <v>2.9016E-2</v>
      </c>
      <c r="D2288">
        <f t="shared" si="67"/>
        <v>2.4663600000000001E-2</v>
      </c>
    </row>
    <row r="2289" spans="1:4" x14ac:dyDescent="0.35">
      <c r="A2289">
        <v>15.662039999999999</v>
      </c>
      <c r="B2289">
        <f t="shared" si="66"/>
        <v>15662.039999999999</v>
      </c>
      <c r="C2289">
        <v>2.9628999999999999E-2</v>
      </c>
      <c r="D2289">
        <f t="shared" si="67"/>
        <v>2.5184649999999999E-2</v>
      </c>
    </row>
    <row r="2290" spans="1:4" x14ac:dyDescent="0.35">
      <c r="A2290">
        <v>15.7095</v>
      </c>
      <c r="B2290">
        <f t="shared" si="66"/>
        <v>15709.5</v>
      </c>
      <c r="C2290">
        <v>3.0391000000000001E-2</v>
      </c>
      <c r="D2290">
        <f t="shared" si="67"/>
        <v>2.583235E-2</v>
      </c>
    </row>
    <row r="2291" spans="1:4" x14ac:dyDescent="0.35">
      <c r="A2291">
        <v>15.757250000000001</v>
      </c>
      <c r="B2291">
        <f t="shared" si="66"/>
        <v>15757.25</v>
      </c>
      <c r="C2291">
        <v>3.1563000000000001E-2</v>
      </c>
      <c r="D2291">
        <f t="shared" si="67"/>
        <v>2.682855E-2</v>
      </c>
    </row>
    <row r="2292" spans="1:4" x14ac:dyDescent="0.35">
      <c r="A2292">
        <v>15.805289999999999</v>
      </c>
      <c r="B2292">
        <f t="shared" si="66"/>
        <v>15805.289999999999</v>
      </c>
      <c r="C2292">
        <v>3.2343999999999998E-2</v>
      </c>
      <c r="D2292">
        <f t="shared" si="67"/>
        <v>2.7492399999999997E-2</v>
      </c>
    </row>
    <row r="2293" spans="1:4" x14ac:dyDescent="0.35">
      <c r="A2293">
        <v>15.853619999999999</v>
      </c>
      <c r="B2293">
        <f t="shared" si="66"/>
        <v>15853.619999999999</v>
      </c>
      <c r="C2293">
        <v>3.3721000000000001E-2</v>
      </c>
      <c r="D2293">
        <f t="shared" si="67"/>
        <v>2.866285E-2</v>
      </c>
    </row>
    <row r="2294" spans="1:4" x14ac:dyDescent="0.35">
      <c r="A2294">
        <v>15.90226</v>
      </c>
      <c r="B2294">
        <f t="shared" si="66"/>
        <v>15902.26</v>
      </c>
      <c r="C2294">
        <v>3.5725E-2</v>
      </c>
      <c r="D2294">
        <f t="shared" si="67"/>
        <v>3.0366249999999997E-2</v>
      </c>
    </row>
    <row r="2295" spans="1:4" x14ac:dyDescent="0.35">
      <c r="A2295">
        <v>15.95119</v>
      </c>
      <c r="B2295">
        <f t="shared" si="66"/>
        <v>15951.19</v>
      </c>
      <c r="C2295">
        <v>3.8276999999999999E-2</v>
      </c>
      <c r="D2295">
        <f t="shared" si="67"/>
        <v>3.253545E-2</v>
      </c>
    </row>
    <row r="2296" spans="1:4" x14ac:dyDescent="0.35">
      <c r="A2296">
        <v>16.000419999999998</v>
      </c>
      <c r="B2296">
        <f t="shared" si="66"/>
        <v>16000.419999999998</v>
      </c>
      <c r="C2296">
        <v>4.1463E-2</v>
      </c>
      <c r="D2296">
        <f t="shared" si="67"/>
        <v>3.5243549999999998E-2</v>
      </c>
    </row>
    <row r="2297" spans="1:4" x14ac:dyDescent="0.35">
      <c r="A2297">
        <v>16.049949999999999</v>
      </c>
      <c r="B2297">
        <f t="shared" si="66"/>
        <v>16049.949999999999</v>
      </c>
      <c r="C2297">
        <v>4.5317000000000003E-2</v>
      </c>
      <c r="D2297">
        <f t="shared" si="67"/>
        <v>3.8519450000000004E-2</v>
      </c>
    </row>
    <row r="2298" spans="1:4" x14ac:dyDescent="0.35">
      <c r="A2298">
        <v>16.099799999999998</v>
      </c>
      <c r="B2298">
        <f t="shared" si="66"/>
        <v>16099.799999999997</v>
      </c>
      <c r="C2298">
        <v>4.9783000000000001E-2</v>
      </c>
      <c r="D2298">
        <f t="shared" si="67"/>
        <v>4.231555E-2</v>
      </c>
    </row>
    <row r="2299" spans="1:4" x14ac:dyDescent="0.35">
      <c r="A2299">
        <v>16.14995</v>
      </c>
      <c r="B2299">
        <f t="shared" si="66"/>
        <v>16149.95</v>
      </c>
      <c r="C2299">
        <v>5.5155000000000003E-2</v>
      </c>
      <c r="D2299">
        <f t="shared" si="67"/>
        <v>4.688175E-2</v>
      </c>
    </row>
    <row r="2300" spans="1:4" x14ac:dyDescent="0.35">
      <c r="A2300">
        <v>16.200420000000001</v>
      </c>
      <c r="B2300">
        <f t="shared" si="66"/>
        <v>16200.420000000002</v>
      </c>
      <c r="C2300">
        <v>6.1440000000000002E-2</v>
      </c>
      <c r="D2300">
        <f t="shared" si="67"/>
        <v>5.2224E-2</v>
      </c>
    </row>
    <row r="2301" spans="1:4" x14ac:dyDescent="0.35">
      <c r="A2301">
        <v>16.25121</v>
      </c>
      <c r="B2301">
        <f t="shared" si="66"/>
        <v>16251.210000000001</v>
      </c>
      <c r="C2301">
        <v>6.7946999999999994E-2</v>
      </c>
      <c r="D2301">
        <f t="shared" si="67"/>
        <v>5.7754949999999992E-2</v>
      </c>
    </row>
    <row r="2302" spans="1:4" x14ac:dyDescent="0.35">
      <c r="A2302">
        <v>16.302309999999999</v>
      </c>
      <c r="B2302">
        <f t="shared" si="66"/>
        <v>16302.309999999998</v>
      </c>
      <c r="C2302">
        <v>7.4246999999999994E-2</v>
      </c>
      <c r="D2302">
        <f t="shared" si="67"/>
        <v>6.3109949999999998E-2</v>
      </c>
    </row>
    <row r="2303" spans="1:4" x14ac:dyDescent="0.35">
      <c r="A2303">
        <v>16.353739999999998</v>
      </c>
      <c r="B2303">
        <f t="shared" si="66"/>
        <v>16353.739999999998</v>
      </c>
      <c r="C2303">
        <v>8.0590999999999996E-2</v>
      </c>
      <c r="D2303">
        <f t="shared" si="67"/>
        <v>6.850234999999999E-2</v>
      </c>
    </row>
    <row r="2304" spans="1:4" x14ac:dyDescent="0.35">
      <c r="A2304">
        <v>16.40549</v>
      </c>
      <c r="B2304">
        <f t="shared" si="66"/>
        <v>16405.490000000002</v>
      </c>
      <c r="C2304">
        <v>8.6373000000000005E-2</v>
      </c>
      <c r="D2304">
        <f t="shared" si="67"/>
        <v>7.3417049999999998E-2</v>
      </c>
    </row>
    <row r="2305" spans="1:4" x14ac:dyDescent="0.35">
      <c r="A2305">
        <v>16.45757</v>
      </c>
      <c r="B2305">
        <f t="shared" si="66"/>
        <v>16457.57</v>
      </c>
      <c r="C2305">
        <v>9.0951000000000004E-2</v>
      </c>
      <c r="D2305">
        <f t="shared" si="67"/>
        <v>7.7308349999999998E-2</v>
      </c>
    </row>
    <row r="2306" spans="1:4" x14ac:dyDescent="0.35">
      <c r="A2306">
        <v>16.509979999999999</v>
      </c>
      <c r="B2306">
        <f t="shared" si="66"/>
        <v>16509.98</v>
      </c>
      <c r="C2306">
        <v>9.4341999999999995E-2</v>
      </c>
      <c r="D2306">
        <f t="shared" si="67"/>
        <v>8.019069999999999E-2</v>
      </c>
    </row>
    <row r="2307" spans="1:4" x14ac:dyDescent="0.35">
      <c r="A2307">
        <v>16.562729999999998</v>
      </c>
      <c r="B2307">
        <f t="shared" si="66"/>
        <v>16562.73</v>
      </c>
      <c r="C2307">
        <v>9.6503000000000005E-2</v>
      </c>
      <c r="D2307">
        <f t="shared" si="67"/>
        <v>8.2027550000000005E-2</v>
      </c>
    </row>
    <row r="2308" spans="1:4" x14ac:dyDescent="0.35">
      <c r="A2308">
        <v>16.615819999999999</v>
      </c>
      <c r="B2308">
        <f t="shared" si="66"/>
        <v>16615.82</v>
      </c>
      <c r="C2308">
        <v>9.8248000000000002E-2</v>
      </c>
      <c r="D2308">
        <f t="shared" si="67"/>
        <v>8.3510799999999996E-2</v>
      </c>
    </row>
    <row r="2309" spans="1:4" x14ac:dyDescent="0.35">
      <c r="A2309">
        <v>16.669239999999999</v>
      </c>
      <c r="B2309">
        <f t="shared" si="66"/>
        <v>16669.239999999998</v>
      </c>
      <c r="C2309">
        <v>0.100051</v>
      </c>
      <c r="D2309">
        <f t="shared" si="67"/>
        <v>8.5043350000000004E-2</v>
      </c>
    </row>
    <row r="2310" spans="1:4" x14ac:dyDescent="0.35">
      <c r="A2310">
        <v>16.723020000000002</v>
      </c>
      <c r="B2310">
        <f t="shared" si="66"/>
        <v>16723.02</v>
      </c>
      <c r="C2310">
        <v>0.102704</v>
      </c>
      <c r="D2310">
        <f t="shared" si="67"/>
        <v>8.7298399999999998E-2</v>
      </c>
    </row>
    <row r="2311" spans="1:4" x14ac:dyDescent="0.35">
      <c r="A2311">
        <v>16.777139999999999</v>
      </c>
      <c r="B2311">
        <f t="shared" si="66"/>
        <v>16777.14</v>
      </c>
      <c r="C2311">
        <v>0.106456</v>
      </c>
      <c r="D2311">
        <f t="shared" si="67"/>
        <v>9.0487599999999987E-2</v>
      </c>
    </row>
    <row r="2312" spans="1:4" x14ac:dyDescent="0.35">
      <c r="A2312">
        <v>16.831610000000001</v>
      </c>
      <c r="B2312">
        <f t="shared" si="66"/>
        <v>16831.61</v>
      </c>
      <c r="C2312">
        <v>0.110372</v>
      </c>
      <c r="D2312">
        <f t="shared" si="67"/>
        <v>9.3816200000000002E-2</v>
      </c>
    </row>
    <row r="2313" spans="1:4" x14ac:dyDescent="0.35">
      <c r="A2313">
        <v>16.886430000000001</v>
      </c>
      <c r="B2313">
        <f t="shared" si="66"/>
        <v>16886.43</v>
      </c>
      <c r="C2313">
        <v>0.11404499999999999</v>
      </c>
      <c r="D2313">
        <f t="shared" si="67"/>
        <v>9.693824999999999E-2</v>
      </c>
    </row>
    <row r="2314" spans="1:4" x14ac:dyDescent="0.35">
      <c r="A2314">
        <v>16.94162</v>
      </c>
      <c r="B2314">
        <f t="shared" si="66"/>
        <v>16941.62</v>
      </c>
      <c r="C2314">
        <v>0.11775099999999999</v>
      </c>
      <c r="D2314">
        <f t="shared" si="67"/>
        <v>0.10008834999999999</v>
      </c>
    </row>
    <row r="2315" spans="1:4" x14ac:dyDescent="0.35">
      <c r="A2315">
        <v>16.997160000000001</v>
      </c>
      <c r="B2315">
        <f t="shared" ref="B2315:B2378" si="68">A2315*1000</f>
        <v>16997.16</v>
      </c>
      <c r="C2315">
        <v>0.12169199999999999</v>
      </c>
      <c r="D2315">
        <f t="shared" ref="D2315:D2378" si="69">C2315*$D$137</f>
        <v>0.10343819999999999</v>
      </c>
    </row>
    <row r="2316" spans="1:4" x14ac:dyDescent="0.35">
      <c r="A2316">
        <v>17.053080000000001</v>
      </c>
      <c r="B2316">
        <f t="shared" si="68"/>
        <v>17053.080000000002</v>
      </c>
      <c r="C2316">
        <v>0.124782</v>
      </c>
      <c r="D2316">
        <f t="shared" si="69"/>
        <v>0.1060647</v>
      </c>
    </row>
    <row r="2317" spans="1:4" x14ac:dyDescent="0.35">
      <c r="A2317">
        <v>17.109359999999999</v>
      </c>
      <c r="B2317">
        <f t="shared" si="68"/>
        <v>17109.36</v>
      </c>
      <c r="C2317">
        <v>0.12717200000000001</v>
      </c>
      <c r="D2317">
        <f t="shared" si="69"/>
        <v>0.1080962</v>
      </c>
    </row>
    <row r="2318" spans="1:4" x14ac:dyDescent="0.35">
      <c r="A2318">
        <v>17.16601</v>
      </c>
      <c r="B2318">
        <f t="shared" si="68"/>
        <v>17166.009999999998</v>
      </c>
      <c r="C2318">
        <v>0.12962699999999999</v>
      </c>
      <c r="D2318">
        <f t="shared" si="69"/>
        <v>0.11018294999999999</v>
      </c>
    </row>
    <row r="2319" spans="1:4" x14ac:dyDescent="0.35">
      <c r="A2319">
        <v>17.223040000000001</v>
      </c>
      <c r="B2319">
        <f t="shared" si="68"/>
        <v>17223.04</v>
      </c>
      <c r="C2319">
        <v>0.1318</v>
      </c>
      <c r="D2319">
        <f t="shared" si="69"/>
        <v>0.11202999999999999</v>
      </c>
    </row>
    <row r="2320" spans="1:4" x14ac:dyDescent="0.35">
      <c r="A2320">
        <v>17.280449999999998</v>
      </c>
      <c r="B2320">
        <f t="shared" si="68"/>
        <v>17280.449999999997</v>
      </c>
      <c r="C2320">
        <v>0.13378300000000001</v>
      </c>
      <c r="D2320">
        <f t="shared" si="69"/>
        <v>0.11371555000000001</v>
      </c>
    </row>
    <row r="2321" spans="1:4" x14ac:dyDescent="0.35">
      <c r="A2321">
        <v>17.338239999999999</v>
      </c>
      <c r="B2321">
        <f t="shared" si="68"/>
        <v>17338.239999999998</v>
      </c>
      <c r="C2321">
        <v>0.13537399999999999</v>
      </c>
      <c r="D2321">
        <f t="shared" si="69"/>
        <v>0.11506789999999999</v>
      </c>
    </row>
    <row r="2322" spans="1:4" x14ac:dyDescent="0.35">
      <c r="A2322">
        <v>17.396429999999999</v>
      </c>
      <c r="B2322">
        <f t="shared" si="68"/>
        <v>17396.43</v>
      </c>
      <c r="C2322">
        <v>0.13658400000000001</v>
      </c>
      <c r="D2322">
        <f t="shared" si="69"/>
        <v>0.1160964</v>
      </c>
    </row>
    <row r="2323" spans="1:4" x14ac:dyDescent="0.35">
      <c r="A2323">
        <v>17.454999999999998</v>
      </c>
      <c r="B2323">
        <f t="shared" si="68"/>
        <v>17455</v>
      </c>
      <c r="C2323">
        <v>0.13745399999999999</v>
      </c>
      <c r="D2323">
        <f t="shared" si="69"/>
        <v>0.11683589999999999</v>
      </c>
    </row>
    <row r="2324" spans="1:4" x14ac:dyDescent="0.35">
      <c r="A2324">
        <v>17.51397</v>
      </c>
      <c r="B2324">
        <f t="shared" si="68"/>
        <v>17513.97</v>
      </c>
      <c r="C2324">
        <v>0.13786100000000001</v>
      </c>
      <c r="D2324">
        <f t="shared" si="69"/>
        <v>0.11718185</v>
      </c>
    </row>
    <row r="2325" spans="1:4" x14ac:dyDescent="0.35">
      <c r="A2325">
        <v>17.573340000000002</v>
      </c>
      <c r="B2325">
        <f t="shared" si="68"/>
        <v>17573.34</v>
      </c>
      <c r="C2325">
        <v>0.13749700000000001</v>
      </c>
      <c r="D2325">
        <f t="shared" si="69"/>
        <v>0.11687245</v>
      </c>
    </row>
    <row r="2326" spans="1:4" x14ac:dyDescent="0.35">
      <c r="A2326">
        <v>17.633109999999999</v>
      </c>
      <c r="B2326">
        <f t="shared" si="68"/>
        <v>17633.109999999997</v>
      </c>
      <c r="C2326">
        <v>0.13658400000000001</v>
      </c>
      <c r="D2326">
        <f t="shared" si="69"/>
        <v>0.1160964</v>
      </c>
    </row>
    <row r="2327" spans="1:4" x14ac:dyDescent="0.35">
      <c r="A2327">
        <v>17.693290000000001</v>
      </c>
      <c r="B2327">
        <f t="shared" si="68"/>
        <v>17693.29</v>
      </c>
      <c r="C2327">
        <v>0.135382</v>
      </c>
      <c r="D2327">
        <f t="shared" si="69"/>
        <v>0.1150747</v>
      </c>
    </row>
    <row r="2328" spans="1:4" x14ac:dyDescent="0.35">
      <c r="A2328">
        <v>17.753889999999998</v>
      </c>
      <c r="B2328">
        <f t="shared" si="68"/>
        <v>17753.89</v>
      </c>
      <c r="C2328">
        <v>0.13374800000000001</v>
      </c>
      <c r="D2328">
        <f t="shared" si="69"/>
        <v>0.1136858</v>
      </c>
    </row>
    <row r="2329" spans="1:4" x14ac:dyDescent="0.35">
      <c r="A2329">
        <v>17.814900000000002</v>
      </c>
      <c r="B2329">
        <f t="shared" si="68"/>
        <v>17814.900000000001</v>
      </c>
      <c r="C2329">
        <v>0.13173799999999999</v>
      </c>
      <c r="D2329">
        <f t="shared" si="69"/>
        <v>0.11197729999999999</v>
      </c>
    </row>
    <row r="2330" spans="1:4" x14ac:dyDescent="0.35">
      <c r="A2330">
        <v>17.876329999999999</v>
      </c>
      <c r="B2330">
        <f t="shared" si="68"/>
        <v>17876.329999999998</v>
      </c>
      <c r="C2330">
        <v>0.12967200000000001</v>
      </c>
      <c r="D2330">
        <f t="shared" si="69"/>
        <v>0.11022120000000001</v>
      </c>
    </row>
    <row r="2331" spans="1:4" x14ac:dyDescent="0.35">
      <c r="A2331">
        <v>17.938179999999999</v>
      </c>
      <c r="B2331">
        <f t="shared" si="68"/>
        <v>17938.18</v>
      </c>
      <c r="C2331">
        <v>0.127221</v>
      </c>
      <c r="D2331">
        <f t="shared" si="69"/>
        <v>0.10813784999999999</v>
      </c>
    </row>
    <row r="2332" spans="1:4" x14ac:dyDescent="0.35">
      <c r="A2332">
        <v>18.00047</v>
      </c>
      <c r="B2332">
        <f t="shared" si="68"/>
        <v>18000.47</v>
      </c>
      <c r="C2332">
        <v>0.124807</v>
      </c>
      <c r="D2332">
        <f t="shared" si="69"/>
        <v>0.10608595</v>
      </c>
    </row>
    <row r="2333" spans="1:4" x14ac:dyDescent="0.35">
      <c r="A2333">
        <v>18.063189999999999</v>
      </c>
      <c r="B2333">
        <f t="shared" si="68"/>
        <v>18063.189999999999</v>
      </c>
      <c r="C2333">
        <v>0.122755</v>
      </c>
      <c r="D2333">
        <f t="shared" si="69"/>
        <v>0.10434175</v>
      </c>
    </row>
    <row r="2334" spans="1:4" x14ac:dyDescent="0.35">
      <c r="A2334">
        <v>18.126349999999999</v>
      </c>
      <c r="B2334">
        <f t="shared" si="68"/>
        <v>18126.349999999999</v>
      </c>
      <c r="C2334">
        <v>0.12102599999999999</v>
      </c>
      <c r="D2334">
        <f t="shared" si="69"/>
        <v>0.10287209999999999</v>
      </c>
    </row>
    <row r="2335" spans="1:4" x14ac:dyDescent="0.35">
      <c r="A2335">
        <v>18.18995</v>
      </c>
      <c r="B2335">
        <f t="shared" si="68"/>
        <v>18189.95</v>
      </c>
      <c r="C2335">
        <v>0.119778</v>
      </c>
      <c r="D2335">
        <f t="shared" si="69"/>
        <v>0.10181129999999999</v>
      </c>
    </row>
    <row r="2336" spans="1:4" x14ac:dyDescent="0.35">
      <c r="A2336">
        <v>18.254000000000001</v>
      </c>
      <c r="B2336">
        <f t="shared" si="68"/>
        <v>18254</v>
      </c>
      <c r="C2336">
        <v>0.118198</v>
      </c>
      <c r="D2336">
        <f t="shared" si="69"/>
        <v>0.1004683</v>
      </c>
    </row>
    <row r="2337" spans="1:4" x14ac:dyDescent="0.35">
      <c r="A2337">
        <v>18.3185</v>
      </c>
      <c r="B2337">
        <f t="shared" si="68"/>
        <v>18318.5</v>
      </c>
      <c r="C2337">
        <v>0.116054</v>
      </c>
      <c r="D2337">
        <f t="shared" si="69"/>
        <v>9.8645899999999995E-2</v>
      </c>
    </row>
    <row r="2338" spans="1:4" x14ac:dyDescent="0.35">
      <c r="A2338">
        <v>18.383459999999999</v>
      </c>
      <c r="B2338">
        <f t="shared" si="68"/>
        <v>18383.46</v>
      </c>
      <c r="C2338">
        <v>0.11354</v>
      </c>
      <c r="D2338">
        <f t="shared" si="69"/>
        <v>9.6508999999999998E-2</v>
      </c>
    </row>
    <row r="2339" spans="1:4" x14ac:dyDescent="0.35">
      <c r="A2339">
        <v>18.448879999999999</v>
      </c>
      <c r="B2339">
        <f t="shared" si="68"/>
        <v>18448.879999999997</v>
      </c>
      <c r="C2339">
        <v>0.110917</v>
      </c>
      <c r="D2339">
        <f t="shared" si="69"/>
        <v>9.4279450000000001E-2</v>
      </c>
    </row>
    <row r="2340" spans="1:4" x14ac:dyDescent="0.35">
      <c r="A2340">
        <v>18.514769999999999</v>
      </c>
      <c r="B2340">
        <f t="shared" si="68"/>
        <v>18514.769999999997</v>
      </c>
      <c r="C2340">
        <v>0.10771799999999999</v>
      </c>
      <c r="D2340">
        <f t="shared" si="69"/>
        <v>9.1560299999999997E-2</v>
      </c>
    </row>
    <row r="2341" spans="1:4" x14ac:dyDescent="0.35">
      <c r="A2341">
        <v>18.581130000000002</v>
      </c>
      <c r="B2341">
        <f t="shared" si="68"/>
        <v>18581.13</v>
      </c>
      <c r="C2341">
        <v>0.10426000000000001</v>
      </c>
      <c r="D2341">
        <f t="shared" si="69"/>
        <v>8.8621000000000005E-2</v>
      </c>
    </row>
    <row r="2342" spans="1:4" x14ac:dyDescent="0.35">
      <c r="A2342">
        <v>18.647970000000001</v>
      </c>
      <c r="B2342">
        <f t="shared" si="68"/>
        <v>18647.97</v>
      </c>
      <c r="C2342">
        <v>0.10117</v>
      </c>
      <c r="D2342">
        <f t="shared" si="69"/>
        <v>8.5994499999999988E-2</v>
      </c>
    </row>
    <row r="2343" spans="1:4" x14ac:dyDescent="0.35">
      <c r="A2343">
        <v>18.71529</v>
      </c>
      <c r="B2343">
        <f t="shared" si="68"/>
        <v>18715.29</v>
      </c>
      <c r="C2343">
        <v>9.8026000000000002E-2</v>
      </c>
      <c r="D2343">
        <f t="shared" si="69"/>
        <v>8.3322099999999996E-2</v>
      </c>
    </row>
    <row r="2344" spans="1:4" x14ac:dyDescent="0.35">
      <c r="A2344">
        <v>18.783100000000001</v>
      </c>
      <c r="B2344">
        <f t="shared" si="68"/>
        <v>18783.100000000002</v>
      </c>
      <c r="C2344">
        <v>9.4780000000000003E-2</v>
      </c>
      <c r="D2344">
        <f t="shared" si="69"/>
        <v>8.0562999999999996E-2</v>
      </c>
    </row>
    <row r="2345" spans="1:4" x14ac:dyDescent="0.35">
      <c r="A2345">
        <v>18.851400000000002</v>
      </c>
      <c r="B2345">
        <f t="shared" si="68"/>
        <v>18851.400000000001</v>
      </c>
      <c r="C2345">
        <v>9.1123999999999997E-2</v>
      </c>
      <c r="D2345">
        <f t="shared" si="69"/>
        <v>7.7455399999999994E-2</v>
      </c>
    </row>
    <row r="2346" spans="1:4" x14ac:dyDescent="0.35">
      <c r="A2346">
        <v>18.920200000000001</v>
      </c>
      <c r="B2346">
        <f t="shared" si="68"/>
        <v>18920.2</v>
      </c>
      <c r="C2346">
        <v>8.8001999999999997E-2</v>
      </c>
      <c r="D2346">
        <f t="shared" si="69"/>
        <v>7.4801699999999999E-2</v>
      </c>
    </row>
    <row r="2347" spans="1:4" x14ac:dyDescent="0.35">
      <c r="A2347">
        <v>18.989509999999999</v>
      </c>
      <c r="B2347">
        <f t="shared" si="68"/>
        <v>18989.509999999998</v>
      </c>
      <c r="C2347">
        <v>8.5012000000000004E-2</v>
      </c>
      <c r="D2347">
        <f t="shared" si="69"/>
        <v>7.2260199999999997E-2</v>
      </c>
    </row>
    <row r="2348" spans="1:4" x14ac:dyDescent="0.35">
      <c r="A2348">
        <v>19.05932</v>
      </c>
      <c r="B2348">
        <f t="shared" si="68"/>
        <v>19059.32</v>
      </c>
      <c r="C2348">
        <v>8.1809000000000007E-2</v>
      </c>
      <c r="D2348">
        <f t="shared" si="69"/>
        <v>6.9537650000000006E-2</v>
      </c>
    </row>
    <row r="2349" spans="1:4" x14ac:dyDescent="0.35">
      <c r="A2349">
        <v>19.129650000000002</v>
      </c>
      <c r="B2349">
        <f t="shared" si="68"/>
        <v>19129.650000000001</v>
      </c>
      <c r="C2349">
        <v>7.9014000000000001E-2</v>
      </c>
      <c r="D2349">
        <f t="shared" si="69"/>
        <v>6.7161899999999997E-2</v>
      </c>
    </row>
    <row r="2350" spans="1:4" x14ac:dyDescent="0.35">
      <c r="A2350">
        <v>19.200500000000002</v>
      </c>
      <c r="B2350">
        <f t="shared" si="68"/>
        <v>19200.5</v>
      </c>
      <c r="C2350">
        <v>7.7166999999999999E-2</v>
      </c>
      <c r="D2350">
        <f t="shared" si="69"/>
        <v>6.5591949999999996E-2</v>
      </c>
    </row>
    <row r="2351" spans="1:4" x14ac:dyDescent="0.35">
      <c r="A2351">
        <v>19.271879999999999</v>
      </c>
      <c r="B2351">
        <f t="shared" si="68"/>
        <v>19271.88</v>
      </c>
      <c r="C2351">
        <v>7.4865000000000001E-2</v>
      </c>
      <c r="D2351">
        <f t="shared" si="69"/>
        <v>6.3635250000000004E-2</v>
      </c>
    </row>
    <row r="2352" spans="1:4" x14ac:dyDescent="0.35">
      <c r="A2352">
        <v>19.343789999999998</v>
      </c>
      <c r="B2352">
        <f t="shared" si="68"/>
        <v>19343.789999999997</v>
      </c>
      <c r="C2352">
        <v>7.2036000000000003E-2</v>
      </c>
      <c r="D2352">
        <f t="shared" si="69"/>
        <v>6.1230600000000003E-2</v>
      </c>
    </row>
    <row r="2353" spans="1:4" x14ac:dyDescent="0.35">
      <c r="A2353">
        <v>19.416239999999998</v>
      </c>
      <c r="B2353">
        <f t="shared" si="68"/>
        <v>19416.239999999998</v>
      </c>
      <c r="C2353">
        <v>6.9253999999999996E-2</v>
      </c>
      <c r="D2353">
        <f t="shared" si="69"/>
        <v>5.8865899999999992E-2</v>
      </c>
    </row>
    <row r="2354" spans="1:4" x14ac:dyDescent="0.35">
      <c r="A2354">
        <v>19.489229999999999</v>
      </c>
      <c r="B2354">
        <f t="shared" si="68"/>
        <v>19489.23</v>
      </c>
      <c r="C2354">
        <v>6.6445000000000004E-2</v>
      </c>
      <c r="D2354">
        <f t="shared" si="69"/>
        <v>5.6478250000000001E-2</v>
      </c>
    </row>
    <row r="2355" spans="1:4" x14ac:dyDescent="0.35">
      <c r="A2355">
        <v>19.56277</v>
      </c>
      <c r="B2355">
        <f t="shared" si="68"/>
        <v>19562.77</v>
      </c>
      <c r="C2355">
        <v>6.4077999999999996E-2</v>
      </c>
      <c r="D2355">
        <f t="shared" si="69"/>
        <v>5.4466299999999995E-2</v>
      </c>
    </row>
    <row r="2356" spans="1:4" x14ac:dyDescent="0.35">
      <c r="A2356">
        <v>19.636880000000001</v>
      </c>
      <c r="B2356">
        <f t="shared" si="68"/>
        <v>19636.88</v>
      </c>
      <c r="C2356">
        <v>6.2030000000000002E-2</v>
      </c>
      <c r="D2356">
        <f t="shared" si="69"/>
        <v>5.2725500000000002E-2</v>
      </c>
    </row>
    <row r="2357" spans="1:4" x14ac:dyDescent="0.35">
      <c r="A2357">
        <v>19.711539999999999</v>
      </c>
      <c r="B2357">
        <f t="shared" si="68"/>
        <v>19711.54</v>
      </c>
      <c r="C2357">
        <v>5.9769999999999997E-2</v>
      </c>
      <c r="D2357">
        <f t="shared" si="69"/>
        <v>5.0804499999999995E-2</v>
      </c>
    </row>
    <row r="2358" spans="1:4" x14ac:dyDescent="0.35">
      <c r="A2358">
        <v>19.78678</v>
      </c>
      <c r="B2358">
        <f t="shared" si="68"/>
        <v>19786.78</v>
      </c>
      <c r="C2358">
        <v>5.7834999999999998E-2</v>
      </c>
      <c r="D2358">
        <f t="shared" si="69"/>
        <v>4.9159749999999995E-2</v>
      </c>
    </row>
    <row r="2359" spans="1:4" x14ac:dyDescent="0.35">
      <c r="A2359">
        <v>19.862590000000001</v>
      </c>
      <c r="B2359">
        <f t="shared" si="68"/>
        <v>19862.59</v>
      </c>
      <c r="C2359">
        <v>5.6018999999999999E-2</v>
      </c>
      <c r="D2359">
        <f t="shared" si="69"/>
        <v>4.7616149999999996E-2</v>
      </c>
    </row>
    <row r="2360" spans="1:4" x14ac:dyDescent="0.35">
      <c r="A2360">
        <v>19.938980000000001</v>
      </c>
      <c r="B2360">
        <f t="shared" si="68"/>
        <v>19938.98</v>
      </c>
      <c r="C2360">
        <v>5.4821000000000002E-2</v>
      </c>
      <c r="D2360">
        <f t="shared" si="69"/>
        <v>4.6597850000000003E-2</v>
      </c>
    </row>
    <row r="2361" spans="1:4" x14ac:dyDescent="0.35">
      <c r="A2361">
        <v>20.01596</v>
      </c>
      <c r="B2361">
        <f t="shared" si="68"/>
        <v>20015.96</v>
      </c>
      <c r="C2361">
        <v>5.3433000000000001E-2</v>
      </c>
      <c r="D2361">
        <f t="shared" si="69"/>
        <v>4.5418050000000001E-2</v>
      </c>
    </row>
    <row r="2362" spans="1:4" x14ac:dyDescent="0.35">
      <c r="A2362">
        <v>20.09355</v>
      </c>
      <c r="B2362">
        <f t="shared" si="68"/>
        <v>20093.55</v>
      </c>
      <c r="C2362">
        <v>5.1352000000000002E-2</v>
      </c>
      <c r="D2362">
        <f t="shared" si="69"/>
        <v>4.3649199999999999E-2</v>
      </c>
    </row>
    <row r="2363" spans="1:4" x14ac:dyDescent="0.35">
      <c r="A2363">
        <v>20.17173</v>
      </c>
      <c r="B2363">
        <f t="shared" si="68"/>
        <v>20171.73</v>
      </c>
      <c r="C2363">
        <v>4.9482999999999999E-2</v>
      </c>
      <c r="D2363">
        <f t="shared" si="69"/>
        <v>4.2060549999999995E-2</v>
      </c>
    </row>
    <row r="2364" spans="1:4" x14ac:dyDescent="0.35">
      <c r="A2364">
        <v>20.250530000000001</v>
      </c>
      <c r="B2364">
        <f t="shared" si="68"/>
        <v>20250.530000000002</v>
      </c>
      <c r="C2364">
        <v>4.7288999999999998E-2</v>
      </c>
      <c r="D2364">
        <f t="shared" si="69"/>
        <v>4.0195649999999999E-2</v>
      </c>
    </row>
    <row r="2365" spans="1:4" x14ac:dyDescent="0.35">
      <c r="A2365">
        <v>20.329940000000001</v>
      </c>
      <c r="B2365">
        <f t="shared" si="68"/>
        <v>20329.940000000002</v>
      </c>
      <c r="C2365">
        <v>4.5064E-2</v>
      </c>
      <c r="D2365">
        <f t="shared" si="69"/>
        <v>3.8304400000000002E-2</v>
      </c>
    </row>
    <row r="2366" spans="1:4" x14ac:dyDescent="0.35">
      <c r="A2366">
        <v>20.409980000000001</v>
      </c>
      <c r="B2366">
        <f t="shared" si="68"/>
        <v>20409.98</v>
      </c>
      <c r="C2366">
        <v>4.5289000000000003E-2</v>
      </c>
      <c r="D2366">
        <f t="shared" si="69"/>
        <v>3.8495649999999999E-2</v>
      </c>
    </row>
    <row r="2367" spans="1:4" x14ac:dyDescent="0.35">
      <c r="A2367">
        <v>20.490649999999999</v>
      </c>
      <c r="B2367">
        <f t="shared" si="68"/>
        <v>20490.649999999998</v>
      </c>
      <c r="C2367">
        <v>4.8945000000000002E-2</v>
      </c>
      <c r="D2367">
        <f t="shared" si="69"/>
        <v>4.1603250000000001E-2</v>
      </c>
    </row>
    <row r="2368" spans="1:4" x14ac:dyDescent="0.35">
      <c r="A2368">
        <v>20.571960000000001</v>
      </c>
      <c r="B2368">
        <f t="shared" si="68"/>
        <v>20571.96</v>
      </c>
      <c r="C2368">
        <v>5.6536999999999997E-2</v>
      </c>
      <c r="D2368">
        <f t="shared" si="69"/>
        <v>4.8056449999999994E-2</v>
      </c>
    </row>
    <row r="2369" spans="1:4" x14ac:dyDescent="0.35">
      <c r="A2369">
        <v>20.653919999999999</v>
      </c>
      <c r="B2369">
        <f t="shared" si="68"/>
        <v>20653.919999999998</v>
      </c>
      <c r="C2369">
        <v>6.9071999999999995E-2</v>
      </c>
      <c r="D2369">
        <f t="shared" si="69"/>
        <v>5.8711199999999991E-2</v>
      </c>
    </row>
    <row r="2370" spans="1:4" x14ac:dyDescent="0.35">
      <c r="A2370">
        <v>20.736540000000002</v>
      </c>
      <c r="B2370">
        <f t="shared" si="68"/>
        <v>20736.54</v>
      </c>
      <c r="C2370">
        <v>8.3807000000000006E-2</v>
      </c>
      <c r="D2370">
        <f t="shared" si="69"/>
        <v>7.1235950000000006E-2</v>
      </c>
    </row>
    <row r="2371" spans="1:4" x14ac:dyDescent="0.35">
      <c r="A2371">
        <v>20.81982</v>
      </c>
      <c r="B2371">
        <f t="shared" si="68"/>
        <v>20819.82</v>
      </c>
      <c r="C2371">
        <v>9.6268999999999993E-2</v>
      </c>
      <c r="D2371">
        <f t="shared" si="69"/>
        <v>8.1828649999999989E-2</v>
      </c>
    </row>
    <row r="2372" spans="1:4" x14ac:dyDescent="0.35">
      <c r="A2372">
        <v>20.903770000000002</v>
      </c>
      <c r="B2372">
        <f t="shared" si="68"/>
        <v>20903.77</v>
      </c>
      <c r="C2372">
        <v>0.10535799999999999</v>
      </c>
      <c r="D2372">
        <f t="shared" si="69"/>
        <v>8.9554299999999989E-2</v>
      </c>
    </row>
    <row r="2373" spans="1:4" x14ac:dyDescent="0.35">
      <c r="A2373">
        <v>20.988399999999999</v>
      </c>
      <c r="B2373">
        <f t="shared" si="68"/>
        <v>20988.399999999998</v>
      </c>
      <c r="C2373">
        <v>0.110178</v>
      </c>
      <c r="D2373">
        <f t="shared" si="69"/>
        <v>9.3651299999999993E-2</v>
      </c>
    </row>
    <row r="2374" spans="1:4" x14ac:dyDescent="0.35">
      <c r="A2374">
        <v>21.073720000000002</v>
      </c>
      <c r="B2374">
        <f t="shared" si="68"/>
        <v>21073.72</v>
      </c>
      <c r="C2374">
        <v>0.11120099999999999</v>
      </c>
      <c r="D2374">
        <f t="shared" si="69"/>
        <v>9.452084999999999E-2</v>
      </c>
    </row>
    <row r="2375" spans="1:4" x14ac:dyDescent="0.35">
      <c r="A2375">
        <v>21.15973</v>
      </c>
      <c r="B2375">
        <f t="shared" si="68"/>
        <v>21159.73</v>
      </c>
      <c r="C2375">
        <v>0.110003</v>
      </c>
      <c r="D2375">
        <f t="shared" si="69"/>
        <v>9.3502550000000004E-2</v>
      </c>
    </row>
    <row r="2376" spans="1:4" x14ac:dyDescent="0.35">
      <c r="A2376">
        <v>21.246459999999999</v>
      </c>
      <c r="B2376">
        <f t="shared" si="68"/>
        <v>21246.46</v>
      </c>
      <c r="C2376">
        <v>0.10727399999999999</v>
      </c>
      <c r="D2376">
        <f t="shared" si="69"/>
        <v>9.1182899999999997E-2</v>
      </c>
    </row>
    <row r="2377" spans="1:4" x14ac:dyDescent="0.35">
      <c r="A2377">
        <v>21.33389</v>
      </c>
      <c r="B2377">
        <f t="shared" si="68"/>
        <v>21333.89</v>
      </c>
      <c r="C2377">
        <v>0.105215</v>
      </c>
      <c r="D2377">
        <f t="shared" si="69"/>
        <v>8.9432750000000005E-2</v>
      </c>
    </row>
    <row r="2378" spans="1:4" x14ac:dyDescent="0.35">
      <c r="A2378">
        <v>21.422039999999999</v>
      </c>
      <c r="B2378">
        <f t="shared" si="68"/>
        <v>21422.04</v>
      </c>
      <c r="C2378">
        <v>0.102488</v>
      </c>
      <c r="D2378">
        <f t="shared" si="69"/>
        <v>8.7114799999999992E-2</v>
      </c>
    </row>
    <row r="2379" spans="1:4" x14ac:dyDescent="0.35">
      <c r="A2379">
        <v>21.510929999999998</v>
      </c>
      <c r="B2379">
        <f t="shared" ref="B2379:B2420" si="70">A2379*1000</f>
        <v>21510.929999999997</v>
      </c>
      <c r="C2379">
        <v>9.7866999999999996E-2</v>
      </c>
      <c r="D2379">
        <f t="shared" ref="D2379:D2420" si="71">C2379*$D$137</f>
        <v>8.3186949999999996E-2</v>
      </c>
    </row>
    <row r="2380" spans="1:4" x14ac:dyDescent="0.35">
      <c r="A2380">
        <v>21.600560000000002</v>
      </c>
      <c r="B2380">
        <f t="shared" si="70"/>
        <v>21600.560000000001</v>
      </c>
      <c r="C2380">
        <v>9.4317999999999999E-2</v>
      </c>
      <c r="D2380">
        <f t="shared" si="71"/>
        <v>8.01703E-2</v>
      </c>
    </row>
    <row r="2381" spans="1:4" x14ac:dyDescent="0.35">
      <c r="A2381">
        <v>21.690940000000001</v>
      </c>
      <c r="B2381">
        <f t="shared" si="70"/>
        <v>21690.940000000002</v>
      </c>
      <c r="C2381">
        <v>9.0088000000000001E-2</v>
      </c>
      <c r="D2381">
        <f t="shared" si="71"/>
        <v>7.6574799999999998E-2</v>
      </c>
    </row>
    <row r="2382" spans="1:4" x14ac:dyDescent="0.35">
      <c r="A2382">
        <v>21.782080000000001</v>
      </c>
      <c r="B2382">
        <f t="shared" si="70"/>
        <v>21782.080000000002</v>
      </c>
      <c r="C2382">
        <v>8.5296999999999998E-2</v>
      </c>
      <c r="D2382">
        <f t="shared" si="71"/>
        <v>7.2502449999999996E-2</v>
      </c>
    </row>
    <row r="2383" spans="1:4" x14ac:dyDescent="0.35">
      <c r="A2383">
        <v>21.873989999999999</v>
      </c>
      <c r="B2383">
        <f t="shared" si="70"/>
        <v>21873.989999999998</v>
      </c>
      <c r="C2383">
        <v>8.2006999999999997E-2</v>
      </c>
      <c r="D2383">
        <f t="shared" si="71"/>
        <v>6.9705949999999989E-2</v>
      </c>
    </row>
    <row r="2384" spans="1:4" x14ac:dyDescent="0.35">
      <c r="A2384">
        <v>21.966670000000001</v>
      </c>
      <c r="B2384">
        <f t="shared" si="70"/>
        <v>21966.670000000002</v>
      </c>
      <c r="C2384">
        <v>8.0242999999999995E-2</v>
      </c>
      <c r="D2384">
        <f t="shared" si="71"/>
        <v>6.8206549999999991E-2</v>
      </c>
    </row>
    <row r="2385" spans="1:4" x14ac:dyDescent="0.35">
      <c r="A2385">
        <v>22.06015</v>
      </c>
      <c r="B2385">
        <f t="shared" si="70"/>
        <v>22060.15</v>
      </c>
      <c r="C2385">
        <v>7.8833E-2</v>
      </c>
      <c r="D2385">
        <f t="shared" si="71"/>
        <v>6.700805E-2</v>
      </c>
    </row>
    <row r="2386" spans="1:4" x14ac:dyDescent="0.35">
      <c r="A2386">
        <v>22.154419999999998</v>
      </c>
      <c r="B2386">
        <f t="shared" si="70"/>
        <v>22154.42</v>
      </c>
      <c r="C2386">
        <v>7.6884999999999995E-2</v>
      </c>
      <c r="D2386">
        <f t="shared" si="71"/>
        <v>6.5352250000000001E-2</v>
      </c>
    </row>
    <row r="2387" spans="1:4" x14ac:dyDescent="0.35">
      <c r="A2387">
        <v>22.249510000000001</v>
      </c>
      <c r="B2387">
        <f t="shared" si="70"/>
        <v>22249.510000000002</v>
      </c>
      <c r="C2387">
        <v>7.4392E-2</v>
      </c>
      <c r="D2387">
        <f t="shared" si="71"/>
        <v>6.3233200000000003E-2</v>
      </c>
    </row>
    <row r="2388" spans="1:4" x14ac:dyDescent="0.35">
      <c r="A2388">
        <v>22.345410000000001</v>
      </c>
      <c r="B2388">
        <f t="shared" si="70"/>
        <v>22345.41</v>
      </c>
      <c r="C2388">
        <v>7.2121000000000005E-2</v>
      </c>
      <c r="D2388">
        <f t="shared" si="71"/>
        <v>6.1302849999999999E-2</v>
      </c>
    </row>
    <row r="2389" spans="1:4" x14ac:dyDescent="0.35">
      <c r="A2389">
        <v>22.442139999999998</v>
      </c>
      <c r="B2389">
        <f t="shared" si="70"/>
        <v>22442.14</v>
      </c>
      <c r="C2389">
        <v>6.9150000000000003E-2</v>
      </c>
      <c r="D2389">
        <f t="shared" si="71"/>
        <v>5.8777500000000003E-2</v>
      </c>
    </row>
    <row r="2390" spans="1:4" x14ac:dyDescent="0.35">
      <c r="A2390">
        <v>22.539719999999999</v>
      </c>
      <c r="B2390">
        <f t="shared" si="70"/>
        <v>22539.719999999998</v>
      </c>
      <c r="C2390">
        <v>6.6944000000000004E-2</v>
      </c>
      <c r="D2390">
        <f t="shared" si="71"/>
        <v>5.6902399999999999E-2</v>
      </c>
    </row>
    <row r="2391" spans="1:4" x14ac:dyDescent="0.35">
      <c r="A2391">
        <v>22.63814</v>
      </c>
      <c r="B2391">
        <f t="shared" si="70"/>
        <v>22638.14</v>
      </c>
      <c r="C2391">
        <v>6.5477999999999995E-2</v>
      </c>
      <c r="D2391">
        <f t="shared" si="71"/>
        <v>5.5656299999999992E-2</v>
      </c>
    </row>
    <row r="2392" spans="1:4" x14ac:dyDescent="0.35">
      <c r="A2392">
        <v>22.73743</v>
      </c>
      <c r="B2392">
        <f t="shared" si="70"/>
        <v>22737.43</v>
      </c>
      <c r="C2392">
        <v>6.5329999999999999E-2</v>
      </c>
      <c r="D2392">
        <f t="shared" si="71"/>
        <v>5.5530499999999997E-2</v>
      </c>
    </row>
    <row r="2393" spans="1:4" x14ac:dyDescent="0.35">
      <c r="A2393">
        <v>22.837599999999998</v>
      </c>
      <c r="B2393">
        <f t="shared" si="70"/>
        <v>22837.599999999999</v>
      </c>
      <c r="C2393">
        <v>6.6843E-2</v>
      </c>
      <c r="D2393">
        <f t="shared" si="71"/>
        <v>5.681655E-2</v>
      </c>
    </row>
    <row r="2394" spans="1:4" x14ac:dyDescent="0.35">
      <c r="A2394">
        <v>22.938649999999999</v>
      </c>
      <c r="B2394">
        <f t="shared" si="70"/>
        <v>22938.649999999998</v>
      </c>
      <c r="C2394">
        <v>6.9537000000000002E-2</v>
      </c>
      <c r="D2394">
        <f t="shared" si="71"/>
        <v>5.9106449999999998E-2</v>
      </c>
    </row>
    <row r="2395" spans="1:4" x14ac:dyDescent="0.35">
      <c r="A2395">
        <v>23.040600000000001</v>
      </c>
      <c r="B2395">
        <f t="shared" si="70"/>
        <v>23040.600000000002</v>
      </c>
      <c r="C2395">
        <v>7.3843000000000006E-2</v>
      </c>
      <c r="D2395">
        <f t="shared" si="71"/>
        <v>6.2766550000000004E-2</v>
      </c>
    </row>
    <row r="2396" spans="1:4" x14ac:dyDescent="0.35">
      <c r="A2396">
        <v>23.143460000000001</v>
      </c>
      <c r="B2396">
        <f t="shared" si="70"/>
        <v>23143.460000000003</v>
      </c>
      <c r="C2396">
        <v>7.8302999999999998E-2</v>
      </c>
      <c r="D2396">
        <f t="shared" si="71"/>
        <v>6.6557549999999993E-2</v>
      </c>
    </row>
    <row r="2397" spans="1:4" x14ac:dyDescent="0.35">
      <c r="A2397">
        <v>23.247240000000001</v>
      </c>
      <c r="B2397">
        <f t="shared" si="70"/>
        <v>23247.24</v>
      </c>
      <c r="C2397">
        <v>8.0770999999999996E-2</v>
      </c>
      <c r="D2397">
        <f t="shared" si="71"/>
        <v>6.865534999999999E-2</v>
      </c>
    </row>
    <row r="2398" spans="1:4" x14ac:dyDescent="0.35">
      <c r="A2398">
        <v>23.351959999999998</v>
      </c>
      <c r="B2398">
        <f t="shared" si="70"/>
        <v>23351.96</v>
      </c>
      <c r="C2398">
        <v>8.0891000000000005E-2</v>
      </c>
      <c r="D2398">
        <f t="shared" si="71"/>
        <v>6.8757350000000009E-2</v>
      </c>
    </row>
    <row r="2399" spans="1:4" x14ac:dyDescent="0.35">
      <c r="A2399">
        <v>23.457630000000002</v>
      </c>
      <c r="B2399">
        <f t="shared" si="70"/>
        <v>23457.63</v>
      </c>
      <c r="C2399">
        <v>8.0682000000000004E-2</v>
      </c>
      <c r="D2399">
        <f t="shared" si="71"/>
        <v>6.8579700000000007E-2</v>
      </c>
    </row>
    <row r="2400" spans="1:4" x14ac:dyDescent="0.35">
      <c r="A2400">
        <v>23.564250000000001</v>
      </c>
      <c r="B2400">
        <f t="shared" si="70"/>
        <v>23564.25</v>
      </c>
      <c r="C2400">
        <v>7.9994999999999997E-2</v>
      </c>
      <c r="D2400">
        <f t="shared" si="71"/>
        <v>6.7995749999999994E-2</v>
      </c>
    </row>
    <row r="2401" spans="1:4" x14ac:dyDescent="0.35">
      <c r="A2401">
        <v>23.671849999999999</v>
      </c>
      <c r="B2401">
        <f t="shared" si="70"/>
        <v>23671.85</v>
      </c>
      <c r="C2401">
        <v>7.8644000000000006E-2</v>
      </c>
      <c r="D2401">
        <f t="shared" si="71"/>
        <v>6.6847400000000001E-2</v>
      </c>
    </row>
    <row r="2402" spans="1:4" x14ac:dyDescent="0.35">
      <c r="A2402">
        <v>23.780439999999999</v>
      </c>
      <c r="B2402">
        <f t="shared" si="70"/>
        <v>23780.44</v>
      </c>
      <c r="C2402">
        <v>7.7854000000000007E-2</v>
      </c>
      <c r="D2402">
        <f t="shared" si="71"/>
        <v>6.617590000000001E-2</v>
      </c>
    </row>
    <row r="2403" spans="1:4" x14ac:dyDescent="0.35">
      <c r="A2403">
        <v>23.89002</v>
      </c>
      <c r="B2403">
        <f t="shared" si="70"/>
        <v>23890.02</v>
      </c>
      <c r="C2403">
        <v>7.6834E-2</v>
      </c>
      <c r="D2403">
        <f t="shared" si="71"/>
        <v>6.5308900000000003E-2</v>
      </c>
    </row>
    <row r="2404" spans="1:4" x14ac:dyDescent="0.35">
      <c r="A2404">
        <v>24.000630000000001</v>
      </c>
      <c r="B2404">
        <f t="shared" si="70"/>
        <v>24000.63</v>
      </c>
      <c r="C2404">
        <v>7.5505000000000003E-2</v>
      </c>
      <c r="D2404">
        <f t="shared" si="71"/>
        <v>6.4179250000000007E-2</v>
      </c>
    </row>
    <row r="2405" spans="1:4" x14ac:dyDescent="0.35">
      <c r="A2405">
        <v>24.112259999999999</v>
      </c>
      <c r="B2405">
        <f t="shared" si="70"/>
        <v>24112.26</v>
      </c>
      <c r="C2405">
        <v>7.6438000000000006E-2</v>
      </c>
      <c r="D2405">
        <f t="shared" si="71"/>
        <v>6.4972299999999997E-2</v>
      </c>
    </row>
    <row r="2406" spans="1:4" x14ac:dyDescent="0.35">
      <c r="A2406">
        <v>24.224930000000001</v>
      </c>
      <c r="B2406">
        <f t="shared" si="70"/>
        <v>24224.93</v>
      </c>
      <c r="C2406">
        <v>7.6818999999999998E-2</v>
      </c>
      <c r="D2406">
        <f t="shared" si="71"/>
        <v>6.5296149999999997E-2</v>
      </c>
    </row>
    <row r="2407" spans="1:4" x14ac:dyDescent="0.35">
      <c r="A2407">
        <v>24.338660000000001</v>
      </c>
      <c r="B2407">
        <f t="shared" si="70"/>
        <v>24338.66</v>
      </c>
      <c r="C2407">
        <v>7.4989E-2</v>
      </c>
      <c r="D2407">
        <f t="shared" si="71"/>
        <v>6.3740649999999996E-2</v>
      </c>
    </row>
    <row r="2408" spans="1:4" x14ac:dyDescent="0.35">
      <c r="A2408">
        <v>24.453469999999999</v>
      </c>
      <c r="B2408">
        <f t="shared" si="70"/>
        <v>24453.47</v>
      </c>
      <c r="C2408">
        <v>7.2903999999999997E-2</v>
      </c>
      <c r="D2408">
        <f t="shared" si="71"/>
        <v>6.1968399999999993E-2</v>
      </c>
    </row>
    <row r="2409" spans="1:4" x14ac:dyDescent="0.35">
      <c r="A2409">
        <v>24.56936</v>
      </c>
      <c r="B2409">
        <f t="shared" si="70"/>
        <v>24569.360000000001</v>
      </c>
      <c r="C2409">
        <v>7.5090000000000004E-2</v>
      </c>
      <c r="D2409">
        <f t="shared" si="71"/>
        <v>6.3826500000000008E-2</v>
      </c>
    </row>
    <row r="2410" spans="1:4" x14ac:dyDescent="0.35">
      <c r="A2410">
        <v>24.686360000000001</v>
      </c>
      <c r="B2410">
        <f t="shared" si="70"/>
        <v>24686.36</v>
      </c>
      <c r="C2410">
        <v>7.7580999999999997E-2</v>
      </c>
      <c r="D2410">
        <f t="shared" si="71"/>
        <v>6.5943849999999998E-2</v>
      </c>
    </row>
    <row r="2411" spans="1:4" x14ac:dyDescent="0.35">
      <c r="A2411">
        <v>24.804469999999998</v>
      </c>
      <c r="B2411">
        <f t="shared" si="70"/>
        <v>24804.469999999998</v>
      </c>
      <c r="C2411">
        <v>7.6365000000000002E-2</v>
      </c>
      <c r="D2411">
        <f t="shared" si="71"/>
        <v>6.4910250000000003E-2</v>
      </c>
    </row>
    <row r="2412" spans="1:4" x14ac:dyDescent="0.35">
      <c r="A2412">
        <v>24.923729999999999</v>
      </c>
      <c r="B2412">
        <f t="shared" si="70"/>
        <v>24923.73</v>
      </c>
      <c r="C2412">
        <v>7.5977000000000003E-2</v>
      </c>
      <c r="D2412">
        <f t="shared" si="71"/>
        <v>6.4580449999999998E-2</v>
      </c>
    </row>
    <row r="2413" spans="1:4" x14ac:dyDescent="0.35">
      <c r="A2413">
        <v>25.044129999999999</v>
      </c>
      <c r="B2413">
        <f t="shared" si="70"/>
        <v>25044.129999999997</v>
      </c>
      <c r="C2413">
        <v>7.8409999999999994E-2</v>
      </c>
      <c r="D2413">
        <f t="shared" si="71"/>
        <v>6.6648499999999999E-2</v>
      </c>
    </row>
    <row r="2414" spans="1:4" x14ac:dyDescent="0.35">
      <c r="A2414">
        <v>25.165710000000001</v>
      </c>
      <c r="B2414">
        <f t="shared" si="70"/>
        <v>25165.71</v>
      </c>
      <c r="C2414">
        <v>8.0793000000000004E-2</v>
      </c>
      <c r="D2414">
        <f t="shared" si="71"/>
        <v>6.867405E-2</v>
      </c>
    </row>
    <row r="2415" spans="1:4" x14ac:dyDescent="0.35">
      <c r="A2415">
        <v>25.288460000000001</v>
      </c>
      <c r="B2415">
        <f t="shared" si="70"/>
        <v>25288.46</v>
      </c>
      <c r="C2415">
        <v>7.9988000000000004E-2</v>
      </c>
      <c r="D2415">
        <f t="shared" si="71"/>
        <v>6.7989800000000003E-2</v>
      </c>
    </row>
    <row r="2416" spans="1:4" x14ac:dyDescent="0.35">
      <c r="A2416">
        <v>25.412430000000001</v>
      </c>
      <c r="B2416">
        <f t="shared" si="70"/>
        <v>25412.43</v>
      </c>
      <c r="C2416">
        <v>7.9051999999999997E-2</v>
      </c>
      <c r="D2416">
        <f t="shared" si="71"/>
        <v>6.7194199999999996E-2</v>
      </c>
    </row>
    <row r="2417" spans="1:4" x14ac:dyDescent="0.35">
      <c r="A2417">
        <v>25.537610000000001</v>
      </c>
      <c r="B2417">
        <f t="shared" si="70"/>
        <v>25537.61</v>
      </c>
      <c r="C2417">
        <v>7.9143000000000005E-2</v>
      </c>
      <c r="D2417">
        <f t="shared" si="71"/>
        <v>6.7271549999999999E-2</v>
      </c>
    </row>
    <row r="2418" spans="1:4" x14ac:dyDescent="0.35">
      <c r="A2418">
        <v>25.66404</v>
      </c>
      <c r="B2418">
        <f t="shared" si="70"/>
        <v>25664.04</v>
      </c>
      <c r="C2418">
        <v>8.0508999999999997E-2</v>
      </c>
      <c r="D2418">
        <f t="shared" si="71"/>
        <v>6.8432649999999998E-2</v>
      </c>
    </row>
    <row r="2419" spans="1:4" x14ac:dyDescent="0.35">
      <c r="A2419">
        <v>25.791720000000002</v>
      </c>
      <c r="B2419">
        <f t="shared" si="70"/>
        <v>25791.72</v>
      </c>
      <c r="C2419">
        <v>7.7757999999999994E-2</v>
      </c>
      <c r="D2419">
        <f t="shared" si="71"/>
        <v>6.6094299999999995E-2</v>
      </c>
    </row>
    <row r="2420" spans="1:4" x14ac:dyDescent="0.35">
      <c r="A2420">
        <v>25.920680000000001</v>
      </c>
      <c r="B2420">
        <f t="shared" si="70"/>
        <v>25920.68</v>
      </c>
      <c r="C2420">
        <v>7.2437000000000001E-2</v>
      </c>
      <c r="D2420">
        <f t="shared" si="71"/>
        <v>6.157145E-2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Dark</vt:lpstr>
      <vt:lpstr>Reference_Data</vt:lpstr>
      <vt:lpstr>Sample_Data</vt:lpstr>
      <vt:lpstr>Analysis</vt:lpstr>
      <vt:lpstr>Kaolinite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Gunn [mmg] (Staff)</dc:creator>
  <cp:lastModifiedBy>Matt Gunn [mmg] (Staff)</cp:lastModifiedBy>
  <dcterms:created xsi:type="dcterms:W3CDTF">2015-06-05T18:17:20Z</dcterms:created>
  <dcterms:modified xsi:type="dcterms:W3CDTF">2025-08-22T16:18:31Z</dcterms:modified>
</cp:coreProperties>
</file>